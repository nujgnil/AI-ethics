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codeName="ThisWorkbook"/>
  <xr:revisionPtr revIDLastSave="0" documentId="13_ncr:1_{774F5BDD-0752-4413-9845-239806DA9771}" xr6:coauthVersionLast="47" xr6:coauthVersionMax="47" xr10:uidLastSave="{00000000-0000-0000-0000-000000000000}"/>
  <bookViews>
    <workbookView xWindow="-119" yWindow="-119" windowWidth="28741" windowHeight="15543" tabRatio="415" xr2:uid="{00000000-000D-0000-FFFF-FFFF00000000}"/>
  </bookViews>
  <sheets>
    <sheet name="Light" sheetId="17" r:id="rId1"/>
  </sheets>
  <definedNames>
    <definedName name="_xlnm.Print_Titles" localSheetId="0">Light!$7:$10</definedName>
    <definedName name="Project_Start" localSheetId="0">Light!$C$5</definedName>
    <definedName name="Project_Start">#REF!</definedName>
    <definedName name="Scrolling_Increment" localSheetId="0">Light!$C$6</definedName>
    <definedName name="Scrolling_Increment">#REF!</definedName>
    <definedName name="Today" localSheetId="0">TODAY()</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11" i="17" l="1"/>
  <c r="J11" i="17"/>
  <c r="G12" i="17"/>
  <c r="I12" i="17"/>
  <c r="D16" i="17"/>
  <c r="I16" i="17"/>
  <c r="J16" i="17"/>
  <c r="D17" i="17"/>
  <c r="I17" i="17"/>
  <c r="J17" i="17"/>
  <c r="D22" i="17"/>
  <c r="I22" i="17"/>
  <c r="J22" i="17"/>
  <c r="D23" i="17"/>
  <c r="I23" i="17"/>
  <c r="J23" i="17"/>
  <c r="D27" i="17"/>
  <c r="I27" i="17"/>
  <c r="J27" i="17"/>
  <c r="D28" i="17"/>
  <c r="I28" i="17"/>
  <c r="J28" i="17"/>
  <c r="D33" i="17"/>
  <c r="I33" i="17"/>
  <c r="J33" i="17"/>
  <c r="D34" i="17"/>
  <c r="I34" i="17"/>
  <c r="J34" i="17"/>
  <c r="D38" i="17"/>
  <c r="I38" i="17"/>
  <c r="J38" i="17"/>
  <c r="D39" i="17"/>
  <c r="I39" i="17"/>
  <c r="J39" i="17"/>
  <c r="D42" i="17"/>
  <c r="I42" i="17"/>
  <c r="J42" i="17"/>
  <c r="D43" i="17"/>
  <c r="I43" i="17"/>
  <c r="J43" i="17"/>
  <c r="D47" i="17"/>
  <c r="I47" i="17"/>
  <c r="J47" i="17"/>
  <c r="D48" i="17"/>
  <c r="I48" i="17"/>
  <c r="J48" i="17"/>
  <c r="I49" i="17"/>
  <c r="J49" i="17"/>
  <c r="I50" i="17"/>
  <c r="J50" i="17"/>
  <c r="I51" i="17"/>
  <c r="I52" i="17"/>
  <c r="I53" i="17"/>
  <c r="I54" i="17"/>
  <c r="I55" i="17"/>
  <c r="I56" i="17"/>
  <c r="J51" i="17"/>
  <c r="J52" i="17"/>
  <c r="J53" i="17"/>
  <c r="J54" i="17"/>
  <c r="J55" i="17"/>
  <c r="J56" i="17"/>
  <c r="J12" i="17" l="1"/>
  <c r="G13" i="17"/>
  <c r="D12" i="17"/>
  <c r="D13" i="17" l="1"/>
  <c r="I13" i="17"/>
  <c r="J13" i="17"/>
  <c r="G14" i="17"/>
  <c r="D14" i="17" l="1"/>
  <c r="I14" i="17"/>
  <c r="J14" i="17"/>
  <c r="G15" i="17"/>
  <c r="G18" i="17" l="1"/>
  <c r="D15" i="17"/>
  <c r="I15" i="17"/>
  <c r="J15" i="17"/>
  <c r="I18" i="17" l="1"/>
  <c r="J18" i="17"/>
  <c r="G19" i="17"/>
  <c r="D18" i="17"/>
  <c r="D19" i="17" l="1"/>
  <c r="I19" i="17"/>
  <c r="J19" i="17"/>
  <c r="G20" i="17"/>
  <c r="D20" i="17" l="1"/>
  <c r="I20" i="17"/>
  <c r="J20" i="17"/>
  <c r="G21" i="17"/>
  <c r="G24" i="17" l="1"/>
  <c r="D21" i="17"/>
  <c r="I21" i="17"/>
  <c r="J21" i="17"/>
  <c r="D24" i="17" l="1"/>
  <c r="I24" i="17"/>
  <c r="J24" i="17"/>
  <c r="G25" i="17"/>
  <c r="D25" i="17" l="1"/>
  <c r="I25" i="17"/>
  <c r="J25" i="17"/>
  <c r="G26" i="17"/>
  <c r="G29" i="17" l="1"/>
  <c r="D26" i="17"/>
  <c r="I26" i="17"/>
  <c r="J26" i="17"/>
  <c r="I29" i="17" l="1"/>
  <c r="J29" i="17"/>
  <c r="G30" i="17"/>
  <c r="D29" i="17"/>
  <c r="D30" i="17" l="1"/>
  <c r="I30" i="17"/>
  <c r="J30" i="17"/>
  <c r="G31" i="17"/>
  <c r="D31" i="17" l="1"/>
  <c r="I31" i="17"/>
  <c r="J31" i="17"/>
  <c r="G32" i="17"/>
  <c r="G35" i="17" l="1"/>
  <c r="D32" i="17"/>
  <c r="I32" i="17"/>
  <c r="J32" i="17"/>
  <c r="D35" i="17" l="1"/>
  <c r="I35" i="17"/>
  <c r="J35" i="17"/>
  <c r="G36" i="17"/>
  <c r="D36" i="17" l="1"/>
  <c r="I36" i="17"/>
  <c r="J36" i="17"/>
  <c r="G37" i="17"/>
  <c r="G40" i="17" l="1"/>
  <c r="D37" i="17"/>
  <c r="I37" i="17"/>
  <c r="J37" i="17"/>
  <c r="I40" i="17" l="1"/>
  <c r="J40" i="17"/>
  <c r="G41" i="17"/>
  <c r="D40" i="17"/>
  <c r="D41" i="17" l="1"/>
  <c r="I41" i="17"/>
  <c r="J41" i="17"/>
  <c r="G44" i="17"/>
  <c r="D44" i="17" l="1"/>
  <c r="I44" i="17"/>
  <c r="J44" i="17"/>
  <c r="G45" i="17"/>
  <c r="J45" i="17" l="1"/>
  <c r="G46" i="17"/>
  <c r="D45" i="17"/>
  <c r="I45" i="17"/>
  <c r="D46" i="17" l="1"/>
  <c r="I46" i="17"/>
  <c r="J46" i="17"/>
  <c r="F6" i="17" l="1"/>
  <c r="L8" i="17" l="1"/>
  <c r="L16" i="17" s="1"/>
  <c r="L11" i="17" l="1"/>
  <c r="L48" i="17"/>
  <c r="L50" i="17"/>
  <c r="L49" i="17"/>
  <c r="L47" i="17"/>
  <c r="L42" i="17"/>
  <c r="L39" i="17"/>
  <c r="L34" i="17"/>
  <c r="L43" i="17"/>
  <c r="L38" i="17"/>
  <c r="L33" i="17"/>
  <c r="L23" i="17"/>
  <c r="L28" i="17"/>
  <c r="L27" i="17"/>
  <c r="L15" i="17"/>
  <c r="L22" i="17"/>
  <c r="L14" i="17"/>
  <c r="L12" i="17"/>
  <c r="L18" i="17"/>
  <c r="L17" i="17"/>
  <c r="L13" i="17"/>
  <c r="L10" i="17"/>
  <c r="M8" i="17"/>
  <c r="M16" i="17" s="1"/>
  <c r="L7" i="17"/>
  <c r="L19" i="17" l="1"/>
  <c r="M50" i="17"/>
  <c r="M49" i="17"/>
  <c r="M48" i="17"/>
  <c r="M47" i="17"/>
  <c r="M39" i="17"/>
  <c r="M42" i="17"/>
  <c r="M34" i="17"/>
  <c r="M43" i="17"/>
  <c r="M38" i="17"/>
  <c r="M33" i="17"/>
  <c r="M23" i="17"/>
  <c r="M19" i="17"/>
  <c r="M28" i="17"/>
  <c r="M20" i="17"/>
  <c r="M15" i="17"/>
  <c r="M22" i="17"/>
  <c r="M17" i="17"/>
  <c r="M11" i="17"/>
  <c r="M18" i="17"/>
  <c r="M14" i="17"/>
  <c r="M12" i="17"/>
  <c r="M27" i="17"/>
  <c r="M13" i="17"/>
  <c r="N8" i="17"/>
  <c r="N16" i="17" s="1"/>
  <c r="M10" i="17"/>
  <c r="L20" i="17" l="1"/>
  <c r="N50" i="17"/>
  <c r="N49" i="17"/>
  <c r="N48" i="17"/>
  <c r="N47" i="17"/>
  <c r="N42" i="17"/>
  <c r="N39" i="17"/>
  <c r="N38" i="17"/>
  <c r="N34" i="17"/>
  <c r="N43" i="17"/>
  <c r="N33" i="17"/>
  <c r="N28" i="17"/>
  <c r="N20" i="17"/>
  <c r="N15" i="17"/>
  <c r="N22" i="17"/>
  <c r="N17" i="17"/>
  <c r="N23" i="17"/>
  <c r="N21" i="17"/>
  <c r="N11" i="17"/>
  <c r="N14" i="17"/>
  <c r="N12" i="17"/>
  <c r="N27" i="17"/>
  <c r="N18" i="17"/>
  <c r="N19" i="17"/>
  <c r="N13" i="17"/>
  <c r="N10" i="17"/>
  <c r="O8" i="17"/>
  <c r="O16" i="17" s="1"/>
  <c r="L21" i="17" l="1"/>
  <c r="M21" i="17"/>
  <c r="O47" i="17"/>
  <c r="O50" i="17"/>
  <c r="O49" i="17"/>
  <c r="O48" i="17"/>
  <c r="O42" i="17"/>
  <c r="O39" i="17"/>
  <c r="O38" i="17"/>
  <c r="O34" i="17"/>
  <c r="O43" i="17"/>
  <c r="O33" i="17"/>
  <c r="O28" i="17"/>
  <c r="O20" i="17"/>
  <c r="O15" i="17"/>
  <c r="O22" i="17"/>
  <c r="O11" i="17"/>
  <c r="O23" i="17"/>
  <c r="O13" i="17"/>
  <c r="O14" i="17"/>
  <c r="O12" i="17"/>
  <c r="O27" i="17"/>
  <c r="O18" i="17"/>
  <c r="O19" i="17"/>
  <c r="O21" i="17"/>
  <c r="O17" i="17"/>
  <c r="P8" i="17"/>
  <c r="P16" i="17" s="1"/>
  <c r="O10" i="17"/>
  <c r="O24" i="17" l="1"/>
  <c r="L24" i="17"/>
  <c r="M24" i="17"/>
  <c r="N24" i="17"/>
  <c r="P50" i="17"/>
  <c r="P49" i="17"/>
  <c r="P48" i="17"/>
  <c r="P47" i="17"/>
  <c r="P39" i="17"/>
  <c r="P38" i="17"/>
  <c r="P34" i="17"/>
  <c r="P43" i="17"/>
  <c r="P33" i="17"/>
  <c r="P28" i="17"/>
  <c r="P42" i="17"/>
  <c r="P22" i="17"/>
  <c r="P27" i="17"/>
  <c r="P20" i="17"/>
  <c r="P11" i="17"/>
  <c r="P18" i="17"/>
  <c r="P24" i="17"/>
  <c r="P23" i="17"/>
  <c r="P13" i="17"/>
  <c r="P14" i="17"/>
  <c r="P12" i="17"/>
  <c r="P15" i="17"/>
  <c r="P19" i="17"/>
  <c r="P21" i="17"/>
  <c r="P17" i="17"/>
  <c r="P10" i="17"/>
  <c r="Q8" i="17"/>
  <c r="Q16" i="17" s="1"/>
  <c r="L25" i="17" l="1"/>
  <c r="M25" i="17"/>
  <c r="N25" i="17"/>
  <c r="O25" i="17"/>
  <c r="P25" i="17"/>
  <c r="Q50" i="17"/>
  <c r="Q49" i="17"/>
  <c r="Q48" i="17"/>
  <c r="Q47" i="17"/>
  <c r="Q38" i="17"/>
  <c r="Q43" i="17"/>
  <c r="Q39" i="17"/>
  <c r="Q34" i="17"/>
  <c r="Q33" i="17"/>
  <c r="Q42" i="17"/>
  <c r="Q24" i="17"/>
  <c r="Q25" i="17"/>
  <c r="Q22" i="17"/>
  <c r="Q28" i="17"/>
  <c r="Q27" i="17"/>
  <c r="Q18" i="17"/>
  <c r="Q11" i="17"/>
  <c r="Q15" i="17"/>
  <c r="Q23" i="17"/>
  <c r="Q20" i="17"/>
  <c r="Q19" i="17"/>
  <c r="Q21" i="17"/>
  <c r="Q14" i="17"/>
  <c r="Q17" i="17"/>
  <c r="Q13" i="17"/>
  <c r="Q12" i="17"/>
  <c r="R8" i="17"/>
  <c r="R16" i="17" s="1"/>
  <c r="Q10" i="17"/>
  <c r="Q26" i="17" l="1"/>
  <c r="L26" i="17"/>
  <c r="M26" i="17"/>
  <c r="N26" i="17"/>
  <c r="O26" i="17"/>
  <c r="P26" i="17"/>
  <c r="R50" i="17"/>
  <c r="R49" i="17"/>
  <c r="R48" i="17"/>
  <c r="R47" i="17"/>
  <c r="R39" i="17"/>
  <c r="R38" i="17"/>
  <c r="R43" i="17"/>
  <c r="R34" i="17"/>
  <c r="R33" i="17"/>
  <c r="R42" i="17"/>
  <c r="R26" i="17"/>
  <c r="R18" i="17"/>
  <c r="R22" i="17"/>
  <c r="R21" i="17"/>
  <c r="R25" i="17"/>
  <c r="R14" i="17"/>
  <c r="R27" i="17"/>
  <c r="R19" i="17"/>
  <c r="R15" i="17"/>
  <c r="R24" i="17"/>
  <c r="R20" i="17"/>
  <c r="R11" i="17"/>
  <c r="R23" i="17"/>
  <c r="R28" i="17"/>
  <c r="R13" i="17"/>
  <c r="R17" i="17"/>
  <c r="R12" i="17"/>
  <c r="R10" i="17"/>
  <c r="S8" i="17"/>
  <c r="S16" i="17" s="1"/>
  <c r="R29" i="17" l="1"/>
  <c r="L29" i="17"/>
  <c r="M29" i="17"/>
  <c r="N29" i="17"/>
  <c r="O29" i="17"/>
  <c r="P29" i="17"/>
  <c r="Q29" i="17"/>
  <c r="S50" i="17"/>
  <c r="S49" i="17"/>
  <c r="S48" i="17"/>
  <c r="S47" i="17"/>
  <c r="S38" i="17"/>
  <c r="S43" i="17"/>
  <c r="S39" i="17"/>
  <c r="S34" i="17"/>
  <c r="S33" i="17"/>
  <c r="S28" i="17"/>
  <c r="S42" i="17"/>
  <c r="S26" i="17"/>
  <c r="S22" i="17"/>
  <c r="S21" i="17"/>
  <c r="S27" i="17"/>
  <c r="S19" i="17"/>
  <c r="S18" i="17"/>
  <c r="S25" i="17"/>
  <c r="S15" i="17"/>
  <c r="S20" i="17"/>
  <c r="S29" i="17"/>
  <c r="S11" i="17"/>
  <c r="S17" i="17"/>
  <c r="S23" i="17"/>
  <c r="S12" i="17"/>
  <c r="S14" i="17"/>
  <c r="S13" i="17"/>
  <c r="S24" i="17"/>
  <c r="S7" i="17"/>
  <c r="S10" i="17"/>
  <c r="T8" i="17"/>
  <c r="T16" i="17" s="1"/>
  <c r="L30" i="17" l="1"/>
  <c r="M30" i="17"/>
  <c r="N30" i="17"/>
  <c r="O30" i="17"/>
  <c r="P30" i="17"/>
  <c r="Q30" i="17"/>
  <c r="R30" i="17"/>
  <c r="S30" i="17"/>
  <c r="T50" i="17"/>
  <c r="T49" i="17"/>
  <c r="T48" i="17"/>
  <c r="T47" i="17"/>
  <c r="T42" i="17"/>
  <c r="T43" i="17"/>
  <c r="T39" i="17"/>
  <c r="T34" i="17"/>
  <c r="T33" i="17"/>
  <c r="T38" i="17"/>
  <c r="T30" i="17"/>
  <c r="T26" i="17"/>
  <c r="T24" i="17"/>
  <c r="T25" i="17"/>
  <c r="T28" i="17"/>
  <c r="T27" i="17"/>
  <c r="T21" i="17"/>
  <c r="T22" i="17"/>
  <c r="T14" i="17"/>
  <c r="T19" i="17"/>
  <c r="T17" i="17"/>
  <c r="T15" i="17"/>
  <c r="T18" i="17"/>
  <c r="T23" i="17"/>
  <c r="T13" i="17"/>
  <c r="T29" i="17"/>
  <c r="T12" i="17"/>
  <c r="T11" i="17"/>
  <c r="T20" i="17"/>
  <c r="T10" i="17"/>
  <c r="U8" i="17"/>
  <c r="U16" i="17" s="1"/>
  <c r="T31" i="17" l="1"/>
  <c r="L31" i="17"/>
  <c r="M31" i="17"/>
  <c r="N31" i="17"/>
  <c r="O31" i="17"/>
  <c r="P31" i="17"/>
  <c r="Q31" i="17"/>
  <c r="R31" i="17"/>
  <c r="S31" i="17"/>
  <c r="U50" i="17"/>
  <c r="U49" i="17"/>
  <c r="U47" i="17"/>
  <c r="U43" i="17"/>
  <c r="U42" i="17"/>
  <c r="U48" i="17"/>
  <c r="U39" i="17"/>
  <c r="U33" i="17"/>
  <c r="U28" i="17"/>
  <c r="U31" i="17"/>
  <c r="U38" i="17"/>
  <c r="U30" i="17"/>
  <c r="U34" i="17"/>
  <c r="U29" i="17"/>
  <c r="U22" i="17"/>
  <c r="U21" i="17"/>
  <c r="U26" i="17"/>
  <c r="U27" i="17"/>
  <c r="U24" i="17"/>
  <c r="U23" i="17"/>
  <c r="U19" i="17"/>
  <c r="U17" i="17"/>
  <c r="U15" i="17"/>
  <c r="U25" i="17"/>
  <c r="U18" i="17"/>
  <c r="U13" i="17"/>
  <c r="U12" i="17"/>
  <c r="U11" i="17"/>
  <c r="U20" i="17"/>
  <c r="U14" i="17"/>
  <c r="V8" i="17"/>
  <c r="V16" i="17" s="1"/>
  <c r="U10" i="17"/>
  <c r="U32" i="17" l="1"/>
  <c r="L32" i="17"/>
  <c r="M32" i="17"/>
  <c r="N32" i="17"/>
  <c r="O32" i="17"/>
  <c r="P32" i="17"/>
  <c r="Q32" i="17"/>
  <c r="R32" i="17"/>
  <c r="S32" i="17"/>
  <c r="T32" i="17"/>
  <c r="V49" i="17"/>
  <c r="V50" i="17"/>
  <c r="V47" i="17"/>
  <c r="V43" i="17"/>
  <c r="V48" i="17"/>
  <c r="V39" i="17"/>
  <c r="V38" i="17"/>
  <c r="V42" i="17"/>
  <c r="V30" i="17"/>
  <c r="V33" i="17"/>
  <c r="V31" i="17"/>
  <c r="V32" i="17"/>
  <c r="V26" i="17"/>
  <c r="V25" i="17"/>
  <c r="V34" i="17"/>
  <c r="V22" i="17"/>
  <c r="V24" i="17"/>
  <c r="V23" i="17"/>
  <c r="V19" i="17"/>
  <c r="V27" i="17"/>
  <c r="V17" i="17"/>
  <c r="V21" i="17"/>
  <c r="V15" i="17"/>
  <c r="V18" i="17"/>
  <c r="V13" i="17"/>
  <c r="V20" i="17"/>
  <c r="V29" i="17"/>
  <c r="V14" i="17"/>
  <c r="V28" i="17"/>
  <c r="V11" i="17"/>
  <c r="V12" i="17"/>
  <c r="W8" i="17"/>
  <c r="W16" i="17" s="1"/>
  <c r="V10" i="17"/>
  <c r="V35" i="17" l="1"/>
  <c r="L35" i="17"/>
  <c r="M35" i="17"/>
  <c r="N35" i="17"/>
  <c r="O35" i="17"/>
  <c r="P35" i="17"/>
  <c r="Q35" i="17"/>
  <c r="R35" i="17"/>
  <c r="S35" i="17"/>
  <c r="T35" i="17"/>
  <c r="U35" i="17"/>
  <c r="W49" i="17"/>
  <c r="W47" i="17"/>
  <c r="W38" i="17"/>
  <c r="W43" i="17"/>
  <c r="W42" i="17"/>
  <c r="W50" i="17"/>
  <c r="W48" i="17"/>
  <c r="W39" i="17"/>
  <c r="W35" i="17"/>
  <c r="W33" i="17"/>
  <c r="W31" i="17"/>
  <c r="W32" i="17"/>
  <c r="W34" i="17"/>
  <c r="W30" i="17"/>
  <c r="W26" i="17"/>
  <c r="W25" i="17"/>
  <c r="W27" i="17"/>
  <c r="W21" i="17"/>
  <c r="W19" i="17"/>
  <c r="W17" i="17"/>
  <c r="W29" i="17"/>
  <c r="W23" i="17"/>
  <c r="W20" i="17"/>
  <c r="W22" i="17"/>
  <c r="W15" i="17"/>
  <c r="W18" i="17"/>
  <c r="W13" i="17"/>
  <c r="W14" i="17"/>
  <c r="W28" i="17"/>
  <c r="W12" i="17"/>
  <c r="W11" i="17"/>
  <c r="W24" i="17"/>
  <c r="X8" i="17"/>
  <c r="X16" i="17" s="1"/>
  <c r="W10" i="17"/>
  <c r="W36" i="17" l="1"/>
  <c r="L36" i="17"/>
  <c r="M36" i="17"/>
  <c r="N36" i="17"/>
  <c r="O36" i="17"/>
  <c r="P36" i="17"/>
  <c r="Q36" i="17"/>
  <c r="R36" i="17"/>
  <c r="S36" i="17"/>
  <c r="T36" i="17"/>
  <c r="U36" i="17"/>
  <c r="V36" i="17"/>
  <c r="X49" i="17"/>
  <c r="X50" i="17"/>
  <c r="X47" i="17"/>
  <c r="X43" i="17"/>
  <c r="X42" i="17"/>
  <c r="X48" i="17"/>
  <c r="X38" i="17"/>
  <c r="X36" i="17"/>
  <c r="X35" i="17"/>
  <c r="X33" i="17"/>
  <c r="X32" i="17"/>
  <c r="X27" i="17"/>
  <c r="X34" i="17"/>
  <c r="X30" i="17"/>
  <c r="X29" i="17"/>
  <c r="X26" i="17"/>
  <c r="X39" i="17"/>
  <c r="X25" i="17"/>
  <c r="X28" i="17"/>
  <c r="X21" i="17"/>
  <c r="X20" i="17"/>
  <c r="X31" i="17"/>
  <c r="X19" i="17"/>
  <c r="X17" i="17"/>
  <c r="X23" i="17"/>
  <c r="X15" i="17"/>
  <c r="X22" i="17"/>
  <c r="X18" i="17"/>
  <c r="X13" i="17"/>
  <c r="X24" i="17"/>
  <c r="X14" i="17"/>
  <c r="X11" i="17"/>
  <c r="X12" i="17"/>
  <c r="Y8" i="17"/>
  <c r="Y16" i="17" s="1"/>
  <c r="X10" i="17"/>
  <c r="L37" i="17" l="1"/>
  <c r="M37" i="17"/>
  <c r="N37" i="17"/>
  <c r="O37" i="17"/>
  <c r="P37" i="17"/>
  <c r="Q37" i="17"/>
  <c r="R37" i="17"/>
  <c r="S37" i="17"/>
  <c r="T37" i="17"/>
  <c r="U37" i="17"/>
  <c r="V37" i="17"/>
  <c r="W37" i="17"/>
  <c r="X37" i="17"/>
  <c r="Y49" i="17"/>
  <c r="Y47" i="17"/>
  <c r="Y43" i="17"/>
  <c r="Y42" i="17"/>
  <c r="Y50" i="17"/>
  <c r="Y48" i="17"/>
  <c r="Y37" i="17"/>
  <c r="Y38" i="17"/>
  <c r="Y36" i="17"/>
  <c r="Y35" i="17"/>
  <c r="Y33" i="17"/>
  <c r="Y32" i="17"/>
  <c r="Y34" i="17"/>
  <c r="Y29" i="17"/>
  <c r="Y39" i="17"/>
  <c r="Y24" i="17"/>
  <c r="Y30" i="17"/>
  <c r="Y23" i="17"/>
  <c r="Y31" i="17"/>
  <c r="Y26" i="17"/>
  <c r="Y17" i="17"/>
  <c r="Y27" i="17"/>
  <c r="Y18" i="17"/>
  <c r="Y28" i="17"/>
  <c r="Y21" i="17"/>
  <c r="Y20" i="17"/>
  <c r="Y15" i="17"/>
  <c r="Y22" i="17"/>
  <c r="Y13" i="17"/>
  <c r="Y25" i="17"/>
  <c r="Y12" i="17"/>
  <c r="Y11" i="17"/>
  <c r="Y19" i="17"/>
  <c r="Y14" i="17"/>
  <c r="Z8" i="17"/>
  <c r="Z16" i="17" s="1"/>
  <c r="Y10" i="17"/>
  <c r="L40" i="17" l="1"/>
  <c r="M40" i="17"/>
  <c r="N40" i="17"/>
  <c r="O40" i="17"/>
  <c r="P40" i="17"/>
  <c r="Q40" i="17"/>
  <c r="R40" i="17"/>
  <c r="S40" i="17"/>
  <c r="T40" i="17"/>
  <c r="U40" i="17"/>
  <c r="V40" i="17"/>
  <c r="W40" i="17"/>
  <c r="X40" i="17"/>
  <c r="Y40" i="17"/>
  <c r="Z49" i="17"/>
  <c r="Z47" i="17"/>
  <c r="Z50" i="17"/>
  <c r="Z43" i="17"/>
  <c r="Z42" i="17"/>
  <c r="Z48" i="17"/>
  <c r="Z40" i="17"/>
  <c r="Z37" i="17"/>
  <c r="Z38" i="17"/>
  <c r="Z36" i="17"/>
  <c r="Z35" i="17"/>
  <c r="Z33" i="17"/>
  <c r="Z32" i="17"/>
  <c r="Z27" i="17"/>
  <c r="Z34" i="17"/>
  <c r="Z39" i="17"/>
  <c r="Z30" i="17"/>
  <c r="Z25" i="17"/>
  <c r="Z28" i="17"/>
  <c r="Z31" i="17"/>
  <c r="Z29" i="17"/>
  <c r="Z26" i="17"/>
  <c r="Z20" i="17"/>
  <c r="Z18" i="17"/>
  <c r="Z24" i="17"/>
  <c r="Z22" i="17"/>
  <c r="Z13" i="17"/>
  <c r="Z12" i="17"/>
  <c r="Z23" i="17"/>
  <c r="Z11" i="17"/>
  <c r="Z19" i="17"/>
  <c r="Z15" i="17"/>
  <c r="Z17" i="17"/>
  <c r="Z14" i="17"/>
  <c r="Z21" i="17"/>
  <c r="AA8" i="17"/>
  <c r="AA16" i="17" s="1"/>
  <c r="AI7" i="17"/>
  <c r="Z10" i="17"/>
  <c r="Z41" i="17" l="1"/>
  <c r="L41" i="17"/>
  <c r="M41" i="17"/>
  <c r="N41" i="17"/>
  <c r="O41" i="17"/>
  <c r="P41" i="17"/>
  <c r="Q41" i="17"/>
  <c r="R41" i="17"/>
  <c r="S41" i="17"/>
  <c r="T41" i="17"/>
  <c r="U41" i="17"/>
  <c r="V41" i="17"/>
  <c r="W41" i="17"/>
  <c r="X41" i="17"/>
  <c r="Y41" i="17"/>
  <c r="AA49" i="17"/>
  <c r="AA47" i="17"/>
  <c r="AA48" i="17"/>
  <c r="AA50" i="17"/>
  <c r="AA43" i="17"/>
  <c r="AA42" i="17"/>
  <c r="AA40" i="17"/>
  <c r="AA41" i="17"/>
  <c r="AA38" i="17"/>
  <c r="AA36" i="17"/>
  <c r="AA35" i="17"/>
  <c r="AA33" i="17"/>
  <c r="AA32" i="17"/>
  <c r="AA37" i="17"/>
  <c r="AA34" i="17"/>
  <c r="AA39" i="17"/>
  <c r="AA30" i="17"/>
  <c r="AA25" i="17"/>
  <c r="AA28" i="17"/>
  <c r="AA31" i="17"/>
  <c r="AA27" i="17"/>
  <c r="AA26" i="17"/>
  <c r="AA18" i="17"/>
  <c r="AA29" i="17"/>
  <c r="AA24" i="17"/>
  <c r="AA13" i="17"/>
  <c r="AA23" i="17"/>
  <c r="AA12" i="17"/>
  <c r="AA20" i="17"/>
  <c r="AA14" i="17"/>
  <c r="AA19" i="17"/>
  <c r="AA17" i="17"/>
  <c r="AA15" i="17"/>
  <c r="AA22" i="17"/>
  <c r="AA11" i="17"/>
  <c r="AA21" i="17"/>
  <c r="AB8" i="17"/>
  <c r="AB16" i="17" s="1"/>
  <c r="AA10" i="17"/>
  <c r="L44" i="17" l="1"/>
  <c r="M44" i="17"/>
  <c r="N44" i="17"/>
  <c r="O44" i="17"/>
  <c r="P44" i="17"/>
  <c r="Q44" i="17"/>
  <c r="R44" i="17"/>
  <c r="S44" i="17"/>
  <c r="T44" i="17"/>
  <c r="U44" i="17"/>
  <c r="V44" i="17"/>
  <c r="W44" i="17"/>
  <c r="X44" i="17"/>
  <c r="Y44" i="17"/>
  <c r="Z44" i="17"/>
  <c r="AA44" i="17"/>
  <c r="AB47" i="17"/>
  <c r="AB48" i="17"/>
  <c r="AB49" i="17"/>
  <c r="AB50" i="17"/>
  <c r="AB41" i="17"/>
  <c r="AB43" i="17"/>
  <c r="AB42" i="17"/>
  <c r="AB40" i="17"/>
  <c r="AB44" i="17"/>
  <c r="AB38" i="17"/>
  <c r="AB36" i="17"/>
  <c r="AB35" i="17"/>
  <c r="AB32" i="17"/>
  <c r="AB34" i="17"/>
  <c r="AB37" i="17"/>
  <c r="AB39" i="17"/>
  <c r="AB30" i="17"/>
  <c r="AB25" i="17"/>
  <c r="AB28" i="17"/>
  <c r="AB31" i="17"/>
  <c r="AB27" i="17"/>
  <c r="AB29" i="17"/>
  <c r="AB26" i="17"/>
  <c r="AB20" i="17"/>
  <c r="AB24" i="17"/>
  <c r="AB23" i="17"/>
  <c r="AB33" i="17"/>
  <c r="AB18" i="17"/>
  <c r="AB12" i="17"/>
  <c r="AB14" i="17"/>
  <c r="AB19" i="17"/>
  <c r="AB17" i="17"/>
  <c r="AB22" i="17"/>
  <c r="AB15" i="17"/>
  <c r="AB11" i="17"/>
  <c r="AB13" i="17"/>
  <c r="AB21" i="17"/>
  <c r="AB10" i="17"/>
  <c r="AC8" i="17"/>
  <c r="AC16" i="17" s="1"/>
  <c r="L45" i="17" l="1"/>
  <c r="M45" i="17"/>
  <c r="N45" i="17"/>
  <c r="O45" i="17"/>
  <c r="P45" i="17"/>
  <c r="Q45" i="17"/>
  <c r="R45" i="17"/>
  <c r="S45" i="17"/>
  <c r="T45" i="17"/>
  <c r="U45" i="17"/>
  <c r="V45" i="17"/>
  <c r="W45" i="17"/>
  <c r="X45" i="17"/>
  <c r="Y45" i="17"/>
  <c r="Z45" i="17"/>
  <c r="AA45" i="17"/>
  <c r="AB45" i="17"/>
  <c r="AC49" i="17"/>
  <c r="AC48" i="17"/>
  <c r="AC47" i="17"/>
  <c r="AC50" i="17"/>
  <c r="AC43" i="17"/>
  <c r="AC42" i="17"/>
  <c r="AC44" i="17"/>
  <c r="AC40" i="17"/>
  <c r="AC45" i="17"/>
  <c r="AC41" i="17"/>
  <c r="AC38" i="17"/>
  <c r="AC36" i="17"/>
  <c r="AC35" i="17"/>
  <c r="AC32" i="17"/>
  <c r="AC37" i="17"/>
  <c r="AC34" i="17"/>
  <c r="AC26" i="17"/>
  <c r="AC39" i="17"/>
  <c r="AC30" i="17"/>
  <c r="AC28" i="17"/>
  <c r="AC31" i="17"/>
  <c r="AC27" i="17"/>
  <c r="AC29" i="17"/>
  <c r="AC33" i="17"/>
  <c r="AC20" i="17"/>
  <c r="AC24" i="17"/>
  <c r="AC23" i="17"/>
  <c r="AC19" i="17"/>
  <c r="AC18" i="17"/>
  <c r="AC25" i="17"/>
  <c r="AC12" i="17"/>
  <c r="AC14" i="17"/>
  <c r="AC17" i="17"/>
  <c r="AC15" i="17"/>
  <c r="AC22" i="17"/>
  <c r="AC13" i="17"/>
  <c r="AC21" i="17"/>
  <c r="AC11" i="17"/>
  <c r="AC10" i="17"/>
  <c r="AD8" i="17"/>
  <c r="AD16" i="17" s="1"/>
  <c r="AC46" i="17" l="1"/>
  <c r="L46" i="17"/>
  <c r="M46" i="17"/>
  <c r="N46" i="17"/>
  <c r="O46" i="17"/>
  <c r="P46" i="17"/>
  <c r="Q46" i="17"/>
  <c r="R46" i="17"/>
  <c r="S46" i="17"/>
  <c r="T46" i="17"/>
  <c r="U46" i="17"/>
  <c r="V46" i="17"/>
  <c r="W46" i="17"/>
  <c r="X46" i="17"/>
  <c r="Y46" i="17"/>
  <c r="Z46" i="17"/>
  <c r="AA46" i="17"/>
  <c r="AB46" i="17"/>
  <c r="AD48" i="17"/>
  <c r="AD47" i="17"/>
  <c r="AD43" i="17"/>
  <c r="AD50" i="17"/>
  <c r="AD45" i="17"/>
  <c r="AD42" i="17"/>
  <c r="AD49" i="17"/>
  <c r="AD46" i="17"/>
  <c r="AD40" i="17"/>
  <c r="AD44" i="17"/>
  <c r="AD39" i="17"/>
  <c r="AD41" i="17"/>
  <c r="AD38" i="17"/>
  <c r="AD36" i="17"/>
  <c r="AD35" i="17"/>
  <c r="AD32" i="17"/>
  <c r="AD37" i="17"/>
  <c r="AD34" i="17"/>
  <c r="AD30" i="17"/>
  <c r="AD29" i="17"/>
  <c r="AD28" i="17"/>
  <c r="AD31" i="17"/>
  <c r="AD27" i="17"/>
  <c r="AD22" i="17"/>
  <c r="AD33" i="17"/>
  <c r="AD26" i="17"/>
  <c r="AD24" i="17"/>
  <c r="AD23" i="17"/>
  <c r="AD18" i="17"/>
  <c r="AD25" i="17"/>
  <c r="AD21" i="17"/>
  <c r="AD12" i="17"/>
  <c r="AD11" i="17"/>
  <c r="AD14" i="17"/>
  <c r="AD20" i="17"/>
  <c r="AD15" i="17"/>
  <c r="AD19" i="17"/>
  <c r="AD17" i="17"/>
  <c r="AD13" i="17"/>
  <c r="AD10" i="17"/>
  <c r="AE8" i="17"/>
  <c r="AE16" i="17" s="1"/>
  <c r="AE48" i="17" l="1"/>
  <c r="AE46" i="17"/>
  <c r="AE45" i="17"/>
  <c r="AE47" i="17"/>
  <c r="AE50" i="17"/>
  <c r="AE43" i="17"/>
  <c r="AE42" i="17"/>
  <c r="AE49" i="17"/>
  <c r="AE44" i="17"/>
  <c r="AE40" i="17"/>
  <c r="AE37" i="17"/>
  <c r="AE39" i="17"/>
  <c r="AE41" i="17"/>
  <c r="AE36" i="17"/>
  <c r="AE35" i="17"/>
  <c r="AE34" i="17"/>
  <c r="AE32" i="17"/>
  <c r="AE26" i="17"/>
  <c r="AE30" i="17"/>
  <c r="AE29" i="17"/>
  <c r="AE38" i="17"/>
  <c r="AE31" i="17"/>
  <c r="AE28" i="17"/>
  <c r="AE27" i="17"/>
  <c r="AE33" i="17"/>
  <c r="AE24" i="17"/>
  <c r="AE23" i="17"/>
  <c r="AE19" i="17"/>
  <c r="AE22" i="17"/>
  <c r="AE25" i="17"/>
  <c r="AE21" i="17"/>
  <c r="AE11" i="17"/>
  <c r="AE18" i="17"/>
  <c r="AE12" i="17"/>
  <c r="AE14" i="17"/>
  <c r="AE20" i="17"/>
  <c r="AE15" i="17"/>
  <c r="AE13" i="17"/>
  <c r="AE17" i="17"/>
  <c r="AF8" i="17"/>
  <c r="AF16" i="17" s="1"/>
  <c r="AE10" i="17"/>
  <c r="AF48" i="17" l="1"/>
  <c r="AF50" i="17"/>
  <c r="AF47" i="17"/>
  <c r="AF45" i="17"/>
  <c r="AF49" i="17"/>
  <c r="AF46" i="17"/>
  <c r="AF44" i="17"/>
  <c r="AF39" i="17"/>
  <c r="AF43" i="17"/>
  <c r="AF40" i="17"/>
  <c r="AF41" i="17"/>
  <c r="AF34" i="17"/>
  <c r="AF42" i="17"/>
  <c r="AF35" i="17"/>
  <c r="AF32" i="17"/>
  <c r="AF37" i="17"/>
  <c r="AF30" i="17"/>
  <c r="AF29" i="17"/>
  <c r="AF31" i="17"/>
  <c r="AF28" i="17"/>
  <c r="AF27" i="17"/>
  <c r="AF38" i="17"/>
  <c r="AF33" i="17"/>
  <c r="AF24" i="17"/>
  <c r="AF22" i="17"/>
  <c r="AF25" i="17"/>
  <c r="AF21" i="17"/>
  <c r="AF26" i="17"/>
  <c r="AF15" i="17"/>
  <c r="AF36" i="17"/>
  <c r="AF18" i="17"/>
  <c r="AF12" i="17"/>
  <c r="AF14" i="17"/>
  <c r="AF20" i="17"/>
  <c r="AF23" i="17"/>
  <c r="AF11" i="17"/>
  <c r="AF17" i="17"/>
  <c r="AF13" i="17"/>
  <c r="AF19" i="17"/>
  <c r="AG8" i="17"/>
  <c r="AG16" i="17" s="1"/>
  <c r="AF10" i="17"/>
  <c r="AG45" i="17" l="1"/>
  <c r="AG50" i="17"/>
  <c r="AG47" i="17"/>
  <c r="AG49" i="17"/>
  <c r="AG46" i="17"/>
  <c r="AG40" i="17"/>
  <c r="AG44" i="17"/>
  <c r="AG39" i="17"/>
  <c r="AG48" i="17"/>
  <c r="AG43" i="17"/>
  <c r="AG41" i="17"/>
  <c r="AG34" i="17"/>
  <c r="AG37" i="17"/>
  <c r="AG38" i="17"/>
  <c r="AG42" i="17"/>
  <c r="AG30" i="17"/>
  <c r="AG29" i="17"/>
  <c r="AG27" i="17"/>
  <c r="AG31" i="17"/>
  <c r="AG33" i="17"/>
  <c r="AG24" i="17"/>
  <c r="AG23" i="17"/>
  <c r="AG19" i="17"/>
  <c r="AG25" i="17"/>
  <c r="AG21" i="17"/>
  <c r="AG32" i="17"/>
  <c r="AG15" i="17"/>
  <c r="AG28" i="17"/>
  <c r="AG20" i="17"/>
  <c r="AG22" i="17"/>
  <c r="AG17" i="17"/>
  <c r="AG35" i="17"/>
  <c r="AG14" i="17"/>
  <c r="AG11" i="17"/>
  <c r="AG26" i="17"/>
  <c r="AG36" i="17"/>
  <c r="AG18" i="17"/>
  <c r="AG13" i="17"/>
  <c r="AG12" i="17"/>
  <c r="AG10" i="17"/>
  <c r="AG7" i="17"/>
  <c r="AH8" i="17"/>
  <c r="AH16" i="17" s="1"/>
  <c r="AH48" i="17" l="1"/>
  <c r="AH50" i="17"/>
  <c r="AH49" i="17"/>
  <c r="AH45" i="17"/>
  <c r="AH46" i="17"/>
  <c r="AH47" i="17"/>
  <c r="AH44" i="17"/>
  <c r="AH41" i="17"/>
  <c r="AH43" i="17"/>
  <c r="AH40" i="17"/>
  <c r="AH39" i="17"/>
  <c r="AH42" i="17"/>
  <c r="AH34" i="17"/>
  <c r="AH37" i="17"/>
  <c r="AH31" i="17"/>
  <c r="AH38" i="17"/>
  <c r="AH30" i="17"/>
  <c r="AH29" i="17"/>
  <c r="AH25" i="17"/>
  <c r="AH33" i="17"/>
  <c r="AH32" i="17"/>
  <c r="AH24" i="17"/>
  <c r="AH23" i="17"/>
  <c r="AH27" i="17"/>
  <c r="AH15" i="17"/>
  <c r="AH28" i="17"/>
  <c r="AH21" i="17"/>
  <c r="AH20" i="17"/>
  <c r="AH22" i="17"/>
  <c r="AH17" i="17"/>
  <c r="AH14" i="17"/>
  <c r="AH11" i="17"/>
  <c r="AH19" i="17"/>
  <c r="AH26" i="17"/>
  <c r="AH36" i="17"/>
  <c r="AH35" i="17"/>
  <c r="AH18" i="17"/>
  <c r="AH13" i="17"/>
  <c r="AH12" i="17"/>
  <c r="AH10" i="17"/>
  <c r="AI8" i="17"/>
  <c r="AI16" i="17" s="1"/>
  <c r="AI47" i="17" l="1"/>
  <c r="AI50" i="17"/>
  <c r="AI42" i="17"/>
  <c r="AI49" i="17"/>
  <c r="AI45" i="17"/>
  <c r="AI46" i="17"/>
  <c r="AI44" i="17"/>
  <c r="AI48" i="17"/>
  <c r="AI41" i="17"/>
  <c r="AI43" i="17"/>
  <c r="AI37" i="17"/>
  <c r="AI39" i="17"/>
  <c r="AI38" i="17"/>
  <c r="AI34" i="17"/>
  <c r="AI40" i="17"/>
  <c r="AI31" i="17"/>
  <c r="AI33" i="17"/>
  <c r="AI30" i="17"/>
  <c r="AI29" i="17"/>
  <c r="AI32" i="17"/>
  <c r="AI26" i="17"/>
  <c r="AI28" i="17"/>
  <c r="AI27" i="17"/>
  <c r="AI15" i="17"/>
  <c r="AI25" i="17"/>
  <c r="AI21" i="17"/>
  <c r="AI20" i="17"/>
  <c r="AI19" i="17"/>
  <c r="AI11" i="17"/>
  <c r="AI23" i="17"/>
  <c r="AI24" i="17"/>
  <c r="AI17" i="17"/>
  <c r="AI13" i="17"/>
  <c r="AI36" i="17"/>
  <c r="AI35" i="17"/>
  <c r="AI18" i="17"/>
  <c r="AI22" i="17"/>
  <c r="AI12" i="17"/>
  <c r="AI14" i="17"/>
  <c r="AJ8" i="17"/>
  <c r="AJ16" i="17" s="1"/>
  <c r="AI10" i="17"/>
  <c r="AJ50" i="17" l="1"/>
  <c r="AJ49" i="17"/>
  <c r="AJ45" i="17"/>
  <c r="AJ46" i="17"/>
  <c r="AJ47" i="17"/>
  <c r="AJ44" i="17"/>
  <c r="AJ48" i="17"/>
  <c r="AJ41" i="17"/>
  <c r="AJ43" i="17"/>
  <c r="AJ39" i="17"/>
  <c r="AJ38" i="17"/>
  <c r="AJ42" i="17"/>
  <c r="AJ34" i="17"/>
  <c r="AJ37" i="17"/>
  <c r="AJ40" i="17"/>
  <c r="AJ31" i="17"/>
  <c r="AJ33" i="17"/>
  <c r="AJ29" i="17"/>
  <c r="AJ28" i="17"/>
  <c r="AJ32" i="17"/>
  <c r="AJ27" i="17"/>
  <c r="AJ30" i="17"/>
  <c r="AJ25" i="17"/>
  <c r="AJ21" i="17"/>
  <c r="AJ20" i="17"/>
  <c r="AJ35" i="17"/>
  <c r="AJ23" i="17"/>
  <c r="AJ19" i="17"/>
  <c r="AJ11" i="17"/>
  <c r="AJ24" i="17"/>
  <c r="AJ17" i="17"/>
  <c r="AJ13" i="17"/>
  <c r="AJ15" i="17"/>
  <c r="AJ36" i="17"/>
  <c r="AJ26" i="17"/>
  <c r="AJ12" i="17"/>
  <c r="AJ18" i="17"/>
  <c r="AJ22" i="17"/>
  <c r="AJ14" i="17"/>
  <c r="AK8" i="17"/>
  <c r="AK16" i="17" s="1"/>
  <c r="AJ10" i="17"/>
  <c r="AK50" i="17" l="1"/>
  <c r="AK46" i="17"/>
  <c r="AK49" i="17"/>
  <c r="AK45" i="17"/>
  <c r="AK44" i="17"/>
  <c r="AK48" i="17"/>
  <c r="AK41" i="17"/>
  <c r="AK43" i="17"/>
  <c r="AK47" i="17"/>
  <c r="AK39" i="17"/>
  <c r="AK38" i="17"/>
  <c r="AK42" i="17"/>
  <c r="AK40" i="17"/>
  <c r="AK37" i="17"/>
  <c r="AK31" i="17"/>
  <c r="AK34" i="17"/>
  <c r="AK33" i="17"/>
  <c r="AK29" i="17"/>
  <c r="AK32" i="17"/>
  <c r="AK24" i="17"/>
  <c r="AK27" i="17"/>
  <c r="AK22" i="17"/>
  <c r="AK28" i="17"/>
  <c r="AK30" i="17"/>
  <c r="AK25" i="17"/>
  <c r="AK21" i="17"/>
  <c r="AK20" i="17"/>
  <c r="AK14" i="17"/>
  <c r="AK35" i="17"/>
  <c r="AK23" i="17"/>
  <c r="AK26" i="17"/>
  <c r="AK11" i="17"/>
  <c r="AK17" i="17"/>
  <c r="AK19" i="17"/>
  <c r="AK15" i="17"/>
  <c r="AK36" i="17"/>
  <c r="AK18" i="17"/>
  <c r="AK12" i="17"/>
  <c r="AK13" i="17"/>
  <c r="AL8" i="17"/>
  <c r="AL16" i="17" s="1"/>
  <c r="AK10" i="17"/>
  <c r="AL50" i="17" l="1"/>
  <c r="AL44" i="17"/>
  <c r="AL49" i="17"/>
  <c r="AL45" i="17"/>
  <c r="AL46" i="17"/>
  <c r="AL48" i="17"/>
  <c r="AL39" i="17"/>
  <c r="AL41" i="17"/>
  <c r="AL43" i="17"/>
  <c r="AL42" i="17"/>
  <c r="AL38" i="17"/>
  <c r="AL40" i="17"/>
  <c r="AL37" i="17"/>
  <c r="AL47" i="17"/>
  <c r="AL34" i="17"/>
  <c r="AL33" i="17"/>
  <c r="AL31" i="17"/>
  <c r="AL29" i="17"/>
  <c r="AL32" i="17"/>
  <c r="AL26" i="17"/>
  <c r="AL18" i="17"/>
  <c r="AL27" i="17"/>
  <c r="AL22" i="17"/>
  <c r="AL30" i="17"/>
  <c r="AL21" i="17"/>
  <c r="AL36" i="17"/>
  <c r="AL25" i="17"/>
  <c r="AL20" i="17"/>
  <c r="AL14" i="17"/>
  <c r="AL28" i="17"/>
  <c r="AL35" i="17"/>
  <c r="AL23" i="17"/>
  <c r="AL17" i="17"/>
  <c r="AL24" i="17"/>
  <c r="AL19" i="17"/>
  <c r="AL15" i="17"/>
  <c r="AL13" i="17"/>
  <c r="AL12" i="17"/>
  <c r="AL11" i="17"/>
  <c r="AM8" i="17"/>
  <c r="AM16" i="17" s="1"/>
  <c r="AL10" i="17"/>
  <c r="AM50" i="17" l="1"/>
  <c r="AM48" i="17"/>
  <c r="AM49" i="17"/>
  <c r="AM45" i="17"/>
  <c r="AM46" i="17"/>
  <c r="AM44" i="17"/>
  <c r="AM43" i="17"/>
  <c r="AM42" i="17"/>
  <c r="AM39" i="17"/>
  <c r="AM38" i="17"/>
  <c r="AM41" i="17"/>
  <c r="AM47" i="17"/>
  <c r="AM40" i="17"/>
  <c r="AM36" i="17"/>
  <c r="AM35" i="17"/>
  <c r="AM37" i="17"/>
  <c r="AM34" i="17"/>
  <c r="AM28" i="17"/>
  <c r="AM31" i="17"/>
  <c r="AM33" i="17"/>
  <c r="AM29" i="17"/>
  <c r="AM32" i="17"/>
  <c r="AM27" i="17"/>
  <c r="AM22" i="17"/>
  <c r="AM30" i="17"/>
  <c r="AM21" i="17"/>
  <c r="AM25" i="17"/>
  <c r="AM20" i="17"/>
  <c r="AM23" i="17"/>
  <c r="AM26" i="17"/>
  <c r="AM18" i="17"/>
  <c r="AM17" i="17"/>
  <c r="AM24" i="17"/>
  <c r="AM19" i="17"/>
  <c r="AM15" i="17"/>
  <c r="AM13" i="17"/>
  <c r="AM12" i="17"/>
  <c r="AM14" i="17"/>
  <c r="AM11" i="17"/>
  <c r="AM10" i="17"/>
  <c r="AN8" i="17"/>
  <c r="AN16" i="17" s="1"/>
  <c r="AN50" i="17" l="1"/>
  <c r="AN46" i="17"/>
  <c r="AN48" i="17"/>
  <c r="AN49" i="17"/>
  <c r="AN45" i="17"/>
  <c r="AN41" i="17"/>
  <c r="AN42" i="17"/>
  <c r="AN39" i="17"/>
  <c r="AN38" i="17"/>
  <c r="AN36" i="17"/>
  <c r="AN44" i="17"/>
  <c r="AN47" i="17"/>
  <c r="AN43" i="17"/>
  <c r="AN40" i="17"/>
  <c r="AN37" i="17"/>
  <c r="AN34" i="17"/>
  <c r="AN33" i="17"/>
  <c r="AN32" i="17"/>
  <c r="AN31" i="17"/>
  <c r="AN29" i="17"/>
  <c r="AN24" i="17"/>
  <c r="AN26" i="17"/>
  <c r="AN27" i="17"/>
  <c r="AN22" i="17"/>
  <c r="AN30" i="17"/>
  <c r="AN21" i="17"/>
  <c r="AN25" i="17"/>
  <c r="AN35" i="17"/>
  <c r="AN14" i="17"/>
  <c r="AN28" i="17"/>
  <c r="AN23" i="17"/>
  <c r="AN17" i="17"/>
  <c r="AN18" i="17"/>
  <c r="AN20" i="17"/>
  <c r="AN19" i="17"/>
  <c r="AN13" i="17"/>
  <c r="AN12" i="17"/>
  <c r="AN15" i="17"/>
  <c r="AN11" i="17"/>
  <c r="AN7" i="17"/>
  <c r="AN10" i="17"/>
  <c r="AO8" i="17"/>
  <c r="AO16" i="17" s="1"/>
  <c r="AO50" i="17" l="1"/>
  <c r="AO49" i="17"/>
  <c r="AO48" i="17"/>
  <c r="AO46" i="17"/>
  <c r="AO44" i="17"/>
  <c r="AO42" i="17"/>
  <c r="AO47" i="17"/>
  <c r="AO41" i="17"/>
  <c r="AO45" i="17"/>
  <c r="AO43" i="17"/>
  <c r="AO40" i="17"/>
  <c r="AO37" i="17"/>
  <c r="AO36" i="17"/>
  <c r="AO38" i="17"/>
  <c r="AO34" i="17"/>
  <c r="AO33" i="17"/>
  <c r="AO32" i="17"/>
  <c r="AO35" i="17"/>
  <c r="AO28" i="17"/>
  <c r="AO39" i="17"/>
  <c r="AO31" i="17"/>
  <c r="AO29" i="17"/>
  <c r="AO26" i="17"/>
  <c r="AO25" i="17"/>
  <c r="AO27" i="17"/>
  <c r="AO30" i="17"/>
  <c r="AO21" i="17"/>
  <c r="AO23" i="17"/>
  <c r="AO17" i="17"/>
  <c r="AO24" i="17"/>
  <c r="AO19" i="17"/>
  <c r="AO20" i="17"/>
  <c r="AO13" i="17"/>
  <c r="AO12" i="17"/>
  <c r="AO18" i="17"/>
  <c r="AO11" i="17"/>
  <c r="AO22" i="17"/>
  <c r="AO14" i="17"/>
  <c r="AO15" i="17"/>
  <c r="AO10" i="17"/>
  <c r="AP8" i="17"/>
  <c r="AP16" i="17" s="1"/>
  <c r="AP49" i="17" l="1"/>
  <c r="AP50" i="17"/>
  <c r="AP46" i="17"/>
  <c r="AP48" i="17"/>
  <c r="AP47" i="17"/>
  <c r="AP44" i="17"/>
  <c r="AP42" i="17"/>
  <c r="AP41" i="17"/>
  <c r="AP45" i="17"/>
  <c r="AP43" i="17"/>
  <c r="AP40" i="17"/>
  <c r="AP37" i="17"/>
  <c r="AP39" i="17"/>
  <c r="AP30" i="17"/>
  <c r="AP38" i="17"/>
  <c r="AP34" i="17"/>
  <c r="AP33" i="17"/>
  <c r="AP35" i="17"/>
  <c r="AP36" i="17"/>
  <c r="AP31" i="17"/>
  <c r="AP32" i="17"/>
  <c r="AP26" i="17"/>
  <c r="AP27" i="17"/>
  <c r="AP22" i="17"/>
  <c r="AP25" i="17"/>
  <c r="AP23" i="17"/>
  <c r="AP21" i="17"/>
  <c r="AP28" i="17"/>
  <c r="AP17" i="17"/>
  <c r="AP29" i="17"/>
  <c r="AP24" i="17"/>
  <c r="AP19" i="17"/>
  <c r="AP20" i="17"/>
  <c r="AP13" i="17"/>
  <c r="AP15" i="17"/>
  <c r="AP12" i="17"/>
  <c r="AP18" i="17"/>
  <c r="AP11" i="17"/>
  <c r="AP14" i="17"/>
  <c r="AP10" i="17"/>
  <c r="AQ8" i="17"/>
  <c r="AQ16" i="17" s="1"/>
  <c r="AQ49" i="17" l="1"/>
  <c r="AQ50" i="17"/>
  <c r="AQ48" i="17"/>
  <c r="AQ47" i="17"/>
  <c r="AQ46" i="17"/>
  <c r="AQ44" i="17"/>
  <c r="AQ38" i="17"/>
  <c r="AQ41" i="17"/>
  <c r="AQ43" i="17"/>
  <c r="AQ42" i="17"/>
  <c r="AQ45" i="17"/>
  <c r="AQ40" i="17"/>
  <c r="AQ37" i="17"/>
  <c r="AQ39" i="17"/>
  <c r="AQ34" i="17"/>
  <c r="AQ33" i="17"/>
  <c r="AQ36" i="17"/>
  <c r="AQ31" i="17"/>
  <c r="AQ32" i="17"/>
  <c r="AQ35" i="17"/>
  <c r="AQ25" i="17"/>
  <c r="AQ27" i="17"/>
  <c r="AQ22" i="17"/>
  <c r="AQ21" i="17"/>
  <c r="AQ30" i="17"/>
  <c r="AQ23" i="17"/>
  <c r="AQ29" i="17"/>
  <c r="AQ28" i="17"/>
  <c r="AQ17" i="17"/>
  <c r="AQ26" i="17"/>
  <c r="AQ24" i="17"/>
  <c r="AQ19" i="17"/>
  <c r="AQ20" i="17"/>
  <c r="AQ13" i="17"/>
  <c r="AQ15" i="17"/>
  <c r="AQ18" i="17"/>
  <c r="AQ12" i="17"/>
  <c r="AQ14" i="17"/>
  <c r="AQ11" i="17"/>
  <c r="AQ10" i="17"/>
  <c r="AR8" i="17"/>
  <c r="AR16" i="17" s="1"/>
  <c r="AR49" i="17" l="1"/>
  <c r="AR50" i="17"/>
  <c r="AR48" i="17"/>
  <c r="AR47" i="17"/>
  <c r="AR46" i="17"/>
  <c r="AR44" i="17"/>
  <c r="AR43" i="17"/>
  <c r="AR42" i="17"/>
  <c r="AR45" i="17"/>
  <c r="AR41" i="17"/>
  <c r="AR40" i="17"/>
  <c r="AR37" i="17"/>
  <c r="AR35" i="17"/>
  <c r="AR34" i="17"/>
  <c r="AR38" i="17"/>
  <c r="AR33" i="17"/>
  <c r="AR39" i="17"/>
  <c r="AR27" i="17"/>
  <c r="AR31" i="17"/>
  <c r="AR36" i="17"/>
  <c r="AR30" i="17"/>
  <c r="AR29" i="17"/>
  <c r="AR32" i="17"/>
  <c r="AR26" i="17"/>
  <c r="AR25" i="17"/>
  <c r="AR28" i="17"/>
  <c r="AR21" i="17"/>
  <c r="AR20" i="17"/>
  <c r="AR24" i="17"/>
  <c r="AR23" i="17"/>
  <c r="AR17" i="17"/>
  <c r="AR19" i="17"/>
  <c r="AR15" i="17"/>
  <c r="AR13" i="17"/>
  <c r="AR18" i="17"/>
  <c r="AR11" i="17"/>
  <c r="AR12" i="17"/>
  <c r="AR14" i="17"/>
  <c r="AR22" i="17"/>
  <c r="AR10" i="17"/>
  <c r="AS8" i="17"/>
  <c r="AS16" i="17" s="1"/>
  <c r="AS49" i="17" l="1"/>
  <c r="AS50" i="17"/>
  <c r="AS48" i="17"/>
  <c r="AS47" i="17"/>
  <c r="AS44" i="17"/>
  <c r="AS43" i="17"/>
  <c r="AS46" i="17"/>
  <c r="AS41" i="17"/>
  <c r="AS42" i="17"/>
  <c r="AS45" i="17"/>
  <c r="AS40" i="17"/>
  <c r="AS37" i="17"/>
  <c r="AS35" i="17"/>
  <c r="AS36" i="17"/>
  <c r="AS38" i="17"/>
  <c r="AS34" i="17"/>
  <c r="AS33" i="17"/>
  <c r="AS32" i="17"/>
  <c r="AS39" i="17"/>
  <c r="AS31" i="17"/>
  <c r="AS30" i="17"/>
  <c r="AS29" i="17"/>
  <c r="AS24" i="17"/>
  <c r="AS26" i="17"/>
  <c r="AS25" i="17"/>
  <c r="AS23" i="17"/>
  <c r="AS28" i="17"/>
  <c r="AS27" i="17"/>
  <c r="AS17" i="17"/>
  <c r="AS19" i="17"/>
  <c r="AS22" i="17"/>
  <c r="AS21" i="17"/>
  <c r="AS13" i="17"/>
  <c r="AS15" i="17"/>
  <c r="AS12" i="17"/>
  <c r="AS18" i="17"/>
  <c r="AS14" i="17"/>
  <c r="AS11" i="17"/>
  <c r="AS20" i="17"/>
  <c r="AT8" i="17"/>
  <c r="AT16" i="17" s="1"/>
  <c r="AS10" i="17"/>
  <c r="AT49" i="17" l="1"/>
  <c r="AT50" i="17"/>
  <c r="AT47" i="17"/>
  <c r="AT46" i="17"/>
  <c r="AT48" i="17"/>
  <c r="AT44" i="17"/>
  <c r="AT43" i="17"/>
  <c r="AT42" i="17"/>
  <c r="AT40" i="17"/>
  <c r="AT45" i="17"/>
  <c r="AT41" i="17"/>
  <c r="AT37" i="17"/>
  <c r="AT35" i="17"/>
  <c r="AT36" i="17"/>
  <c r="AT38" i="17"/>
  <c r="AT34" i="17"/>
  <c r="AT33" i="17"/>
  <c r="AT32" i="17"/>
  <c r="AT27" i="17"/>
  <c r="AT31" i="17"/>
  <c r="AT39" i="17"/>
  <c r="AT26" i="17"/>
  <c r="AT30" i="17"/>
  <c r="AT25" i="17"/>
  <c r="AT20" i="17"/>
  <c r="AT28" i="17"/>
  <c r="AT29" i="17"/>
  <c r="AT24" i="17"/>
  <c r="AT19" i="17"/>
  <c r="AT22" i="17"/>
  <c r="AT18" i="17"/>
  <c r="AT23" i="17"/>
  <c r="AT13" i="17"/>
  <c r="AT17" i="17"/>
  <c r="AT15" i="17"/>
  <c r="AT12" i="17"/>
  <c r="AT14" i="17"/>
  <c r="AT11" i="17"/>
  <c r="AT21" i="17"/>
  <c r="AT10" i="17"/>
  <c r="AU8" i="17"/>
  <c r="AU16" i="17" s="1"/>
  <c r="AU48" i="17" l="1"/>
  <c r="AU50" i="17"/>
  <c r="AU47" i="17"/>
  <c r="AU49" i="17"/>
  <c r="AU43" i="17"/>
  <c r="AU42" i="17"/>
  <c r="AU45" i="17"/>
  <c r="AU40" i="17"/>
  <c r="AU46" i="17"/>
  <c r="AU44" i="17"/>
  <c r="AU37" i="17"/>
  <c r="AU35" i="17"/>
  <c r="AU36" i="17"/>
  <c r="AU39" i="17"/>
  <c r="AU33" i="17"/>
  <c r="AU38" i="17"/>
  <c r="AU32" i="17"/>
  <c r="AU31" i="17"/>
  <c r="AU41" i="17"/>
  <c r="AU25" i="17"/>
  <c r="AU28" i="17"/>
  <c r="AU27" i="17"/>
  <c r="AU30" i="17"/>
  <c r="AU26" i="17"/>
  <c r="AU34" i="17"/>
  <c r="AU19" i="17"/>
  <c r="AU29" i="17"/>
  <c r="AU24" i="17"/>
  <c r="AU22" i="17"/>
  <c r="AU18" i="17"/>
  <c r="AU17" i="17"/>
  <c r="AU13" i="17"/>
  <c r="AU23" i="17"/>
  <c r="AU15" i="17"/>
  <c r="AU12" i="17"/>
  <c r="AU21" i="17"/>
  <c r="AU20" i="17"/>
  <c r="AU11" i="17"/>
  <c r="AU14" i="17"/>
  <c r="AU10" i="17"/>
  <c r="AU7" i="17"/>
  <c r="AV8" i="17"/>
  <c r="AV16" i="17" s="1"/>
  <c r="AV48" i="17" l="1"/>
  <c r="AV47" i="17"/>
  <c r="AV46" i="17"/>
  <c r="AV49" i="17"/>
  <c r="AV50" i="17"/>
  <c r="AV41" i="17"/>
  <c r="AV43" i="17"/>
  <c r="AV42" i="17"/>
  <c r="AV40" i="17"/>
  <c r="AV45" i="17"/>
  <c r="AV44" i="17"/>
  <c r="AV37" i="17"/>
  <c r="AV35" i="17"/>
  <c r="AV36" i="17"/>
  <c r="AV39" i="17"/>
  <c r="AV38" i="17"/>
  <c r="AV32" i="17"/>
  <c r="AV33" i="17"/>
  <c r="AV25" i="17"/>
  <c r="AV34" i="17"/>
  <c r="AV30" i="17"/>
  <c r="AV20" i="17"/>
  <c r="AV28" i="17"/>
  <c r="AV26" i="17"/>
  <c r="AV29" i="17"/>
  <c r="AV24" i="17"/>
  <c r="AV22" i="17"/>
  <c r="AV18" i="17"/>
  <c r="AV27" i="17"/>
  <c r="AV23" i="17"/>
  <c r="AV19" i="17"/>
  <c r="AV15" i="17"/>
  <c r="AV12" i="17"/>
  <c r="AV21" i="17"/>
  <c r="AV31" i="17"/>
  <c r="AV13" i="17"/>
  <c r="AV14" i="17"/>
  <c r="AV11" i="17"/>
  <c r="AV17" i="17"/>
  <c r="AV10" i="17"/>
  <c r="AW8" i="17"/>
  <c r="AW16" i="17" s="1"/>
  <c r="AW48" i="17" l="1"/>
  <c r="AW50" i="17"/>
  <c r="AW47" i="17"/>
  <c r="AW49" i="17"/>
  <c r="AW43" i="17"/>
  <c r="AW42" i="17"/>
  <c r="AW45" i="17"/>
  <c r="AW46" i="17"/>
  <c r="AW44" i="17"/>
  <c r="AW40" i="17"/>
  <c r="AW35" i="17"/>
  <c r="AW36" i="17"/>
  <c r="AW39" i="17"/>
  <c r="AW38" i="17"/>
  <c r="AW32" i="17"/>
  <c r="AW41" i="17"/>
  <c r="AW26" i="17"/>
  <c r="AW30" i="17"/>
  <c r="AW33" i="17"/>
  <c r="AW25" i="17"/>
  <c r="AW28" i="17"/>
  <c r="AW27" i="17"/>
  <c r="AW34" i="17"/>
  <c r="AW20" i="17"/>
  <c r="AW19" i="17"/>
  <c r="AW23" i="17"/>
  <c r="AW29" i="17"/>
  <c r="AW24" i="17"/>
  <c r="AW22" i="17"/>
  <c r="AW18" i="17"/>
  <c r="AW15" i="17"/>
  <c r="AW12" i="17"/>
  <c r="AW37" i="17"/>
  <c r="AW31" i="17"/>
  <c r="AW11" i="17"/>
  <c r="AW13" i="17"/>
  <c r="AW14" i="17"/>
  <c r="AW17" i="17"/>
  <c r="AW21" i="17"/>
  <c r="AW10" i="17"/>
  <c r="AX8" i="17"/>
  <c r="AX16" i="17" s="1"/>
  <c r="AX48" i="17" l="1"/>
  <c r="AX49" i="17"/>
  <c r="AX50" i="17"/>
  <c r="AX47" i="17"/>
  <c r="AX43" i="17"/>
  <c r="AX42" i="17"/>
  <c r="AX40" i="17"/>
  <c r="AX45" i="17"/>
  <c r="AX46" i="17"/>
  <c r="AX35" i="17"/>
  <c r="AX36" i="17"/>
  <c r="AX39" i="17"/>
  <c r="AX38" i="17"/>
  <c r="AX32" i="17"/>
  <c r="AX41" i="17"/>
  <c r="AX44" i="17"/>
  <c r="AX30" i="17"/>
  <c r="AX29" i="17"/>
  <c r="AX33" i="17"/>
  <c r="AX28" i="17"/>
  <c r="AX27" i="17"/>
  <c r="AX22" i="17"/>
  <c r="AX34" i="17"/>
  <c r="AX25" i="17"/>
  <c r="AX23" i="17"/>
  <c r="AX24" i="17"/>
  <c r="AX18" i="17"/>
  <c r="AX26" i="17"/>
  <c r="AX15" i="17"/>
  <c r="AX11" i="17"/>
  <c r="AX19" i="17"/>
  <c r="AX12" i="17"/>
  <c r="AX14" i="17"/>
  <c r="AX37" i="17"/>
  <c r="AX31" i="17"/>
  <c r="AX13" i="17"/>
  <c r="AX20" i="17"/>
  <c r="AX17" i="17"/>
  <c r="AX21" i="17"/>
  <c r="AX10" i="17"/>
  <c r="AY8" i="17"/>
  <c r="AY16" i="17" s="1"/>
  <c r="AY48" i="17" l="1"/>
  <c r="AY47" i="17"/>
  <c r="AY46" i="17"/>
  <c r="AY49" i="17"/>
  <c r="AY50" i="17"/>
  <c r="AY45" i="17"/>
  <c r="AY42" i="17"/>
  <c r="AY43" i="17"/>
  <c r="AY37" i="17"/>
  <c r="AY40" i="17"/>
  <c r="AY35" i="17"/>
  <c r="AY36" i="17"/>
  <c r="AY39" i="17"/>
  <c r="AY34" i="17"/>
  <c r="AY38" i="17"/>
  <c r="AY32" i="17"/>
  <c r="AY41" i="17"/>
  <c r="AY44" i="17"/>
  <c r="AY26" i="17"/>
  <c r="AY30" i="17"/>
  <c r="AY29" i="17"/>
  <c r="AY33" i="17"/>
  <c r="AY28" i="17"/>
  <c r="AY27" i="17"/>
  <c r="AY25" i="17"/>
  <c r="AY19" i="17"/>
  <c r="AY23" i="17"/>
  <c r="AY24" i="17"/>
  <c r="AY18" i="17"/>
  <c r="AY22" i="17"/>
  <c r="AY31" i="17"/>
  <c r="AY20" i="17"/>
  <c r="AY12" i="17"/>
  <c r="AY14" i="17"/>
  <c r="AY11" i="17"/>
  <c r="AY21" i="17"/>
  <c r="AY13" i="17"/>
  <c r="AY17" i="17"/>
  <c r="AY15" i="17"/>
  <c r="AY10" i="17"/>
  <c r="AZ8" i="17"/>
  <c r="AZ16" i="17" s="1"/>
  <c r="AZ49" i="17" l="1"/>
  <c r="AZ48" i="17"/>
  <c r="AZ50" i="17"/>
  <c r="AZ47" i="17"/>
  <c r="AZ42" i="17"/>
  <c r="AZ43" i="17"/>
  <c r="AZ45" i="17"/>
  <c r="AZ46" i="17"/>
  <c r="AZ44" i="17"/>
  <c r="AZ40" i="17"/>
  <c r="AZ36" i="17"/>
  <c r="AZ39" i="17"/>
  <c r="AZ34" i="17"/>
  <c r="AZ38" i="17"/>
  <c r="AZ32" i="17"/>
  <c r="AZ41" i="17"/>
  <c r="AZ30" i="17"/>
  <c r="AZ29" i="17"/>
  <c r="AZ33" i="17"/>
  <c r="AZ35" i="17"/>
  <c r="AZ28" i="17"/>
  <c r="AZ27" i="17"/>
  <c r="AZ25" i="17"/>
  <c r="AZ23" i="17"/>
  <c r="AZ24" i="17"/>
  <c r="AZ22" i="17"/>
  <c r="AZ21" i="17"/>
  <c r="AZ26" i="17"/>
  <c r="AZ15" i="17"/>
  <c r="AZ31" i="17"/>
  <c r="AZ20" i="17"/>
  <c r="AZ19" i="17"/>
  <c r="AZ12" i="17"/>
  <c r="AZ14" i="17"/>
  <c r="AZ11" i="17"/>
  <c r="AZ37" i="17"/>
  <c r="AZ18" i="17"/>
  <c r="AZ17" i="17"/>
  <c r="AZ13" i="17"/>
  <c r="BA8" i="17"/>
  <c r="BA16" i="17" s="1"/>
  <c r="AZ10" i="17"/>
  <c r="BA48" i="17" l="1"/>
  <c r="BA50" i="17"/>
  <c r="BA45" i="17"/>
  <c r="BA47" i="17"/>
  <c r="BA49" i="17"/>
  <c r="BA43" i="17"/>
  <c r="BA40" i="17"/>
  <c r="BA39" i="17"/>
  <c r="BA42" i="17"/>
  <c r="BA46" i="17"/>
  <c r="BA44" i="17"/>
  <c r="BA34" i="17"/>
  <c r="BA38" i="17"/>
  <c r="BA41" i="17"/>
  <c r="BA30" i="17"/>
  <c r="BA29" i="17"/>
  <c r="BA33" i="17"/>
  <c r="BA36" i="17"/>
  <c r="BA32" i="17"/>
  <c r="BA28" i="17"/>
  <c r="BA27" i="17"/>
  <c r="BA19" i="17"/>
  <c r="BA24" i="17"/>
  <c r="BA35" i="17"/>
  <c r="BA22" i="17"/>
  <c r="BA21" i="17"/>
  <c r="BA25" i="17"/>
  <c r="BA26" i="17"/>
  <c r="BA15" i="17"/>
  <c r="BA31" i="17"/>
  <c r="BA37" i="17"/>
  <c r="BA17" i="17"/>
  <c r="BA23" i="17"/>
  <c r="BA11" i="17"/>
  <c r="BA14" i="17"/>
  <c r="BA18" i="17"/>
  <c r="BA20" i="17"/>
  <c r="BA12" i="17"/>
  <c r="BA13" i="17"/>
  <c r="BA10" i="17"/>
  <c r="BB8" i="17"/>
  <c r="BB16" i="17" s="1"/>
  <c r="BB49" i="17" l="1"/>
  <c r="BB48" i="17"/>
  <c r="BB47" i="17"/>
  <c r="BB50" i="17"/>
  <c r="BB45" i="17"/>
  <c r="BB42" i="17"/>
  <c r="BB46" i="17"/>
  <c r="BB44" i="17"/>
  <c r="BB43" i="17"/>
  <c r="BB40" i="17"/>
  <c r="BB39" i="17"/>
  <c r="BB34" i="17"/>
  <c r="BB38" i="17"/>
  <c r="BB41" i="17"/>
  <c r="BB31" i="17"/>
  <c r="BB35" i="17"/>
  <c r="BB30" i="17"/>
  <c r="BB29" i="17"/>
  <c r="BB25" i="17"/>
  <c r="BB33" i="17"/>
  <c r="BB32" i="17"/>
  <c r="BB28" i="17"/>
  <c r="BB27" i="17"/>
  <c r="BB23" i="17"/>
  <c r="BB24" i="17"/>
  <c r="BB36" i="17"/>
  <c r="BB26" i="17"/>
  <c r="BB22" i="17"/>
  <c r="BB15" i="17"/>
  <c r="BB37" i="17"/>
  <c r="BB17" i="17"/>
  <c r="BB21" i="17"/>
  <c r="BB14" i="17"/>
  <c r="BB11" i="17"/>
  <c r="BB18" i="17"/>
  <c r="BB20" i="17"/>
  <c r="BB12" i="17"/>
  <c r="BB19" i="17"/>
  <c r="BB13" i="17"/>
  <c r="BC8" i="17"/>
  <c r="BC16" i="17" s="1"/>
  <c r="BB10" i="17"/>
  <c r="BC47" i="17" l="1"/>
  <c r="BC48" i="17"/>
  <c r="BC49" i="17"/>
  <c r="BC42" i="17"/>
  <c r="BC50" i="17"/>
  <c r="BC45" i="17"/>
  <c r="BC46" i="17"/>
  <c r="BC39" i="17"/>
  <c r="BC44" i="17"/>
  <c r="BC37" i="17"/>
  <c r="BC43" i="17"/>
  <c r="BC40" i="17"/>
  <c r="BC41" i="17"/>
  <c r="BC34" i="17"/>
  <c r="BC38" i="17"/>
  <c r="BC31" i="17"/>
  <c r="BC35" i="17"/>
  <c r="BC36" i="17"/>
  <c r="BC33" i="17"/>
  <c r="BC30" i="17"/>
  <c r="BC29" i="17"/>
  <c r="BC32" i="17"/>
  <c r="BC28" i="17"/>
  <c r="BC27" i="17"/>
  <c r="BC23" i="17"/>
  <c r="BC24" i="17"/>
  <c r="BC26" i="17"/>
  <c r="BC15" i="17"/>
  <c r="BC21" i="17"/>
  <c r="BC25" i="17"/>
  <c r="BC22" i="17"/>
  <c r="BC14" i="17"/>
  <c r="BC11" i="17"/>
  <c r="BC18" i="17"/>
  <c r="BC13" i="17"/>
  <c r="BC12" i="17"/>
  <c r="BC17" i="17"/>
  <c r="BC19" i="17"/>
  <c r="BC20" i="17"/>
  <c r="BC10" i="17"/>
  <c r="BD8" i="17"/>
  <c r="BD16" i="17" s="1"/>
  <c r="BD48" i="17" l="1"/>
  <c r="BD49" i="17"/>
  <c r="BD50" i="17"/>
  <c r="BD45" i="17"/>
  <c r="BD44" i="17"/>
  <c r="BD47" i="17"/>
  <c r="BD41" i="17"/>
  <c r="BD43" i="17"/>
  <c r="BD40" i="17"/>
  <c r="BD42" i="17"/>
  <c r="BD38" i="17"/>
  <c r="BD39" i="17"/>
  <c r="BD34" i="17"/>
  <c r="BD46" i="17"/>
  <c r="BD31" i="17"/>
  <c r="BD35" i="17"/>
  <c r="BD36" i="17"/>
  <c r="BD33" i="17"/>
  <c r="BD30" i="17"/>
  <c r="BD29" i="17"/>
  <c r="BD28" i="17"/>
  <c r="BD32" i="17"/>
  <c r="BD24" i="17"/>
  <c r="BD26" i="17"/>
  <c r="BD37" i="17"/>
  <c r="BD11" i="17"/>
  <c r="BD14" i="17"/>
  <c r="BD25" i="17"/>
  <c r="BD18" i="17"/>
  <c r="BD21" i="17"/>
  <c r="BD13" i="17"/>
  <c r="BD27" i="17"/>
  <c r="BD22" i="17"/>
  <c r="BD12" i="17"/>
  <c r="BD17" i="17"/>
  <c r="BD19" i="17"/>
  <c r="BD23" i="17"/>
  <c r="BD15" i="17"/>
  <c r="BD20" i="17"/>
  <c r="BD10" i="17"/>
  <c r="BE8" i="17"/>
  <c r="BE16" i="17" s="1"/>
  <c r="BE50" i="17" l="1"/>
  <c r="BE48" i="17"/>
  <c r="BE49" i="17"/>
  <c r="BE45" i="17"/>
  <c r="BE44" i="17"/>
  <c r="BE47" i="17"/>
  <c r="BE41" i="17"/>
  <c r="BE43" i="17"/>
  <c r="BE40" i="17"/>
  <c r="BE42" i="17"/>
  <c r="BE38" i="17"/>
  <c r="BE39" i="17"/>
  <c r="BE46" i="17"/>
  <c r="BE31" i="17"/>
  <c r="BE35" i="17"/>
  <c r="BE36" i="17"/>
  <c r="BE33" i="17"/>
  <c r="BE32" i="17"/>
  <c r="BE34" i="17"/>
  <c r="BE24" i="17"/>
  <c r="BE26" i="17"/>
  <c r="BE28" i="17"/>
  <c r="BE37" i="17"/>
  <c r="BE30" i="17"/>
  <c r="BE29" i="17"/>
  <c r="BE14" i="17"/>
  <c r="BE20" i="17"/>
  <c r="BE11" i="17"/>
  <c r="BE25" i="17"/>
  <c r="BE18" i="17"/>
  <c r="BE21" i="17"/>
  <c r="BE27" i="17"/>
  <c r="BE22" i="17"/>
  <c r="BE17" i="17"/>
  <c r="BE19" i="17"/>
  <c r="BE23" i="17"/>
  <c r="BE13" i="17"/>
  <c r="BE15" i="17"/>
  <c r="BE12" i="17"/>
  <c r="BF8" i="17"/>
  <c r="BF16" i="17" s="1"/>
  <c r="BE10" i="17"/>
  <c r="BF50" i="17" l="1"/>
  <c r="BF48" i="17"/>
  <c r="BF44" i="17"/>
  <c r="BF49" i="17"/>
  <c r="BF45" i="17"/>
  <c r="BF39" i="17"/>
  <c r="BF38" i="17"/>
  <c r="BF47" i="17"/>
  <c r="BF41" i="17"/>
  <c r="BF43" i="17"/>
  <c r="BF40" i="17"/>
  <c r="BF42" i="17"/>
  <c r="BF46" i="17"/>
  <c r="BF37" i="17"/>
  <c r="BF35" i="17"/>
  <c r="BF36" i="17"/>
  <c r="BF33" i="17"/>
  <c r="BF32" i="17"/>
  <c r="BF34" i="17"/>
  <c r="BF30" i="17"/>
  <c r="BF24" i="17"/>
  <c r="BF18" i="17"/>
  <c r="BF28" i="17"/>
  <c r="BF26" i="17"/>
  <c r="BF29" i="17"/>
  <c r="BF22" i="17"/>
  <c r="BF21" i="17"/>
  <c r="BF31" i="17"/>
  <c r="BF14" i="17"/>
  <c r="BF20" i="17"/>
  <c r="BF19" i="17"/>
  <c r="BF25" i="17"/>
  <c r="BF27" i="17"/>
  <c r="BF17" i="17"/>
  <c r="BF11" i="17"/>
  <c r="BF23" i="17"/>
  <c r="BF13" i="17"/>
  <c r="BF15" i="17"/>
  <c r="BF12" i="17"/>
  <c r="BF10" i="17"/>
  <c r="BG8" i="17"/>
  <c r="BG16" i="17" s="1"/>
  <c r="BG50" i="17" l="1"/>
  <c r="BG48" i="17"/>
  <c r="BG49" i="17"/>
  <c r="BG45" i="17"/>
  <c r="BG46" i="17"/>
  <c r="BG44" i="17"/>
  <c r="BG47" i="17"/>
  <c r="BG41" i="17"/>
  <c r="BG43" i="17"/>
  <c r="BG40" i="17"/>
  <c r="BG42" i="17"/>
  <c r="BG38" i="17"/>
  <c r="BG39" i="17"/>
  <c r="BG37" i="17"/>
  <c r="BG35" i="17"/>
  <c r="BG36" i="17"/>
  <c r="BG30" i="17"/>
  <c r="BG33" i="17"/>
  <c r="BG28" i="17"/>
  <c r="BG32" i="17"/>
  <c r="BG31" i="17"/>
  <c r="BG34" i="17"/>
  <c r="BG29" i="17"/>
  <c r="BG26" i="17"/>
  <c r="BG22" i="17"/>
  <c r="BG21" i="17"/>
  <c r="BG24" i="17"/>
  <c r="BG20" i="17"/>
  <c r="BG19" i="17"/>
  <c r="BG23" i="17"/>
  <c r="BG14" i="17"/>
  <c r="BG18" i="17"/>
  <c r="BG17" i="17"/>
  <c r="BG11" i="17"/>
  <c r="BG27" i="17"/>
  <c r="BG25" i="17"/>
  <c r="BG15" i="17"/>
  <c r="BG13" i="17"/>
  <c r="BG12" i="17"/>
  <c r="BH8" i="17"/>
  <c r="BH16" i="17" s="1"/>
  <c r="BG10" i="17"/>
  <c r="BH50" i="17" l="1"/>
  <c r="BH49" i="17"/>
  <c r="BH46" i="17"/>
  <c r="BH45" i="17"/>
  <c r="BH48" i="17"/>
  <c r="BH47" i="17"/>
  <c r="BH44" i="17"/>
  <c r="BH41" i="17"/>
  <c r="BH42" i="17"/>
  <c r="BH36" i="17"/>
  <c r="BH38" i="17"/>
  <c r="BH39" i="17"/>
  <c r="BH35" i="17"/>
  <c r="BH33" i="17"/>
  <c r="BH37" i="17"/>
  <c r="BH34" i="17"/>
  <c r="BH32" i="17"/>
  <c r="BH43" i="17"/>
  <c r="BH31" i="17"/>
  <c r="BH40" i="17"/>
  <c r="BH24" i="17"/>
  <c r="BH30" i="17"/>
  <c r="BH26" i="17"/>
  <c r="BH28" i="17"/>
  <c r="BH22" i="17"/>
  <c r="BH21" i="17"/>
  <c r="BH29" i="17"/>
  <c r="BH14" i="17"/>
  <c r="BH20" i="17"/>
  <c r="BH17" i="17"/>
  <c r="BH23" i="17"/>
  <c r="BH18" i="17"/>
  <c r="BH13" i="17"/>
  <c r="BH12" i="17"/>
  <c r="BH11" i="17"/>
  <c r="BH27" i="17"/>
  <c r="BH19" i="17"/>
  <c r="BH25" i="17"/>
  <c r="BH15" i="17"/>
  <c r="BH10" i="17"/>
  <c r="BI8" i="17"/>
  <c r="BI16" i="17" s="1"/>
  <c r="BI50" i="17" l="1"/>
  <c r="BI49" i="17"/>
  <c r="BI45" i="17"/>
  <c r="BI48" i="17"/>
  <c r="BI47" i="17"/>
  <c r="BI46" i="17"/>
  <c r="BI44" i="17"/>
  <c r="BI41" i="17"/>
  <c r="BI38" i="17"/>
  <c r="BI39" i="17"/>
  <c r="BI36" i="17"/>
  <c r="BI35" i="17"/>
  <c r="BI33" i="17"/>
  <c r="BI42" i="17"/>
  <c r="BI37" i="17"/>
  <c r="BI34" i="17"/>
  <c r="BI32" i="17"/>
  <c r="BI28" i="17"/>
  <c r="BI40" i="17"/>
  <c r="BI30" i="17"/>
  <c r="BI43" i="17"/>
  <c r="BI26" i="17"/>
  <c r="BI22" i="17"/>
  <c r="BI21" i="17"/>
  <c r="BI29" i="17"/>
  <c r="BI31" i="17"/>
  <c r="BI27" i="17"/>
  <c r="BI25" i="17"/>
  <c r="BI20" i="17"/>
  <c r="BI17" i="17"/>
  <c r="BI18" i="17"/>
  <c r="BI24" i="17"/>
  <c r="BI13" i="17"/>
  <c r="BI12" i="17"/>
  <c r="BI11" i="17"/>
  <c r="BI19" i="17"/>
  <c r="BI14" i="17"/>
  <c r="BI23" i="17"/>
  <c r="BI15" i="17"/>
  <c r="BI10" i="17"/>
  <c r="BJ8" i="17"/>
  <c r="BJ16" i="17" s="1"/>
  <c r="BJ49" i="17" l="1"/>
  <c r="BJ45" i="17"/>
  <c r="BJ48" i="17"/>
  <c r="BJ44" i="17"/>
  <c r="BJ47" i="17"/>
  <c r="BJ46" i="17"/>
  <c r="BJ50" i="17"/>
  <c r="BJ41" i="17"/>
  <c r="BJ38" i="17"/>
  <c r="BJ39" i="17"/>
  <c r="BJ36" i="17"/>
  <c r="BJ30" i="17"/>
  <c r="BJ35" i="17"/>
  <c r="BJ33" i="17"/>
  <c r="BJ43" i="17"/>
  <c r="BJ42" i="17"/>
  <c r="BJ32" i="17"/>
  <c r="BJ40" i="17"/>
  <c r="BJ37" i="17"/>
  <c r="BJ34" i="17"/>
  <c r="BJ26" i="17"/>
  <c r="BJ29" i="17"/>
  <c r="BJ25" i="17"/>
  <c r="BJ31" i="17"/>
  <c r="BJ28" i="17"/>
  <c r="BJ27" i="17"/>
  <c r="BJ20" i="17"/>
  <c r="BJ17" i="17"/>
  <c r="BJ24" i="17"/>
  <c r="BJ18" i="17"/>
  <c r="BJ21" i="17"/>
  <c r="BJ13" i="17"/>
  <c r="BJ22" i="17"/>
  <c r="BJ15" i="17"/>
  <c r="BJ19" i="17"/>
  <c r="BJ14" i="17"/>
  <c r="BJ23" i="17"/>
  <c r="BJ11" i="17"/>
  <c r="BJ12" i="17"/>
  <c r="BJ10" i="17"/>
  <c r="BK8" i="17"/>
  <c r="BK16" i="17" s="1"/>
  <c r="BK49" i="17" l="1"/>
  <c r="BK46" i="17"/>
  <c r="BK48" i="17"/>
  <c r="BK44" i="17"/>
  <c r="BK47" i="17"/>
  <c r="BK38" i="17"/>
  <c r="BK45" i="17"/>
  <c r="BK41" i="17"/>
  <c r="BK43" i="17"/>
  <c r="BK39" i="17"/>
  <c r="BK50" i="17"/>
  <c r="BK42" i="17"/>
  <c r="BK37" i="17"/>
  <c r="BK35" i="17"/>
  <c r="BK36" i="17"/>
  <c r="BK33" i="17"/>
  <c r="BK32" i="17"/>
  <c r="BK40" i="17"/>
  <c r="BK34" i="17"/>
  <c r="BK30" i="17"/>
  <c r="BK26" i="17"/>
  <c r="BK22" i="17"/>
  <c r="BK21" i="17"/>
  <c r="BK29" i="17"/>
  <c r="BK25" i="17"/>
  <c r="BK23" i="17"/>
  <c r="BK28" i="17"/>
  <c r="BK20" i="17"/>
  <c r="BK17" i="17"/>
  <c r="BK31" i="17"/>
  <c r="BK24" i="17"/>
  <c r="BK18" i="17"/>
  <c r="BK13" i="17"/>
  <c r="BK27" i="17"/>
  <c r="BK15" i="17"/>
  <c r="BK19" i="17"/>
  <c r="BK14" i="17"/>
  <c r="BK12" i="17"/>
  <c r="BK11" i="17"/>
  <c r="BK10" i="17"/>
  <c r="BL8" i="17"/>
  <c r="BL16" i="17" s="1"/>
  <c r="BL49" i="17" l="1"/>
  <c r="BL48" i="17"/>
  <c r="BL44" i="17"/>
  <c r="BL47" i="17"/>
  <c r="BL46" i="17"/>
  <c r="BL45" i="17"/>
  <c r="BL41" i="17"/>
  <c r="BL43" i="17"/>
  <c r="BL50" i="17"/>
  <c r="BL39" i="17"/>
  <c r="BL38" i="17"/>
  <c r="BL42" i="17"/>
  <c r="BL37" i="17"/>
  <c r="BL35" i="17"/>
  <c r="BL36" i="17"/>
  <c r="BL33" i="17"/>
  <c r="BL32" i="17"/>
  <c r="BL27" i="17"/>
  <c r="BL40" i="17"/>
  <c r="BL31" i="17"/>
  <c r="BL29" i="17"/>
  <c r="BL34" i="17"/>
  <c r="BL30" i="17"/>
  <c r="BL26" i="17"/>
  <c r="BL25" i="17"/>
  <c r="BL22" i="17"/>
  <c r="BL21" i="17"/>
  <c r="BL20" i="17"/>
  <c r="BL23" i="17"/>
  <c r="BL17" i="17"/>
  <c r="BL19" i="17"/>
  <c r="BL15" i="17"/>
  <c r="BL28" i="17"/>
  <c r="BL24" i="17"/>
  <c r="BL18" i="17"/>
  <c r="BL13" i="17"/>
  <c r="BL14" i="17"/>
  <c r="BL11" i="17"/>
  <c r="BL12" i="17"/>
  <c r="BM8" i="17"/>
  <c r="BM16" i="17" s="1"/>
  <c r="BL10" i="17"/>
  <c r="BM49" i="17" l="1"/>
  <c r="BM46" i="17"/>
  <c r="BM48" i="17"/>
  <c r="BM44" i="17"/>
  <c r="BM47" i="17"/>
  <c r="BM43" i="17"/>
  <c r="BM45" i="17"/>
  <c r="BM41" i="17"/>
  <c r="BM42" i="17"/>
  <c r="BM39" i="17"/>
  <c r="BM38" i="17"/>
  <c r="BM37" i="17"/>
  <c r="BM35" i="17"/>
  <c r="BM36" i="17"/>
  <c r="BM50" i="17"/>
  <c r="BM33" i="17"/>
  <c r="BM34" i="17"/>
  <c r="BM32" i="17"/>
  <c r="BM40" i="17"/>
  <c r="BM31" i="17"/>
  <c r="BM29" i="17"/>
  <c r="BM24" i="17"/>
  <c r="BM30" i="17"/>
  <c r="BM25" i="17"/>
  <c r="BM23" i="17"/>
  <c r="BM27" i="17"/>
  <c r="BM26" i="17"/>
  <c r="BM20" i="17"/>
  <c r="BM17" i="17"/>
  <c r="BM19" i="17"/>
  <c r="BM13" i="17"/>
  <c r="BM21" i="17"/>
  <c r="BM12" i="17"/>
  <c r="BM15" i="17"/>
  <c r="BM11" i="17"/>
  <c r="BM28" i="17"/>
  <c r="BM22" i="17"/>
  <c r="BM18" i="17"/>
  <c r="BM14" i="17"/>
  <c r="BM10" i="17"/>
  <c r="BN8" i="17"/>
  <c r="BN16" i="17" s="1"/>
  <c r="BN49" i="17" l="1"/>
  <c r="BN46" i="17"/>
  <c r="BN50" i="17"/>
  <c r="BN48" i="17"/>
  <c r="BN44" i="17"/>
  <c r="BN47" i="17"/>
  <c r="BN45" i="17"/>
  <c r="BN42" i="17"/>
  <c r="BN43" i="17"/>
  <c r="BN41" i="17"/>
  <c r="BN37" i="17"/>
  <c r="BN35" i="17"/>
  <c r="BN36" i="17"/>
  <c r="BN33" i="17"/>
  <c r="BN34" i="17"/>
  <c r="BN32" i="17"/>
  <c r="BN27" i="17"/>
  <c r="BN39" i="17"/>
  <c r="BN40" i="17"/>
  <c r="BN31" i="17"/>
  <c r="BN30" i="17"/>
  <c r="BN38" i="17"/>
  <c r="BN26" i="17"/>
  <c r="BN25" i="17"/>
  <c r="BN29" i="17"/>
  <c r="BN20" i="17"/>
  <c r="BN19" i="17"/>
  <c r="BN21" i="17"/>
  <c r="BN13" i="17"/>
  <c r="BN12" i="17"/>
  <c r="BN11" i="17"/>
  <c r="BN17" i="17"/>
  <c r="BN23" i="17"/>
  <c r="BN22" i="17"/>
  <c r="BN24" i="17"/>
  <c r="BN28" i="17"/>
  <c r="BN15" i="17"/>
  <c r="BN18" i="17"/>
  <c r="BN14" i="17"/>
  <c r="BO8" i="17"/>
  <c r="BO16" i="17" s="1"/>
  <c r="BN10" i="17"/>
  <c r="BO48" i="17" l="1"/>
  <c r="BO47" i="17"/>
  <c r="BO50" i="17"/>
  <c r="BO49" i="17"/>
  <c r="BO44" i="17"/>
  <c r="BO46" i="17"/>
  <c r="BO42" i="17"/>
  <c r="BO43" i="17"/>
  <c r="BO45" i="17"/>
  <c r="BO40" i="17"/>
  <c r="BO37" i="17"/>
  <c r="BO35" i="17"/>
  <c r="BO36" i="17"/>
  <c r="BO41" i="17"/>
  <c r="BO33" i="17"/>
  <c r="BO34" i="17"/>
  <c r="BO32" i="17"/>
  <c r="BO39" i="17"/>
  <c r="BO31" i="17"/>
  <c r="BO30" i="17"/>
  <c r="BO38" i="17"/>
  <c r="BO26" i="17"/>
  <c r="BO29" i="17"/>
  <c r="BO28" i="17"/>
  <c r="BO19" i="17"/>
  <c r="BO21" i="17"/>
  <c r="BO18" i="17"/>
  <c r="BO27" i="17"/>
  <c r="BO20" i="17"/>
  <c r="BO13" i="17"/>
  <c r="BO12" i="17"/>
  <c r="BO22" i="17"/>
  <c r="BO17" i="17"/>
  <c r="BO23" i="17"/>
  <c r="BO25" i="17"/>
  <c r="BO15" i="17"/>
  <c r="BO24" i="17"/>
  <c r="BO11" i="17"/>
  <c r="BO14" i="17"/>
  <c r="BO10" i="17"/>
  <c r="BP8" i="17"/>
  <c r="BP16" i="17" s="1"/>
  <c r="BP48" i="17" l="1"/>
  <c r="BP46" i="17"/>
  <c r="BP47" i="17"/>
  <c r="BP50" i="17"/>
  <c r="BP49" i="17"/>
  <c r="BP41" i="17"/>
  <c r="BP44" i="17"/>
  <c r="BP42" i="17"/>
  <c r="BP40" i="17"/>
  <c r="BP43" i="17"/>
  <c r="BP45" i="17"/>
  <c r="BP37" i="17"/>
  <c r="BP35" i="17"/>
  <c r="BP36" i="17"/>
  <c r="BP34" i="17"/>
  <c r="BP32" i="17"/>
  <c r="BP39" i="17"/>
  <c r="BP31" i="17"/>
  <c r="BP38" i="17"/>
  <c r="BP26" i="17"/>
  <c r="BP30" i="17"/>
  <c r="BP25" i="17"/>
  <c r="BP29" i="17"/>
  <c r="BP20" i="17"/>
  <c r="BP24" i="17"/>
  <c r="BP19" i="17"/>
  <c r="BP21" i="17"/>
  <c r="BP18" i="17"/>
  <c r="BP23" i="17"/>
  <c r="BP27" i="17"/>
  <c r="BP22" i="17"/>
  <c r="BP33" i="17"/>
  <c r="BP12" i="17"/>
  <c r="BP17" i="17"/>
  <c r="BP15" i="17"/>
  <c r="BP14" i="17"/>
  <c r="BP28" i="17"/>
  <c r="BP11" i="17"/>
  <c r="BP13" i="17"/>
  <c r="BQ8" i="17"/>
  <c r="BQ16" i="17" s="1"/>
  <c r="BP10" i="17"/>
  <c r="BQ48" i="17" l="1"/>
  <c r="BQ47" i="17"/>
  <c r="BQ50" i="17"/>
  <c r="BQ46" i="17"/>
  <c r="BQ44" i="17"/>
  <c r="BQ42" i="17"/>
  <c r="BQ43" i="17"/>
  <c r="BQ45" i="17"/>
  <c r="BQ49" i="17"/>
  <c r="BQ40" i="17"/>
  <c r="BQ37" i="17"/>
  <c r="BQ35" i="17"/>
  <c r="BQ36" i="17"/>
  <c r="BQ41" i="17"/>
  <c r="BQ34" i="17"/>
  <c r="BQ32" i="17"/>
  <c r="BQ39" i="17"/>
  <c r="BQ31" i="17"/>
  <c r="BQ26" i="17"/>
  <c r="BQ38" i="17"/>
  <c r="BQ30" i="17"/>
  <c r="BQ25" i="17"/>
  <c r="BQ29" i="17"/>
  <c r="BQ27" i="17"/>
  <c r="BQ20" i="17"/>
  <c r="BQ19" i="17"/>
  <c r="BQ24" i="17"/>
  <c r="BQ21" i="17"/>
  <c r="BQ18" i="17"/>
  <c r="BQ23" i="17"/>
  <c r="BQ22" i="17"/>
  <c r="BQ12" i="17"/>
  <c r="BQ17" i="17"/>
  <c r="BQ15" i="17"/>
  <c r="BQ14" i="17"/>
  <c r="BQ28" i="17"/>
  <c r="BQ33" i="17"/>
  <c r="BQ13" i="17"/>
  <c r="BQ11" i="17"/>
  <c r="BQ10" i="17"/>
  <c r="BR8" i="17"/>
  <c r="BR16" i="17" s="1"/>
  <c r="BR48" i="17" l="1"/>
  <c r="BR47" i="17"/>
  <c r="BR50" i="17"/>
  <c r="BR43" i="17"/>
  <c r="BR46" i="17"/>
  <c r="BR44" i="17"/>
  <c r="BR42" i="17"/>
  <c r="BR40" i="17"/>
  <c r="BR45" i="17"/>
  <c r="BR49" i="17"/>
  <c r="BR37" i="17"/>
  <c r="BR35" i="17"/>
  <c r="BR36" i="17"/>
  <c r="BR41" i="17"/>
  <c r="BR34" i="17"/>
  <c r="BR32" i="17"/>
  <c r="BR39" i="17"/>
  <c r="BR31" i="17"/>
  <c r="BR38" i="17"/>
  <c r="BR29" i="17"/>
  <c r="BR30" i="17"/>
  <c r="BR25" i="17"/>
  <c r="BR23" i="17"/>
  <c r="BR22" i="17"/>
  <c r="BR28" i="17"/>
  <c r="BR26" i="17"/>
  <c r="BR19" i="17"/>
  <c r="BR21" i="17"/>
  <c r="BR18" i="17"/>
  <c r="BR27" i="17"/>
  <c r="BR12" i="17"/>
  <c r="BR11" i="17"/>
  <c r="BR17" i="17"/>
  <c r="BR15" i="17"/>
  <c r="BR20" i="17"/>
  <c r="BR33" i="17"/>
  <c r="BR24" i="17"/>
  <c r="BR13" i="17"/>
  <c r="BR14" i="17"/>
  <c r="BR10" i="17"/>
  <c r="BS8" i="17"/>
  <c r="BS16" i="17" s="1"/>
  <c r="BN7" i="17"/>
  <c r="BS48" i="17" l="1"/>
  <c r="BS46" i="17"/>
  <c r="BS50" i="17"/>
  <c r="BS49" i="17"/>
  <c r="BS45" i="17"/>
  <c r="BS47" i="17"/>
  <c r="BS44" i="17"/>
  <c r="BS42" i="17"/>
  <c r="BS43" i="17"/>
  <c r="BS40" i="17"/>
  <c r="BS37" i="17"/>
  <c r="BS41" i="17"/>
  <c r="BS35" i="17"/>
  <c r="BS36" i="17"/>
  <c r="BS34" i="17"/>
  <c r="BS32" i="17"/>
  <c r="BS39" i="17"/>
  <c r="BS31" i="17"/>
  <c r="BS26" i="17"/>
  <c r="BS38" i="17"/>
  <c r="BS29" i="17"/>
  <c r="BS30" i="17"/>
  <c r="BS27" i="17"/>
  <c r="BS19" i="17"/>
  <c r="BS23" i="17"/>
  <c r="BS21" i="17"/>
  <c r="BS18" i="17"/>
  <c r="BS25" i="17"/>
  <c r="BS24" i="17"/>
  <c r="BS12" i="17"/>
  <c r="BS11" i="17"/>
  <c r="BS17" i="17"/>
  <c r="BS15" i="17"/>
  <c r="BS22" i="17"/>
  <c r="BS20" i="17"/>
  <c r="BS28" i="17"/>
  <c r="BS13" i="17"/>
  <c r="BS33" i="17"/>
  <c r="BS14" i="17"/>
  <c r="BT8" i="17"/>
  <c r="BT16" i="17" s="1"/>
  <c r="BS10" i="17"/>
  <c r="BT47" i="17" l="1"/>
  <c r="BT50" i="17"/>
  <c r="BT49" i="17"/>
  <c r="BT48" i="17"/>
  <c r="BT46" i="17"/>
  <c r="BT44" i="17"/>
  <c r="BT42" i="17"/>
  <c r="BT43" i="17"/>
  <c r="BT40" i="17"/>
  <c r="BT45" i="17"/>
  <c r="BT41" i="17"/>
  <c r="BT36" i="17"/>
  <c r="BT34" i="17"/>
  <c r="BT32" i="17"/>
  <c r="BT39" i="17"/>
  <c r="BT38" i="17"/>
  <c r="BT29" i="17"/>
  <c r="BT30" i="17"/>
  <c r="BT37" i="17"/>
  <c r="BT27" i="17"/>
  <c r="BT28" i="17"/>
  <c r="BT35" i="17"/>
  <c r="BT23" i="17"/>
  <c r="BT21" i="17"/>
  <c r="BT26" i="17"/>
  <c r="BT19" i="17"/>
  <c r="BT18" i="17"/>
  <c r="BT31" i="17"/>
  <c r="BT15" i="17"/>
  <c r="BT25" i="17"/>
  <c r="BT24" i="17"/>
  <c r="BT12" i="17"/>
  <c r="BT17" i="17"/>
  <c r="BT22" i="17"/>
  <c r="BT11" i="17"/>
  <c r="BT20" i="17"/>
  <c r="BT33" i="17"/>
  <c r="BT13" i="17"/>
  <c r="BT14" i="17"/>
  <c r="BT10" i="17"/>
  <c r="BU8" i="17"/>
  <c r="BU16" i="17" s="1"/>
  <c r="BU49" i="17" l="1"/>
  <c r="BU45" i="17"/>
  <c r="BU47" i="17"/>
  <c r="BU46" i="17"/>
  <c r="BU44" i="17"/>
  <c r="BU42" i="17"/>
  <c r="BU40" i="17"/>
  <c r="BU43" i="17"/>
  <c r="BU48" i="17"/>
  <c r="BU39" i="17"/>
  <c r="BU41" i="17"/>
  <c r="BU36" i="17"/>
  <c r="BU34" i="17"/>
  <c r="BU38" i="17"/>
  <c r="BU50" i="17"/>
  <c r="BU29" i="17"/>
  <c r="BU30" i="17"/>
  <c r="BU27" i="17"/>
  <c r="BU28" i="17"/>
  <c r="BU31" i="17"/>
  <c r="BU19" i="17"/>
  <c r="BU23" i="17"/>
  <c r="BU37" i="17"/>
  <c r="BU21" i="17"/>
  <c r="BU22" i="17"/>
  <c r="BU15" i="17"/>
  <c r="BU35" i="17"/>
  <c r="BU17" i="17"/>
  <c r="BU32" i="17"/>
  <c r="BU26" i="17"/>
  <c r="BU11" i="17"/>
  <c r="BU14" i="17"/>
  <c r="BU33" i="17"/>
  <c r="BU25" i="17"/>
  <c r="BU13" i="17"/>
  <c r="BU24" i="17"/>
  <c r="BU12" i="17"/>
  <c r="BU18" i="17"/>
  <c r="BU20" i="17"/>
  <c r="BV8" i="17"/>
  <c r="BV16" i="17" s="1"/>
  <c r="BU10" i="17"/>
  <c r="BV50" i="17" l="1"/>
  <c r="BV49" i="17"/>
  <c r="BV47" i="17"/>
  <c r="BV43" i="17"/>
  <c r="BV48" i="17"/>
  <c r="BV44" i="17"/>
  <c r="BV45" i="17"/>
  <c r="BV41" i="17"/>
  <c r="BV34" i="17"/>
  <c r="BV46" i="17"/>
  <c r="BV42" i="17"/>
  <c r="BV38" i="17"/>
  <c r="BV40" i="17"/>
  <c r="BV39" i="17"/>
  <c r="BV31" i="17"/>
  <c r="BV37" i="17"/>
  <c r="BV29" i="17"/>
  <c r="BV25" i="17"/>
  <c r="BV30" i="17"/>
  <c r="BV35" i="17"/>
  <c r="BV27" i="17"/>
  <c r="BV28" i="17"/>
  <c r="BV36" i="17"/>
  <c r="BV23" i="17"/>
  <c r="BV24" i="17"/>
  <c r="BV22" i="17"/>
  <c r="BV33" i="17"/>
  <c r="BV21" i="17"/>
  <c r="BV15" i="17"/>
  <c r="BV17" i="17"/>
  <c r="BV11" i="17"/>
  <c r="BV32" i="17"/>
  <c r="BV14" i="17"/>
  <c r="BV19" i="17"/>
  <c r="BV26" i="17"/>
  <c r="BV13" i="17"/>
  <c r="BV12" i="17"/>
  <c r="BV18" i="17"/>
  <c r="BV20" i="17"/>
  <c r="BW8" i="17"/>
  <c r="BW16" i="17" s="1"/>
  <c r="BV10" i="17"/>
  <c r="BW47" i="17" l="1"/>
  <c r="BW49" i="17"/>
  <c r="BW42" i="17"/>
  <c r="BW43" i="17"/>
  <c r="BW48" i="17"/>
  <c r="BW46" i="17"/>
  <c r="BW44" i="17"/>
  <c r="BW45" i="17"/>
  <c r="BW37" i="17"/>
  <c r="BW41" i="17"/>
  <c r="BW34" i="17"/>
  <c r="BW50" i="17"/>
  <c r="BW40" i="17"/>
  <c r="BW39" i="17"/>
  <c r="BW31" i="17"/>
  <c r="BW38" i="17"/>
  <c r="BW33" i="17"/>
  <c r="BW29" i="17"/>
  <c r="BW30" i="17"/>
  <c r="BW35" i="17"/>
  <c r="BW27" i="17"/>
  <c r="BW28" i="17"/>
  <c r="BW24" i="17"/>
  <c r="BW25" i="17"/>
  <c r="BW15" i="17"/>
  <c r="BW23" i="17"/>
  <c r="BW21" i="17"/>
  <c r="BW17" i="17"/>
  <c r="BW11" i="17"/>
  <c r="BW32" i="17"/>
  <c r="BW22" i="17"/>
  <c r="BW14" i="17"/>
  <c r="BW20" i="17"/>
  <c r="BW19" i="17"/>
  <c r="BW26" i="17"/>
  <c r="BW36" i="17"/>
  <c r="BW13" i="17"/>
  <c r="BW12" i="17"/>
  <c r="BW18" i="17"/>
  <c r="BX8" i="17"/>
  <c r="BX16" i="17" s="1"/>
  <c r="BW10" i="17"/>
  <c r="BX49" i="17" l="1"/>
  <c r="BX47" i="17"/>
  <c r="BX48" i="17"/>
  <c r="BX45" i="17"/>
  <c r="BX46" i="17"/>
  <c r="BX44" i="17"/>
  <c r="BX43" i="17"/>
  <c r="BX41" i="17"/>
  <c r="BX34" i="17"/>
  <c r="BX42" i="17"/>
  <c r="BX50" i="17"/>
  <c r="BX31" i="17"/>
  <c r="BX39" i="17"/>
  <c r="BX37" i="17"/>
  <c r="BX38" i="17"/>
  <c r="BX33" i="17"/>
  <c r="BX40" i="17"/>
  <c r="BX29" i="17"/>
  <c r="BX30" i="17"/>
  <c r="BX35" i="17"/>
  <c r="BX28" i="17"/>
  <c r="BX36" i="17"/>
  <c r="BX27" i="17"/>
  <c r="BX23" i="17"/>
  <c r="BX24" i="17"/>
  <c r="BX25" i="17"/>
  <c r="BX20" i="17"/>
  <c r="BX17" i="17"/>
  <c r="BX11" i="17"/>
  <c r="BX32" i="17"/>
  <c r="BX21" i="17"/>
  <c r="BX22" i="17"/>
  <c r="BX15" i="17"/>
  <c r="BX14" i="17"/>
  <c r="BX26" i="17"/>
  <c r="BX13" i="17"/>
  <c r="BX19" i="17"/>
  <c r="BX12" i="17"/>
  <c r="BX18" i="17"/>
  <c r="BX10" i="17"/>
  <c r="BY8" i="17"/>
  <c r="BY16" i="17" s="1"/>
  <c r="BY50" i="17" l="1"/>
  <c r="BY49" i="17"/>
  <c r="BY48" i="17"/>
  <c r="BY47" i="17"/>
  <c r="BY45" i="17"/>
  <c r="BY46" i="17"/>
  <c r="BY39" i="17"/>
  <c r="BY43" i="17"/>
  <c r="BY41" i="17"/>
  <c r="BY40" i="17"/>
  <c r="BY42" i="17"/>
  <c r="BY31" i="17"/>
  <c r="BY34" i="17"/>
  <c r="BY37" i="17"/>
  <c r="BY44" i="17"/>
  <c r="BY30" i="17"/>
  <c r="BY38" i="17"/>
  <c r="BY35" i="17"/>
  <c r="BY28" i="17"/>
  <c r="BY36" i="17"/>
  <c r="BY33" i="17"/>
  <c r="BY27" i="17"/>
  <c r="BY29" i="17"/>
  <c r="BY24" i="17"/>
  <c r="BY23" i="17"/>
  <c r="BY25" i="17"/>
  <c r="BY14" i="17"/>
  <c r="BY22" i="17"/>
  <c r="BY20" i="17"/>
  <c r="BY17" i="17"/>
  <c r="BY11" i="17"/>
  <c r="BY32" i="17"/>
  <c r="BY21" i="17"/>
  <c r="BY15" i="17"/>
  <c r="BY26" i="17"/>
  <c r="BY13" i="17"/>
  <c r="BY12" i="17"/>
  <c r="BY18" i="17"/>
  <c r="BY19" i="17"/>
  <c r="BY7" i="17"/>
  <c r="BY10" i="17"/>
  <c r="BZ8" i="17"/>
  <c r="BZ16" i="17" s="1"/>
  <c r="BZ50" i="17" l="1"/>
  <c r="BZ48" i="17"/>
  <c r="BZ44" i="17"/>
  <c r="BZ47" i="17"/>
  <c r="BZ45" i="17"/>
  <c r="BZ39" i="17"/>
  <c r="BZ46" i="17"/>
  <c r="BZ38" i="17"/>
  <c r="BZ49" i="17"/>
  <c r="BZ43" i="17"/>
  <c r="BZ42" i="17"/>
  <c r="BZ41" i="17"/>
  <c r="BZ40" i="17"/>
  <c r="BZ34" i="17"/>
  <c r="BZ37" i="17"/>
  <c r="BZ30" i="17"/>
  <c r="BZ35" i="17"/>
  <c r="BZ28" i="17"/>
  <c r="BZ36" i="17"/>
  <c r="BZ33" i="17"/>
  <c r="BZ29" i="17"/>
  <c r="BZ31" i="17"/>
  <c r="BZ18" i="17"/>
  <c r="BZ25" i="17"/>
  <c r="BZ24" i="17"/>
  <c r="BZ27" i="17"/>
  <c r="BZ21" i="17"/>
  <c r="BZ14" i="17"/>
  <c r="BZ23" i="17"/>
  <c r="BZ22" i="17"/>
  <c r="BZ32" i="17"/>
  <c r="BZ15" i="17"/>
  <c r="BZ20" i="17"/>
  <c r="BZ19" i="17"/>
  <c r="BZ26" i="17"/>
  <c r="BZ17" i="17"/>
  <c r="BZ13" i="17"/>
  <c r="BZ12" i="17"/>
  <c r="BZ11" i="17"/>
  <c r="BZ10" i="17"/>
  <c r="CA8" i="17"/>
  <c r="CA16" i="17" s="1"/>
  <c r="CA50" i="17" l="1"/>
  <c r="CA49" i="17"/>
  <c r="CA48" i="17"/>
  <c r="CA47" i="17"/>
  <c r="CA45" i="17"/>
  <c r="CA46" i="17"/>
  <c r="CA43" i="17"/>
  <c r="CA42" i="17"/>
  <c r="CA40" i="17"/>
  <c r="CA38" i="17"/>
  <c r="CA39" i="17"/>
  <c r="CA35" i="17"/>
  <c r="CA41" i="17"/>
  <c r="CA37" i="17"/>
  <c r="CA30" i="17"/>
  <c r="CA44" i="17"/>
  <c r="CA28" i="17"/>
  <c r="CA36" i="17"/>
  <c r="CA29" i="17"/>
  <c r="CA34" i="17"/>
  <c r="CA31" i="17"/>
  <c r="CA26" i="17"/>
  <c r="CA25" i="17"/>
  <c r="CA24" i="17"/>
  <c r="CA27" i="17"/>
  <c r="CA21" i="17"/>
  <c r="CA22" i="17"/>
  <c r="CA33" i="17"/>
  <c r="CA32" i="17"/>
  <c r="CA23" i="17"/>
  <c r="CA15" i="17"/>
  <c r="CA14" i="17"/>
  <c r="CA20" i="17"/>
  <c r="CA19" i="17"/>
  <c r="CA18" i="17"/>
  <c r="CA12" i="17"/>
  <c r="CA13" i="17"/>
  <c r="CA11" i="17"/>
  <c r="CA17" i="17"/>
  <c r="CA10" i="17"/>
  <c r="CB8" i="17"/>
  <c r="CB16" i="17" s="1"/>
  <c r="CB50" i="17" l="1"/>
  <c r="CB48" i="17"/>
  <c r="CB47" i="17"/>
  <c r="CB45" i="17"/>
  <c r="CB44" i="17"/>
  <c r="CB46" i="17"/>
  <c r="CB41" i="17"/>
  <c r="CB43" i="17"/>
  <c r="CB49" i="17"/>
  <c r="CB42" i="17"/>
  <c r="CB36" i="17"/>
  <c r="CB40" i="17"/>
  <c r="CB38" i="17"/>
  <c r="CB39" i="17"/>
  <c r="CB35" i="17"/>
  <c r="CB37" i="17"/>
  <c r="CB33" i="17"/>
  <c r="CB32" i="17"/>
  <c r="CB34" i="17"/>
  <c r="CB28" i="17"/>
  <c r="CB31" i="17"/>
  <c r="CB24" i="17"/>
  <c r="CB25" i="17"/>
  <c r="CB29" i="17"/>
  <c r="CB27" i="17"/>
  <c r="CB21" i="17"/>
  <c r="CB22" i="17"/>
  <c r="CB26" i="17"/>
  <c r="CB14" i="17"/>
  <c r="CB23" i="17"/>
  <c r="CB17" i="17"/>
  <c r="CB30" i="17"/>
  <c r="CB20" i="17"/>
  <c r="CB19" i="17"/>
  <c r="CB13" i="17"/>
  <c r="CB18" i="17"/>
  <c r="CB12" i="17"/>
  <c r="CB15" i="17"/>
  <c r="CB11" i="17"/>
  <c r="CB10" i="17"/>
  <c r="CC8" i="17"/>
  <c r="CC16" i="17" s="1"/>
  <c r="CC50" i="17" l="1"/>
  <c r="CC48" i="17"/>
  <c r="CC47" i="17"/>
  <c r="CC45" i="17"/>
  <c r="CC46" i="17"/>
  <c r="CC43" i="17"/>
  <c r="CC49" i="17"/>
  <c r="CC42" i="17"/>
  <c r="CC41" i="17"/>
  <c r="CC40" i="17"/>
  <c r="CC38" i="17"/>
  <c r="CC39" i="17"/>
  <c r="CC37" i="17"/>
  <c r="CC44" i="17"/>
  <c r="CC33" i="17"/>
  <c r="CC32" i="17"/>
  <c r="CC35" i="17"/>
  <c r="CC28" i="17"/>
  <c r="CC36" i="17"/>
  <c r="CC34" i="17"/>
  <c r="CC31" i="17"/>
  <c r="CC25" i="17"/>
  <c r="CC29" i="17"/>
  <c r="CC24" i="17"/>
  <c r="CC27" i="17"/>
  <c r="CC21" i="17"/>
  <c r="CC22" i="17"/>
  <c r="CC26" i="17"/>
  <c r="CC23" i="17"/>
  <c r="CC17" i="17"/>
  <c r="CC19" i="17"/>
  <c r="CC18" i="17"/>
  <c r="CC14" i="17"/>
  <c r="CC20" i="17"/>
  <c r="CC13" i="17"/>
  <c r="CC30" i="17"/>
  <c r="CC12" i="17"/>
  <c r="CC11" i="17"/>
  <c r="CC15" i="17"/>
  <c r="CD8" i="17"/>
  <c r="CD16" i="17" s="1"/>
  <c r="CC10" i="17"/>
  <c r="CD49" i="17" l="1"/>
  <c r="CD48" i="17"/>
  <c r="CD47" i="17"/>
  <c r="CD45" i="17"/>
  <c r="CD46" i="17"/>
  <c r="CD42" i="17"/>
  <c r="CD41" i="17"/>
  <c r="CD40" i="17"/>
  <c r="CD38" i="17"/>
  <c r="CD39" i="17"/>
  <c r="CD50" i="17"/>
  <c r="CD36" i="17"/>
  <c r="CD30" i="17"/>
  <c r="CD37" i="17"/>
  <c r="CD44" i="17"/>
  <c r="CD33" i="17"/>
  <c r="CD43" i="17"/>
  <c r="CD35" i="17"/>
  <c r="CD34" i="17"/>
  <c r="CD32" i="17"/>
  <c r="CD28" i="17"/>
  <c r="CD31" i="17"/>
  <c r="CD26" i="17"/>
  <c r="CD23" i="17"/>
  <c r="CD29" i="17"/>
  <c r="CD24" i="17"/>
  <c r="CD27" i="17"/>
  <c r="CD22" i="17"/>
  <c r="CD25" i="17"/>
  <c r="CD17" i="17"/>
  <c r="CD20" i="17"/>
  <c r="CD19" i="17"/>
  <c r="CD18" i="17"/>
  <c r="CD21" i="17"/>
  <c r="CD14" i="17"/>
  <c r="CD13" i="17"/>
  <c r="CD12" i="17"/>
  <c r="CD15" i="17"/>
  <c r="CD11" i="17"/>
  <c r="CE8" i="17"/>
  <c r="CE16" i="17" s="1"/>
  <c r="CD10" i="17"/>
  <c r="CE49" i="17" l="1"/>
  <c r="CE46" i="17"/>
  <c r="CE48" i="17"/>
  <c r="CE50" i="17"/>
  <c r="CE45" i="17"/>
  <c r="CE44" i="17"/>
  <c r="CE38" i="17"/>
  <c r="CE41" i="17"/>
  <c r="CE47" i="17"/>
  <c r="CE42" i="17"/>
  <c r="CE40" i="17"/>
  <c r="CE39" i="17"/>
  <c r="CE36" i="17"/>
  <c r="CE37" i="17"/>
  <c r="CE33" i="17"/>
  <c r="CE43" i="17"/>
  <c r="CE35" i="17"/>
  <c r="CE34" i="17"/>
  <c r="CE32" i="17"/>
  <c r="CE31" i="17"/>
  <c r="CE28" i="17"/>
  <c r="CE25" i="17"/>
  <c r="CE27" i="17"/>
  <c r="CE21" i="17"/>
  <c r="CE29" i="17"/>
  <c r="CE24" i="17"/>
  <c r="CE17" i="17"/>
  <c r="CE22" i="17"/>
  <c r="CE20" i="17"/>
  <c r="CE23" i="17"/>
  <c r="CE14" i="17"/>
  <c r="CE19" i="17"/>
  <c r="CE13" i="17"/>
  <c r="CE26" i="17"/>
  <c r="CE30" i="17"/>
  <c r="CE18" i="17"/>
  <c r="CE12" i="17"/>
  <c r="CE15" i="17"/>
  <c r="CE11" i="17"/>
  <c r="CF8" i="17"/>
  <c r="CF16" i="17" s="1"/>
  <c r="CE10" i="17"/>
  <c r="CF49" i="17" l="1"/>
  <c r="CF48" i="17"/>
  <c r="CF50" i="17"/>
  <c r="CF45" i="17"/>
  <c r="CF44" i="17"/>
  <c r="CF46" i="17"/>
  <c r="CF47" i="17"/>
  <c r="CF42" i="17"/>
  <c r="CF41" i="17"/>
  <c r="CF40" i="17"/>
  <c r="CF38" i="17"/>
  <c r="CF39" i="17"/>
  <c r="CF35" i="17"/>
  <c r="CF37" i="17"/>
  <c r="CF33" i="17"/>
  <c r="CF43" i="17"/>
  <c r="CF36" i="17"/>
  <c r="CF27" i="17"/>
  <c r="CF34" i="17"/>
  <c r="CF31" i="17"/>
  <c r="CF29" i="17"/>
  <c r="CF26" i="17"/>
  <c r="CF21" i="17"/>
  <c r="CF22" i="17"/>
  <c r="CF20" i="17"/>
  <c r="CF32" i="17"/>
  <c r="CF28" i="17"/>
  <c r="CF17" i="17"/>
  <c r="CF15" i="17"/>
  <c r="CF19" i="17"/>
  <c r="CF13" i="17"/>
  <c r="CF23" i="17"/>
  <c r="CF25" i="17"/>
  <c r="CF11" i="17"/>
  <c r="CF12" i="17"/>
  <c r="CF14" i="17"/>
  <c r="CF24" i="17"/>
  <c r="CF30" i="17"/>
  <c r="CF18" i="17"/>
  <c r="CF10" i="17"/>
  <c r="CG8" i="17"/>
  <c r="CG16" i="17" s="1"/>
  <c r="CG49" i="17" l="1"/>
  <c r="CG50" i="17"/>
  <c r="CG48" i="17"/>
  <c r="CG44" i="17"/>
  <c r="CG43" i="17"/>
  <c r="CG41" i="17"/>
  <c r="CG47" i="17"/>
  <c r="CG42" i="17"/>
  <c r="CG38" i="17"/>
  <c r="CG39" i="17"/>
  <c r="CG46" i="17"/>
  <c r="CG35" i="17"/>
  <c r="CG37" i="17"/>
  <c r="CG33" i="17"/>
  <c r="CG32" i="17"/>
  <c r="CG45" i="17"/>
  <c r="CG40" i="17"/>
  <c r="CG36" i="17"/>
  <c r="CG34" i="17"/>
  <c r="CG29" i="17"/>
  <c r="CG24" i="17"/>
  <c r="CG31" i="17"/>
  <c r="CG26" i="17"/>
  <c r="CG23" i="17"/>
  <c r="CG25" i="17"/>
  <c r="CG27" i="17"/>
  <c r="CG22" i="17"/>
  <c r="CG20" i="17"/>
  <c r="CG28" i="17"/>
  <c r="CG17" i="17"/>
  <c r="CG19" i="17"/>
  <c r="CG13" i="17"/>
  <c r="CG12" i="17"/>
  <c r="CG11" i="17"/>
  <c r="CG15" i="17"/>
  <c r="CG30" i="17"/>
  <c r="CG21" i="17"/>
  <c r="CG18" i="17"/>
  <c r="CG14" i="17"/>
  <c r="CH8" i="17"/>
  <c r="CH16" i="17" s="1"/>
  <c r="CG10" i="17"/>
  <c r="CH49" i="17" l="1"/>
  <c r="CH46" i="17"/>
  <c r="CH50" i="17"/>
  <c r="CH48" i="17"/>
  <c r="CH44" i="17"/>
  <c r="CH47" i="17"/>
  <c r="CH42" i="17"/>
  <c r="CH41" i="17"/>
  <c r="CH39" i="17"/>
  <c r="CH35" i="17"/>
  <c r="CH37" i="17"/>
  <c r="CH38" i="17"/>
  <c r="CH33" i="17"/>
  <c r="CH43" i="17"/>
  <c r="CH32" i="17"/>
  <c r="CH34" i="17"/>
  <c r="CH27" i="17"/>
  <c r="CH40" i="17"/>
  <c r="CH36" i="17"/>
  <c r="CH45" i="17"/>
  <c r="CH31" i="17"/>
  <c r="CH26" i="17"/>
  <c r="CH25" i="17"/>
  <c r="CH20" i="17"/>
  <c r="CH22" i="17"/>
  <c r="CH29" i="17"/>
  <c r="CH19" i="17"/>
  <c r="CH13" i="17"/>
  <c r="CH12" i="17"/>
  <c r="CH30" i="17"/>
  <c r="CH18" i="17"/>
  <c r="CH28" i="17"/>
  <c r="CH23" i="17"/>
  <c r="CH11" i="17"/>
  <c r="CH15" i="17"/>
  <c r="CH24" i="17"/>
  <c r="CH21" i="17"/>
  <c r="CH14" i="17"/>
  <c r="CH17" i="17"/>
  <c r="CI8" i="17"/>
  <c r="CI16" i="17" s="1"/>
  <c r="CH10" i="17"/>
  <c r="CI48" i="17" l="1"/>
  <c r="CI46" i="17"/>
  <c r="CI50" i="17"/>
  <c r="CI44" i="17"/>
  <c r="CI47" i="17"/>
  <c r="CI42" i="17"/>
  <c r="CI49" i="17"/>
  <c r="CI41" i="17"/>
  <c r="CI43" i="17"/>
  <c r="CI35" i="17"/>
  <c r="CI37" i="17"/>
  <c r="CI38" i="17"/>
  <c r="CI45" i="17"/>
  <c r="CI40" i="17"/>
  <c r="CI36" i="17"/>
  <c r="CI33" i="17"/>
  <c r="CI39" i="17"/>
  <c r="CI32" i="17"/>
  <c r="CI34" i="17"/>
  <c r="CI31" i="17"/>
  <c r="CI25" i="17"/>
  <c r="CI30" i="17"/>
  <c r="CI23" i="17"/>
  <c r="CI27" i="17"/>
  <c r="CI22" i="17"/>
  <c r="CI20" i="17"/>
  <c r="CI19" i="17"/>
  <c r="CI28" i="17"/>
  <c r="CI26" i="17"/>
  <c r="CI13" i="17"/>
  <c r="CI12" i="17"/>
  <c r="CI18" i="17"/>
  <c r="CI14" i="17"/>
  <c r="CI11" i="17"/>
  <c r="CI15" i="17"/>
  <c r="CI24" i="17"/>
  <c r="CI21" i="17"/>
  <c r="CI17" i="17"/>
  <c r="CI29" i="17"/>
  <c r="CI10" i="17"/>
  <c r="CJ8" i="17"/>
  <c r="CJ16" i="17" s="1"/>
  <c r="CJ48" i="17" l="1"/>
  <c r="CJ46" i="17"/>
  <c r="CJ47" i="17"/>
  <c r="CJ50" i="17"/>
  <c r="CJ44" i="17"/>
  <c r="CJ41" i="17"/>
  <c r="CJ40" i="17"/>
  <c r="CJ42" i="17"/>
  <c r="CJ43" i="17"/>
  <c r="CJ49" i="17"/>
  <c r="CJ35" i="17"/>
  <c r="CJ37" i="17"/>
  <c r="CJ38" i="17"/>
  <c r="CJ45" i="17"/>
  <c r="CJ36" i="17"/>
  <c r="CJ39" i="17"/>
  <c r="CJ32" i="17"/>
  <c r="CJ34" i="17"/>
  <c r="CJ31" i="17"/>
  <c r="CJ30" i="17"/>
  <c r="CJ26" i="17"/>
  <c r="CJ33" i="17"/>
  <c r="CJ27" i="17"/>
  <c r="CJ20" i="17"/>
  <c r="CJ23" i="17"/>
  <c r="CJ22" i="17"/>
  <c r="CJ19" i="17"/>
  <c r="CJ18" i="17"/>
  <c r="CJ24" i="17"/>
  <c r="CJ28" i="17"/>
  <c r="CJ21" i="17"/>
  <c r="CJ12" i="17"/>
  <c r="CJ15" i="17"/>
  <c r="CJ25" i="17"/>
  <c r="CJ13" i="17"/>
  <c r="CJ11" i="17"/>
  <c r="CJ14" i="17"/>
  <c r="CJ29" i="17"/>
  <c r="CJ17" i="17"/>
  <c r="CJ10" i="17"/>
  <c r="CK8" i="17"/>
  <c r="CK16" i="17" s="1"/>
  <c r="CK48" i="17" l="1"/>
  <c r="CK47" i="17"/>
  <c r="CK50" i="17"/>
  <c r="CK46" i="17"/>
  <c r="CK42" i="17"/>
  <c r="CK43" i="17"/>
  <c r="CK45" i="17"/>
  <c r="CK41" i="17"/>
  <c r="CK49" i="17"/>
  <c r="CK35" i="17"/>
  <c r="CK37" i="17"/>
  <c r="CK38" i="17"/>
  <c r="CK36" i="17"/>
  <c r="CK40" i="17"/>
  <c r="CK39" i="17"/>
  <c r="CK44" i="17"/>
  <c r="CK32" i="17"/>
  <c r="CK34" i="17"/>
  <c r="CK26" i="17"/>
  <c r="CK31" i="17"/>
  <c r="CK30" i="17"/>
  <c r="CK25" i="17"/>
  <c r="CK20" i="17"/>
  <c r="CK19" i="17"/>
  <c r="CK22" i="17"/>
  <c r="CK18" i="17"/>
  <c r="CK24" i="17"/>
  <c r="CK28" i="17"/>
  <c r="CK21" i="17"/>
  <c r="CK12" i="17"/>
  <c r="CK27" i="17"/>
  <c r="CK29" i="17"/>
  <c r="CK33" i="17"/>
  <c r="CK23" i="17"/>
  <c r="CK15" i="17"/>
  <c r="CK13" i="17"/>
  <c r="CK11" i="17"/>
  <c r="CK14" i="17"/>
  <c r="CK17" i="17"/>
  <c r="CK10" i="17"/>
  <c r="CL8" i="17"/>
  <c r="CL16" i="17" s="1"/>
  <c r="CL48" i="17" l="1"/>
  <c r="CL47" i="17"/>
  <c r="CL46" i="17"/>
  <c r="CL50" i="17"/>
  <c r="CL43" i="17"/>
  <c r="CL40" i="17"/>
  <c r="CL42" i="17"/>
  <c r="CL45" i="17"/>
  <c r="CL41" i="17"/>
  <c r="CL44" i="17"/>
  <c r="CL35" i="17"/>
  <c r="CL37" i="17"/>
  <c r="CL38" i="17"/>
  <c r="CL36" i="17"/>
  <c r="CL39" i="17"/>
  <c r="CL49" i="17"/>
  <c r="CL32" i="17"/>
  <c r="CL34" i="17"/>
  <c r="CL31" i="17"/>
  <c r="CL29" i="17"/>
  <c r="CL33" i="17"/>
  <c r="CL23" i="17"/>
  <c r="CL26" i="17"/>
  <c r="CL25" i="17"/>
  <c r="CL22" i="17"/>
  <c r="CL28" i="17"/>
  <c r="CL30" i="17"/>
  <c r="CL20" i="17"/>
  <c r="CL18" i="17"/>
  <c r="CL24" i="17"/>
  <c r="CL19" i="17"/>
  <c r="CL12" i="17"/>
  <c r="CL27" i="17"/>
  <c r="CL11" i="17"/>
  <c r="CL15" i="17"/>
  <c r="CL13" i="17"/>
  <c r="CL21" i="17"/>
  <c r="CL14" i="17"/>
  <c r="CL17" i="17"/>
  <c r="CL10" i="17"/>
  <c r="CM8" i="17"/>
  <c r="CM16" i="17" s="1"/>
  <c r="CM48" i="17" l="1"/>
  <c r="CM46" i="17"/>
  <c r="CM47" i="17"/>
  <c r="CM50" i="17"/>
  <c r="CM45" i="17"/>
  <c r="CM42" i="17"/>
  <c r="CM43" i="17"/>
  <c r="CM37" i="17"/>
  <c r="CM44" i="17"/>
  <c r="CM35" i="17"/>
  <c r="CM38" i="17"/>
  <c r="CM36" i="17"/>
  <c r="CM40" i="17"/>
  <c r="CM39" i="17"/>
  <c r="CM34" i="17"/>
  <c r="CM49" i="17"/>
  <c r="CM41" i="17"/>
  <c r="CM32" i="17"/>
  <c r="CM26" i="17"/>
  <c r="CM31" i="17"/>
  <c r="CM29" i="17"/>
  <c r="CM33" i="17"/>
  <c r="CM25" i="17"/>
  <c r="CM27" i="17"/>
  <c r="CM30" i="17"/>
  <c r="CM19" i="17"/>
  <c r="CM28" i="17"/>
  <c r="CM24" i="17"/>
  <c r="CM20" i="17"/>
  <c r="CM18" i="17"/>
  <c r="CM22" i="17"/>
  <c r="CM11" i="17"/>
  <c r="CM12" i="17"/>
  <c r="CM17" i="17"/>
  <c r="CM14" i="17"/>
  <c r="CM13" i="17"/>
  <c r="CM23" i="17"/>
  <c r="CM15" i="17"/>
  <c r="CM21" i="17"/>
  <c r="CM10" i="17"/>
  <c r="CN8" i="17"/>
  <c r="CN16" i="17" s="1"/>
  <c r="CN50" i="17" l="1"/>
  <c r="CN48" i="17"/>
  <c r="CN49" i="17"/>
  <c r="CN46" i="17"/>
  <c r="CN42" i="17"/>
  <c r="CN47" i="17"/>
  <c r="CN43" i="17"/>
  <c r="CN45" i="17"/>
  <c r="CN38" i="17"/>
  <c r="CN37" i="17"/>
  <c r="CN36" i="17"/>
  <c r="CN40" i="17"/>
  <c r="CN39" i="17"/>
  <c r="CN34" i="17"/>
  <c r="CN41" i="17"/>
  <c r="CN44" i="17"/>
  <c r="CN32" i="17"/>
  <c r="CN35" i="17"/>
  <c r="CN31" i="17"/>
  <c r="CN29" i="17"/>
  <c r="CN33" i="17"/>
  <c r="CN26" i="17"/>
  <c r="CN28" i="17"/>
  <c r="CN24" i="17"/>
  <c r="CN21" i="17"/>
  <c r="CN20" i="17"/>
  <c r="CN18" i="17"/>
  <c r="CN19" i="17"/>
  <c r="CN15" i="17"/>
  <c r="CN12" i="17"/>
  <c r="CN22" i="17"/>
  <c r="CN27" i="17"/>
  <c r="CN11" i="17"/>
  <c r="CN30" i="17"/>
  <c r="CN17" i="17"/>
  <c r="CN14" i="17"/>
  <c r="CN25" i="17"/>
  <c r="CN23" i="17"/>
  <c r="CN13" i="17"/>
  <c r="CN10" i="17"/>
  <c r="CO8" i="17"/>
  <c r="CO16" i="17" s="1"/>
  <c r="CO47" i="17" l="1"/>
  <c r="CO50" i="17"/>
  <c r="CO45" i="17"/>
  <c r="CO48" i="17"/>
  <c r="CO49" i="17"/>
  <c r="CO46" i="17"/>
  <c r="CO40" i="17"/>
  <c r="CO42" i="17"/>
  <c r="CO43" i="17"/>
  <c r="CO39" i="17"/>
  <c r="CO44" i="17"/>
  <c r="CO38" i="17"/>
  <c r="CO37" i="17"/>
  <c r="CO36" i="17"/>
  <c r="CO34" i="17"/>
  <c r="CO41" i="17"/>
  <c r="CO35" i="17"/>
  <c r="CO31" i="17"/>
  <c r="CO29" i="17"/>
  <c r="CO33" i="17"/>
  <c r="CO30" i="17"/>
  <c r="CO27" i="17"/>
  <c r="CO32" i="17"/>
  <c r="CO19" i="17"/>
  <c r="CO28" i="17"/>
  <c r="CO21" i="17"/>
  <c r="CO20" i="17"/>
  <c r="CO18" i="17"/>
  <c r="CO15" i="17"/>
  <c r="CO24" i="17"/>
  <c r="CO25" i="17"/>
  <c r="CO26" i="17"/>
  <c r="CO17" i="17"/>
  <c r="CO22" i="17"/>
  <c r="CO11" i="17"/>
  <c r="CO23" i="17"/>
  <c r="CO12" i="17"/>
  <c r="CO14" i="17"/>
  <c r="CO13" i="17"/>
  <c r="CO10" i="17"/>
  <c r="CP8" i="17"/>
  <c r="CP16" i="17" s="1"/>
  <c r="CP50" i="17" l="1"/>
  <c r="CP48" i="17"/>
  <c r="CP49" i="17"/>
  <c r="CP46" i="17"/>
  <c r="CP42" i="17"/>
  <c r="CP43" i="17"/>
  <c r="CP47" i="17"/>
  <c r="CP45" i="17"/>
  <c r="CP44" i="17"/>
  <c r="CP36" i="17"/>
  <c r="CP34" i="17"/>
  <c r="CP40" i="17"/>
  <c r="CP39" i="17"/>
  <c r="CP41" i="17"/>
  <c r="CP31" i="17"/>
  <c r="CP35" i="17"/>
  <c r="CP38" i="17"/>
  <c r="CP29" i="17"/>
  <c r="CP25" i="17"/>
  <c r="CP33" i="17"/>
  <c r="CP30" i="17"/>
  <c r="CP27" i="17"/>
  <c r="CP37" i="17"/>
  <c r="CP28" i="17"/>
  <c r="CP23" i="17"/>
  <c r="CP22" i="17"/>
  <c r="CP15" i="17"/>
  <c r="CP24" i="17"/>
  <c r="CP19" i="17"/>
  <c r="CP17" i="17"/>
  <c r="CP20" i="17"/>
  <c r="CP11" i="17"/>
  <c r="CP18" i="17"/>
  <c r="CP26" i="17"/>
  <c r="CP12" i="17"/>
  <c r="CP21" i="17"/>
  <c r="CP14" i="17"/>
  <c r="CP32" i="17"/>
  <c r="CP13" i="17"/>
  <c r="CQ8" i="17"/>
  <c r="CQ16" i="17" s="1"/>
  <c r="CP10" i="17"/>
  <c r="CQ47" i="17" l="1"/>
  <c r="CQ50" i="17"/>
  <c r="CQ48" i="17"/>
  <c r="CQ49" i="17"/>
  <c r="CQ42" i="17"/>
  <c r="CQ46" i="17"/>
  <c r="CQ43" i="17"/>
  <c r="CQ45" i="17"/>
  <c r="CQ44" i="17"/>
  <c r="CQ40" i="17"/>
  <c r="CQ37" i="17"/>
  <c r="CQ34" i="17"/>
  <c r="CQ39" i="17"/>
  <c r="CQ41" i="17"/>
  <c r="CQ31" i="17"/>
  <c r="CQ35" i="17"/>
  <c r="CQ33" i="17"/>
  <c r="CQ38" i="17"/>
  <c r="CQ36" i="17"/>
  <c r="CQ29" i="17"/>
  <c r="CQ30" i="17"/>
  <c r="CQ32" i="17"/>
  <c r="CQ27" i="17"/>
  <c r="CQ28" i="17"/>
  <c r="CQ23" i="17"/>
  <c r="CQ26" i="17"/>
  <c r="CQ22" i="17"/>
  <c r="CQ15" i="17"/>
  <c r="CQ24" i="17"/>
  <c r="CQ19" i="17"/>
  <c r="CQ25" i="17"/>
  <c r="CQ20" i="17"/>
  <c r="CQ11" i="17"/>
  <c r="CQ18" i="17"/>
  <c r="CQ17" i="17"/>
  <c r="CQ13" i="17"/>
  <c r="CQ12" i="17"/>
  <c r="CQ21" i="17"/>
  <c r="CQ14" i="17"/>
  <c r="CR8" i="17"/>
  <c r="CR16" i="17" s="1"/>
  <c r="CQ10" i="17"/>
  <c r="CR50" i="17" l="1"/>
  <c r="CR49" i="17"/>
  <c r="CR48" i="17"/>
  <c r="CR46" i="17"/>
  <c r="CR43" i="17"/>
  <c r="CR47" i="17"/>
  <c r="CR45" i="17"/>
  <c r="CR44" i="17"/>
  <c r="CR40" i="17"/>
  <c r="CR42" i="17"/>
  <c r="CR34" i="17"/>
  <c r="CR39" i="17"/>
  <c r="CR41" i="17"/>
  <c r="CR31" i="17"/>
  <c r="CR35" i="17"/>
  <c r="CR38" i="17"/>
  <c r="CR33" i="17"/>
  <c r="CR36" i="17"/>
  <c r="CR29" i="17"/>
  <c r="CR30" i="17"/>
  <c r="CR28" i="17"/>
  <c r="CR32" i="17"/>
  <c r="CR27" i="17"/>
  <c r="CR23" i="17"/>
  <c r="CR26" i="17"/>
  <c r="CR24" i="17"/>
  <c r="CR19" i="17"/>
  <c r="CR37" i="17"/>
  <c r="CR25" i="17"/>
  <c r="CR21" i="17"/>
  <c r="CR22" i="17"/>
  <c r="CR11" i="17"/>
  <c r="CR20" i="17"/>
  <c r="CR18" i="17"/>
  <c r="CR14" i="17"/>
  <c r="CR13" i="17"/>
  <c r="CR12" i="17"/>
  <c r="CR15" i="17"/>
  <c r="CR17" i="17"/>
  <c r="CS8" i="17"/>
  <c r="CS16" i="17" s="1"/>
  <c r="CR10" i="17"/>
  <c r="CS50" i="17" l="1"/>
  <c r="CS49" i="17"/>
  <c r="CS46" i="17"/>
  <c r="CS43" i="17"/>
  <c r="CS48" i="17"/>
  <c r="CS47" i="17"/>
  <c r="CS45" i="17"/>
  <c r="CS44" i="17"/>
  <c r="CS42" i="17"/>
  <c r="CS41" i="17"/>
  <c r="CS40" i="17"/>
  <c r="CS39" i="17"/>
  <c r="CS31" i="17"/>
  <c r="CS35" i="17"/>
  <c r="CS38" i="17"/>
  <c r="CS36" i="17"/>
  <c r="CS34" i="17"/>
  <c r="CS33" i="17"/>
  <c r="CS30" i="17"/>
  <c r="CS28" i="17"/>
  <c r="CS32" i="17"/>
  <c r="CS37" i="17"/>
  <c r="CS27" i="17"/>
  <c r="CS24" i="17"/>
  <c r="CS29" i="17"/>
  <c r="CS23" i="17"/>
  <c r="CS26" i="17"/>
  <c r="CS25" i="17"/>
  <c r="CS14" i="17"/>
  <c r="CS21" i="17"/>
  <c r="CS20" i="17"/>
  <c r="CS19" i="17"/>
  <c r="CS11" i="17"/>
  <c r="CS18" i="17"/>
  <c r="CS15" i="17"/>
  <c r="CS22" i="17"/>
  <c r="CS17" i="17"/>
  <c r="CS12" i="17"/>
  <c r="CS13" i="17"/>
  <c r="CS10" i="17"/>
  <c r="CT8" i="17"/>
  <c r="CT16" i="17" s="1"/>
  <c r="CT50" i="17" l="1"/>
  <c r="CT49" i="17"/>
  <c r="CT44" i="17"/>
  <c r="CT46" i="17"/>
  <c r="CT45" i="17"/>
  <c r="CT48" i="17"/>
  <c r="CT39" i="17"/>
  <c r="CT47" i="17"/>
  <c r="CT38" i="17"/>
  <c r="CT43" i="17"/>
  <c r="CT41" i="17"/>
  <c r="CT40" i="17"/>
  <c r="CT42" i="17"/>
  <c r="CT35" i="17"/>
  <c r="CT36" i="17"/>
  <c r="CT34" i="17"/>
  <c r="CT33" i="17"/>
  <c r="CT31" i="17"/>
  <c r="CT30" i="17"/>
  <c r="CT28" i="17"/>
  <c r="CT32" i="17"/>
  <c r="CT37" i="17"/>
  <c r="CT27" i="17"/>
  <c r="CT18" i="17"/>
  <c r="CT26" i="17"/>
  <c r="CT24" i="17"/>
  <c r="CT21" i="17"/>
  <c r="CT25" i="17"/>
  <c r="CT14" i="17"/>
  <c r="CT23" i="17"/>
  <c r="CT29" i="17"/>
  <c r="CT15" i="17"/>
  <c r="CT17" i="17"/>
  <c r="CT11" i="17"/>
  <c r="CT22" i="17"/>
  <c r="CT20" i="17"/>
  <c r="CT12" i="17"/>
  <c r="CT19" i="17"/>
  <c r="CT13" i="17"/>
  <c r="CT10" i="17"/>
  <c r="CU8" i="17"/>
  <c r="CU16" i="17" s="1"/>
  <c r="CU50" i="17" l="1"/>
  <c r="CU49" i="17"/>
  <c r="CU46" i="17"/>
  <c r="CU45" i="17"/>
  <c r="CU47" i="17"/>
  <c r="CU44" i="17"/>
  <c r="CU48" i="17"/>
  <c r="CU42" i="17"/>
  <c r="CU41" i="17"/>
  <c r="CU40" i="17"/>
  <c r="CU43" i="17"/>
  <c r="CU35" i="17"/>
  <c r="CU30" i="17"/>
  <c r="CU38" i="17"/>
  <c r="CU36" i="17"/>
  <c r="CU34" i="17"/>
  <c r="CU33" i="17"/>
  <c r="CU31" i="17"/>
  <c r="CU28" i="17"/>
  <c r="CU32" i="17"/>
  <c r="CU37" i="17"/>
  <c r="CU27" i="17"/>
  <c r="CU23" i="17"/>
  <c r="CU26" i="17"/>
  <c r="CU24" i="17"/>
  <c r="CU21" i="17"/>
  <c r="CU25" i="17"/>
  <c r="CU39" i="17"/>
  <c r="CU18" i="17"/>
  <c r="CU29" i="17"/>
  <c r="CU15" i="17"/>
  <c r="CU17" i="17"/>
  <c r="CU14" i="17"/>
  <c r="CU11" i="17"/>
  <c r="CU22" i="17"/>
  <c r="CU20" i="17"/>
  <c r="CU12" i="17"/>
  <c r="CU19" i="17"/>
  <c r="CU13" i="17"/>
  <c r="CU10" i="17"/>
  <c r="CV8" i="17"/>
  <c r="CV16" i="17" s="1"/>
  <c r="CV50" i="17" l="1"/>
  <c r="CV49" i="17"/>
  <c r="CV47" i="17"/>
  <c r="CV45" i="17"/>
  <c r="CV44" i="17"/>
  <c r="CV41" i="17"/>
  <c r="CV39" i="17"/>
  <c r="CV48" i="17"/>
  <c r="CV36" i="17"/>
  <c r="CV42" i="17"/>
  <c r="CV40" i="17"/>
  <c r="CV46" i="17"/>
  <c r="CV43" i="17"/>
  <c r="CV35" i="17"/>
  <c r="CV38" i="17"/>
  <c r="CV34" i="17"/>
  <c r="CV33" i="17"/>
  <c r="CV32" i="17"/>
  <c r="CV30" i="17"/>
  <c r="CV28" i="17"/>
  <c r="CV37" i="17"/>
  <c r="CV24" i="17"/>
  <c r="CV29" i="17"/>
  <c r="CV23" i="17"/>
  <c r="CV26" i="17"/>
  <c r="CV21" i="17"/>
  <c r="CV22" i="17"/>
  <c r="CV14" i="17"/>
  <c r="CV31" i="17"/>
  <c r="CV25" i="17"/>
  <c r="CV17" i="17"/>
  <c r="CV27" i="17"/>
  <c r="CV18" i="17"/>
  <c r="CV15" i="17"/>
  <c r="CV13" i="17"/>
  <c r="CV12" i="17"/>
  <c r="CV11" i="17"/>
  <c r="CV20" i="17"/>
  <c r="CV19" i="17"/>
  <c r="CR7" i="17"/>
  <c r="CV10" i="17"/>
  <c r="CW8" i="17"/>
  <c r="CW16" i="17" s="1"/>
  <c r="CW50" i="17" l="1"/>
  <c r="CW49" i="17"/>
  <c r="CW47" i="17"/>
  <c r="CW45" i="17"/>
  <c r="CW44" i="17"/>
  <c r="CW48" i="17"/>
  <c r="CW38" i="17"/>
  <c r="CW42" i="17"/>
  <c r="CW46" i="17"/>
  <c r="CW40" i="17"/>
  <c r="CW41" i="17"/>
  <c r="CW43" i="17"/>
  <c r="CW35" i="17"/>
  <c r="CW34" i="17"/>
  <c r="CW36" i="17"/>
  <c r="CW33" i="17"/>
  <c r="CW32" i="17"/>
  <c r="CW30" i="17"/>
  <c r="CW28" i="17"/>
  <c r="CW37" i="17"/>
  <c r="CW26" i="17"/>
  <c r="CW21" i="17"/>
  <c r="CW24" i="17"/>
  <c r="CW22" i="17"/>
  <c r="CW29" i="17"/>
  <c r="CW31" i="17"/>
  <c r="CW25" i="17"/>
  <c r="CW17" i="17"/>
  <c r="CW27" i="17"/>
  <c r="CW39" i="17"/>
  <c r="CW23" i="17"/>
  <c r="CW20" i="17"/>
  <c r="CW15" i="17"/>
  <c r="CW14" i="17"/>
  <c r="CW13" i="17"/>
  <c r="CW12" i="17"/>
  <c r="CW11" i="17"/>
  <c r="CW18" i="17"/>
  <c r="CW19" i="17"/>
  <c r="CX8" i="17"/>
  <c r="CX16" i="17" s="1"/>
  <c r="CW10" i="17"/>
  <c r="CX49" i="17" l="1"/>
  <c r="CX50" i="17"/>
  <c r="CX48" i="17"/>
  <c r="CX47" i="17"/>
  <c r="CX45" i="17"/>
  <c r="CX44" i="17"/>
  <c r="CX38" i="17"/>
  <c r="CX42" i="17"/>
  <c r="CX43" i="17"/>
  <c r="CX40" i="17"/>
  <c r="CX39" i="17"/>
  <c r="CX46" i="17"/>
  <c r="CX41" i="17"/>
  <c r="CX37" i="17"/>
  <c r="CX30" i="17"/>
  <c r="CX35" i="17"/>
  <c r="CX34" i="17"/>
  <c r="CX36" i="17"/>
  <c r="CX33" i="17"/>
  <c r="CX32" i="17"/>
  <c r="CX29" i="17"/>
  <c r="CX23" i="17"/>
  <c r="CX26" i="17"/>
  <c r="CX28" i="17"/>
  <c r="CX24" i="17"/>
  <c r="CX22" i="17"/>
  <c r="CX31" i="17"/>
  <c r="CX25" i="17"/>
  <c r="CX17" i="17"/>
  <c r="CX27" i="17"/>
  <c r="CX21" i="17"/>
  <c r="CX20" i="17"/>
  <c r="CX18" i="17"/>
  <c r="CX15" i="17"/>
  <c r="CX14" i="17"/>
  <c r="CX13" i="17"/>
  <c r="CX19" i="17"/>
  <c r="CX12" i="17"/>
  <c r="CX11" i="17"/>
  <c r="CX10" i="17"/>
  <c r="CY8" i="17"/>
  <c r="CY16" i="17" s="1"/>
  <c r="CY49" i="17" l="1"/>
  <c r="CY48" i="17"/>
  <c r="CY50" i="17"/>
  <c r="CY47" i="17"/>
  <c r="CY45" i="17"/>
  <c r="CY44" i="17"/>
  <c r="CY38" i="17"/>
  <c r="CY41" i="17"/>
  <c r="CY46" i="17"/>
  <c r="CY42" i="17"/>
  <c r="CY43" i="17"/>
  <c r="CY40" i="17"/>
  <c r="CY39" i="17"/>
  <c r="CY37" i="17"/>
  <c r="CY36" i="17"/>
  <c r="CY35" i="17"/>
  <c r="CY34" i="17"/>
  <c r="CY33" i="17"/>
  <c r="CY32" i="17"/>
  <c r="CY29" i="17"/>
  <c r="CY28" i="17"/>
  <c r="CY21" i="17"/>
  <c r="CY24" i="17"/>
  <c r="CY22" i="17"/>
  <c r="CY31" i="17"/>
  <c r="CY25" i="17"/>
  <c r="CY27" i="17"/>
  <c r="CY26" i="17"/>
  <c r="CY17" i="17"/>
  <c r="CY18" i="17"/>
  <c r="CY30" i="17"/>
  <c r="CY15" i="17"/>
  <c r="CY14" i="17"/>
  <c r="CY13" i="17"/>
  <c r="CY23" i="17"/>
  <c r="CY20" i="17"/>
  <c r="CY19" i="17"/>
  <c r="CY12" i="17"/>
  <c r="CY11" i="17"/>
  <c r="CZ8" i="17"/>
  <c r="CZ16" i="17" s="1"/>
  <c r="CY10" i="17"/>
  <c r="CZ49" i="17" l="1"/>
  <c r="CZ50" i="17"/>
  <c r="CZ48" i="17"/>
  <c r="CZ47" i="17"/>
  <c r="CZ45" i="17"/>
  <c r="CZ44" i="17"/>
  <c r="CZ38" i="17"/>
  <c r="CZ42" i="17"/>
  <c r="CZ43" i="17"/>
  <c r="CZ40" i="17"/>
  <c r="CZ39" i="17"/>
  <c r="CZ41" i="17"/>
  <c r="CZ46" i="17"/>
  <c r="CZ35" i="17"/>
  <c r="CZ36" i="17"/>
  <c r="CZ34" i="17"/>
  <c r="CZ33" i="17"/>
  <c r="CZ37" i="17"/>
  <c r="CZ32" i="17"/>
  <c r="CZ27" i="17"/>
  <c r="CZ29" i="17"/>
  <c r="CZ28" i="17"/>
  <c r="CZ30" i="17"/>
  <c r="CZ26" i="17"/>
  <c r="CZ25" i="17"/>
  <c r="CZ21" i="17"/>
  <c r="CZ24" i="17"/>
  <c r="CZ31" i="17"/>
  <c r="CZ20" i="17"/>
  <c r="CZ17" i="17"/>
  <c r="CZ15" i="17"/>
  <c r="CZ22" i="17"/>
  <c r="CZ19" i="17"/>
  <c r="CZ14" i="17"/>
  <c r="CZ13" i="17"/>
  <c r="CZ23" i="17"/>
  <c r="CZ18" i="17"/>
  <c r="CZ12" i="17"/>
  <c r="CZ11" i="17"/>
  <c r="CZ10" i="17"/>
  <c r="DA8" i="17"/>
  <c r="DA16" i="17" s="1"/>
  <c r="DA49" i="17" l="1"/>
  <c r="DA48" i="17"/>
  <c r="DA47" i="17"/>
  <c r="DA45" i="17"/>
  <c r="DA44" i="17"/>
  <c r="DA43" i="17"/>
  <c r="DA41" i="17"/>
  <c r="DA50" i="17"/>
  <c r="DA38" i="17"/>
  <c r="DA42" i="17"/>
  <c r="DA40" i="17"/>
  <c r="DA39" i="17"/>
  <c r="DA46" i="17"/>
  <c r="DA35" i="17"/>
  <c r="DA36" i="17"/>
  <c r="DA33" i="17"/>
  <c r="DA32" i="17"/>
  <c r="DA37" i="17"/>
  <c r="DA29" i="17"/>
  <c r="DA24" i="17"/>
  <c r="DA28" i="17"/>
  <c r="DA23" i="17"/>
  <c r="DA30" i="17"/>
  <c r="DA22" i="17"/>
  <c r="DA31" i="17"/>
  <c r="DA20" i="17"/>
  <c r="DA25" i="17"/>
  <c r="DA27" i="17"/>
  <c r="DA17" i="17"/>
  <c r="DA21" i="17"/>
  <c r="DA19" i="17"/>
  <c r="DA34" i="17"/>
  <c r="DA15" i="17"/>
  <c r="DA14" i="17"/>
  <c r="DA13" i="17"/>
  <c r="DA26" i="17"/>
  <c r="DA12" i="17"/>
  <c r="DA11" i="17"/>
  <c r="DA18" i="17"/>
  <c r="DB8" i="17"/>
  <c r="DB16" i="17" s="1"/>
  <c r="DA10" i="17"/>
  <c r="DB49" i="17" l="1"/>
  <c r="DB48" i="17"/>
  <c r="DB46" i="17"/>
  <c r="DB47" i="17"/>
  <c r="DB45" i="17"/>
  <c r="DB44" i="17"/>
  <c r="DB50" i="17"/>
  <c r="DB43" i="17"/>
  <c r="DB38" i="17"/>
  <c r="DB42" i="17"/>
  <c r="DB40" i="17"/>
  <c r="DB39" i="17"/>
  <c r="DB41" i="17"/>
  <c r="DB35" i="17"/>
  <c r="DB36" i="17"/>
  <c r="DB33" i="17"/>
  <c r="DB32" i="17"/>
  <c r="DB27" i="17"/>
  <c r="DB37" i="17"/>
  <c r="DB28" i="17"/>
  <c r="DB29" i="17"/>
  <c r="DB30" i="17"/>
  <c r="DB26" i="17"/>
  <c r="DB25" i="17"/>
  <c r="DB24" i="17"/>
  <c r="DB22" i="17"/>
  <c r="DB31" i="17"/>
  <c r="DB20" i="17"/>
  <c r="DB21" i="17"/>
  <c r="DB14" i="17"/>
  <c r="DB13" i="17"/>
  <c r="DB23" i="17"/>
  <c r="DB17" i="17"/>
  <c r="DB34" i="17"/>
  <c r="DB12" i="17"/>
  <c r="DB11" i="17"/>
  <c r="DB15" i="17"/>
  <c r="DB18" i="17"/>
  <c r="DB19" i="17"/>
  <c r="DC8" i="17"/>
  <c r="DC16" i="17" s="1"/>
  <c r="DB10" i="17"/>
  <c r="DC48" i="17" l="1"/>
  <c r="DC49" i="17"/>
  <c r="DC47" i="17"/>
  <c r="DC46" i="17"/>
  <c r="DC44" i="17"/>
  <c r="DC45" i="17"/>
  <c r="DC50" i="17"/>
  <c r="DC42" i="17"/>
  <c r="DC43" i="17"/>
  <c r="DC41" i="17"/>
  <c r="DC38" i="17"/>
  <c r="DC40" i="17"/>
  <c r="DC39" i="17"/>
  <c r="DC35" i="17"/>
  <c r="DC37" i="17"/>
  <c r="DC36" i="17"/>
  <c r="DC33" i="17"/>
  <c r="DC32" i="17"/>
  <c r="DC31" i="17"/>
  <c r="DC28" i="17"/>
  <c r="DC29" i="17"/>
  <c r="DC30" i="17"/>
  <c r="DC26" i="17"/>
  <c r="DC25" i="17"/>
  <c r="DC24" i="17"/>
  <c r="DC21" i="17"/>
  <c r="DC27" i="17"/>
  <c r="DC22" i="17"/>
  <c r="DC13" i="17"/>
  <c r="DC23" i="17"/>
  <c r="DC17" i="17"/>
  <c r="DC34" i="17"/>
  <c r="DC12" i="17"/>
  <c r="DC19" i="17"/>
  <c r="DC14" i="17"/>
  <c r="DC18" i="17"/>
  <c r="DC20" i="17"/>
  <c r="DC15" i="17"/>
  <c r="DC11" i="17"/>
  <c r="DC7" i="17"/>
  <c r="DC10" i="17"/>
  <c r="DD8" i="17"/>
  <c r="DD16" i="17" s="1"/>
  <c r="DD48" i="17" l="1"/>
  <c r="DD46" i="17"/>
  <c r="DD49" i="17"/>
  <c r="DD44" i="17"/>
  <c r="DD50" i="17"/>
  <c r="DD47" i="17"/>
  <c r="DD45" i="17"/>
  <c r="DD41" i="17"/>
  <c r="DD40" i="17"/>
  <c r="DD42" i="17"/>
  <c r="DD43" i="17"/>
  <c r="DD39" i="17"/>
  <c r="DD35" i="17"/>
  <c r="DD37" i="17"/>
  <c r="DD36" i="17"/>
  <c r="DD38" i="17"/>
  <c r="DD32" i="17"/>
  <c r="DD31" i="17"/>
  <c r="DD28" i="17"/>
  <c r="DD29" i="17"/>
  <c r="DD30" i="17"/>
  <c r="DD26" i="17"/>
  <c r="DD25" i="17"/>
  <c r="DD20" i="17"/>
  <c r="DD21" i="17"/>
  <c r="DD27" i="17"/>
  <c r="DD23" i="17"/>
  <c r="DD18" i="17"/>
  <c r="DD33" i="17"/>
  <c r="DD24" i="17"/>
  <c r="DD17" i="17"/>
  <c r="DD12" i="17"/>
  <c r="DD34" i="17"/>
  <c r="DD19" i="17"/>
  <c r="DD22" i="17"/>
  <c r="DD14" i="17"/>
  <c r="DD13" i="17"/>
  <c r="DD15" i="17"/>
  <c r="DD11" i="17"/>
  <c r="DE8" i="17"/>
  <c r="DE16" i="17" s="1"/>
  <c r="DD10" i="17"/>
  <c r="DE48" i="17" l="1"/>
  <c r="DE49" i="17"/>
  <c r="DE47" i="17"/>
  <c r="DE44" i="17"/>
  <c r="DE50" i="17"/>
  <c r="DE42" i="17"/>
  <c r="DE43" i="17"/>
  <c r="DE41" i="17"/>
  <c r="DE39" i="17"/>
  <c r="DE40" i="17"/>
  <c r="DE46" i="17"/>
  <c r="DE35" i="17"/>
  <c r="DE45" i="17"/>
  <c r="DE37" i="17"/>
  <c r="DE36" i="17"/>
  <c r="DE38" i="17"/>
  <c r="DE32" i="17"/>
  <c r="DE26" i="17"/>
  <c r="DE28" i="17"/>
  <c r="DE29" i="17"/>
  <c r="DE30" i="17"/>
  <c r="DE33" i="17"/>
  <c r="DE20" i="17"/>
  <c r="DE31" i="17"/>
  <c r="DE25" i="17"/>
  <c r="DE19" i="17"/>
  <c r="DE27" i="17"/>
  <c r="DE23" i="17"/>
  <c r="DE18" i="17"/>
  <c r="DE21" i="17"/>
  <c r="DE17" i="17"/>
  <c r="DE34" i="17"/>
  <c r="DE12" i="17"/>
  <c r="DE24" i="17"/>
  <c r="DE22" i="17"/>
  <c r="DE14" i="17"/>
  <c r="DE13" i="17"/>
  <c r="DE15" i="17"/>
  <c r="DE11" i="17"/>
  <c r="DE10" i="17"/>
  <c r="DF8" i="17"/>
  <c r="DF16" i="17" s="1"/>
  <c r="DF48" i="17" l="1"/>
  <c r="DF47" i="17"/>
  <c r="DF49" i="17"/>
  <c r="DF43" i="17"/>
  <c r="DF50" i="17"/>
  <c r="DF40" i="17"/>
  <c r="DF42" i="17"/>
  <c r="DF41" i="17"/>
  <c r="DF46" i="17"/>
  <c r="DF45" i="17"/>
  <c r="DF44" i="17"/>
  <c r="DF35" i="17"/>
  <c r="DF37" i="17"/>
  <c r="DF36" i="17"/>
  <c r="DF38" i="17"/>
  <c r="DF32" i="17"/>
  <c r="DF29" i="17"/>
  <c r="DF30" i="17"/>
  <c r="DF28" i="17"/>
  <c r="DF23" i="17"/>
  <c r="DF25" i="17"/>
  <c r="DF22" i="17"/>
  <c r="DF33" i="17"/>
  <c r="DF31" i="17"/>
  <c r="DF27" i="17"/>
  <c r="DF39" i="17"/>
  <c r="DF18" i="17"/>
  <c r="DF17" i="17"/>
  <c r="DF34" i="17"/>
  <c r="DF12" i="17"/>
  <c r="DF26" i="17"/>
  <c r="DF11" i="17"/>
  <c r="DF19" i="17"/>
  <c r="DF24" i="17"/>
  <c r="DF21" i="17"/>
  <c r="DF14" i="17"/>
  <c r="DF20" i="17"/>
  <c r="DF13" i="17"/>
  <c r="DF15" i="17"/>
  <c r="DF10" i="17"/>
  <c r="DG8" i="17"/>
  <c r="DG16" i="17" s="1"/>
  <c r="DG48" i="17" l="1"/>
  <c r="DG46" i="17"/>
  <c r="DG47" i="17"/>
  <c r="DG49" i="17"/>
  <c r="DG45" i="17"/>
  <c r="DG50" i="17"/>
  <c r="DG42" i="17"/>
  <c r="DG43" i="17"/>
  <c r="DG41" i="17"/>
  <c r="DG40" i="17"/>
  <c r="DG37" i="17"/>
  <c r="DG35" i="17"/>
  <c r="DG36" i="17"/>
  <c r="DG34" i="17"/>
  <c r="DG44" i="17"/>
  <c r="DG32" i="17"/>
  <c r="DG38" i="17"/>
  <c r="DG26" i="17"/>
  <c r="DG29" i="17"/>
  <c r="DG30" i="17"/>
  <c r="DG25" i="17"/>
  <c r="DG33" i="17"/>
  <c r="DG31" i="17"/>
  <c r="DG28" i="17"/>
  <c r="DG19" i="17"/>
  <c r="DG39" i="17"/>
  <c r="DG23" i="17"/>
  <c r="DG27" i="17"/>
  <c r="DG18" i="17"/>
  <c r="DG17" i="17"/>
  <c r="DG12" i="17"/>
  <c r="DG11" i="17"/>
  <c r="DG24" i="17"/>
  <c r="DG21" i="17"/>
  <c r="DG22" i="17"/>
  <c r="DG20" i="17"/>
  <c r="DG13" i="17"/>
  <c r="DG15" i="17"/>
  <c r="DG14" i="17"/>
  <c r="DG10" i="17"/>
  <c r="DH8" i="17"/>
  <c r="DH16" i="17" s="1"/>
  <c r="DH48" i="17" l="1"/>
  <c r="DH47" i="17"/>
  <c r="DH49" i="17"/>
  <c r="DH46" i="17"/>
  <c r="DH50" i="17"/>
  <c r="DH42" i="17"/>
  <c r="DH43" i="17"/>
  <c r="DH41" i="17"/>
  <c r="DH37" i="17"/>
  <c r="DH36" i="17"/>
  <c r="DH45" i="17"/>
  <c r="DH34" i="17"/>
  <c r="DH32" i="17"/>
  <c r="DH38" i="17"/>
  <c r="DH44" i="17"/>
  <c r="DH40" i="17"/>
  <c r="DH29" i="17"/>
  <c r="DH31" i="17"/>
  <c r="DH25" i="17"/>
  <c r="DH30" i="17"/>
  <c r="DH26" i="17"/>
  <c r="DH33" i="17"/>
  <c r="DH28" i="17"/>
  <c r="DH39" i="17"/>
  <c r="DH27" i="17"/>
  <c r="DH23" i="17"/>
  <c r="DH21" i="17"/>
  <c r="DH35" i="17"/>
  <c r="DH18" i="17"/>
  <c r="DH15" i="17"/>
  <c r="DH20" i="17"/>
  <c r="DH19" i="17"/>
  <c r="DH12" i="17"/>
  <c r="DH11" i="17"/>
  <c r="DH13" i="17"/>
  <c r="DH24" i="17"/>
  <c r="DH17" i="17"/>
  <c r="DH22" i="17"/>
  <c r="DH14" i="17"/>
  <c r="DH10" i="17"/>
  <c r="DI8" i="17"/>
  <c r="DI16" i="17" s="1"/>
  <c r="DI49" i="17" l="1"/>
  <c r="DI45" i="17"/>
  <c r="DI50" i="17"/>
  <c r="DI47" i="17"/>
  <c r="DI40" i="17"/>
  <c r="DI42" i="17"/>
  <c r="DI39" i="17"/>
  <c r="DI43" i="17"/>
  <c r="DI41" i="17"/>
  <c r="DI38" i="17"/>
  <c r="DI48" i="17"/>
  <c r="DI46" i="17"/>
  <c r="DI44" i="17"/>
  <c r="DI37" i="17"/>
  <c r="DI36" i="17"/>
  <c r="DI34" i="17"/>
  <c r="DI29" i="17"/>
  <c r="DI31" i="17"/>
  <c r="DI30" i="17"/>
  <c r="DI26" i="17"/>
  <c r="DI33" i="17"/>
  <c r="DI35" i="17"/>
  <c r="DI27" i="17"/>
  <c r="DI19" i="17"/>
  <c r="DI25" i="17"/>
  <c r="DI21" i="17"/>
  <c r="DI28" i="17"/>
  <c r="DI18" i="17"/>
  <c r="DI15" i="17"/>
  <c r="DI23" i="17"/>
  <c r="DI20" i="17"/>
  <c r="DI22" i="17"/>
  <c r="DI32" i="17"/>
  <c r="DI17" i="17"/>
  <c r="DI11" i="17"/>
  <c r="DI24" i="17"/>
  <c r="DI13" i="17"/>
  <c r="DI12" i="17"/>
  <c r="DI14" i="17"/>
  <c r="DI10" i="17"/>
  <c r="DJ8" i="17"/>
  <c r="DJ16" i="17" s="1"/>
  <c r="DJ48" i="17" l="1"/>
  <c r="DJ47" i="17"/>
  <c r="DJ46" i="17"/>
  <c r="DJ50" i="17"/>
  <c r="DJ49" i="17"/>
  <c r="DJ42" i="17"/>
  <c r="DJ43" i="17"/>
  <c r="DJ41" i="17"/>
  <c r="DJ44" i="17"/>
  <c r="DJ37" i="17"/>
  <c r="DJ36" i="17"/>
  <c r="DJ34" i="17"/>
  <c r="DJ45" i="17"/>
  <c r="DJ38" i="17"/>
  <c r="DJ31" i="17"/>
  <c r="DJ40" i="17"/>
  <c r="DJ29" i="17"/>
  <c r="DJ25" i="17"/>
  <c r="DJ30" i="17"/>
  <c r="DJ26" i="17"/>
  <c r="DJ33" i="17"/>
  <c r="DJ35" i="17"/>
  <c r="DJ32" i="17"/>
  <c r="DJ39" i="17"/>
  <c r="DJ27" i="17"/>
  <c r="DJ24" i="17"/>
  <c r="DJ18" i="17"/>
  <c r="DJ15" i="17"/>
  <c r="DJ23" i="17"/>
  <c r="DJ20" i="17"/>
  <c r="DJ22" i="17"/>
  <c r="DJ19" i="17"/>
  <c r="DJ17" i="17"/>
  <c r="DJ11" i="17"/>
  <c r="DJ28" i="17"/>
  <c r="DJ21" i="17"/>
  <c r="DJ14" i="17"/>
  <c r="DJ13" i="17"/>
  <c r="DJ12" i="17"/>
  <c r="DJ10" i="17"/>
  <c r="DK8" i="17"/>
  <c r="DK16" i="17" s="1"/>
  <c r="DK47" i="17" l="1"/>
  <c r="DK42" i="17"/>
  <c r="DK50" i="17"/>
  <c r="DK49" i="17"/>
  <c r="DK43" i="17"/>
  <c r="DK48" i="17"/>
  <c r="DK46" i="17"/>
  <c r="DK44" i="17"/>
  <c r="DK37" i="17"/>
  <c r="DK41" i="17"/>
  <c r="DK45" i="17"/>
  <c r="DK36" i="17"/>
  <c r="DK34" i="17"/>
  <c r="DK38" i="17"/>
  <c r="DK31" i="17"/>
  <c r="DK40" i="17"/>
  <c r="DK33" i="17"/>
  <c r="DK29" i="17"/>
  <c r="DK30" i="17"/>
  <c r="DK35" i="17"/>
  <c r="DK27" i="17"/>
  <c r="DK32" i="17"/>
  <c r="DK39" i="17"/>
  <c r="DK25" i="17"/>
  <c r="DK24" i="17"/>
  <c r="DK22" i="17"/>
  <c r="DK15" i="17"/>
  <c r="DK23" i="17"/>
  <c r="DK20" i="17"/>
  <c r="DK19" i="17"/>
  <c r="DK11" i="17"/>
  <c r="DK26" i="17"/>
  <c r="DK14" i="17"/>
  <c r="DK13" i="17"/>
  <c r="DK17" i="17"/>
  <c r="DK21" i="17"/>
  <c r="DK28" i="17"/>
  <c r="DK18" i="17"/>
  <c r="DK12" i="17"/>
  <c r="DL8" i="17"/>
  <c r="DL16" i="17" s="1"/>
  <c r="DK10" i="17"/>
  <c r="DL50" i="17" l="1"/>
  <c r="DL49" i="17"/>
  <c r="DL47" i="17"/>
  <c r="DL42" i="17"/>
  <c r="DL43" i="17"/>
  <c r="DL46" i="17"/>
  <c r="DL48" i="17"/>
  <c r="DL44" i="17"/>
  <c r="DL45" i="17"/>
  <c r="DL41" i="17"/>
  <c r="DL37" i="17"/>
  <c r="DL34" i="17"/>
  <c r="DL38" i="17"/>
  <c r="DL39" i="17"/>
  <c r="DL31" i="17"/>
  <c r="DL40" i="17"/>
  <c r="DL33" i="17"/>
  <c r="DL29" i="17"/>
  <c r="DL28" i="17"/>
  <c r="DL30" i="17"/>
  <c r="DL35" i="17"/>
  <c r="DL27" i="17"/>
  <c r="DL32" i="17"/>
  <c r="DL25" i="17"/>
  <c r="DL22" i="17"/>
  <c r="DL23" i="17"/>
  <c r="DL20" i="17"/>
  <c r="DL19" i="17"/>
  <c r="DL26" i="17"/>
  <c r="DL36" i="17"/>
  <c r="DL11" i="17"/>
  <c r="DL24" i="17"/>
  <c r="DL13" i="17"/>
  <c r="DL21" i="17"/>
  <c r="DL17" i="17"/>
  <c r="DL18" i="17"/>
  <c r="DL12" i="17"/>
  <c r="DL14" i="17"/>
  <c r="DL15" i="17"/>
  <c r="DM8" i="17"/>
  <c r="DM16" i="17" s="1"/>
  <c r="DL10" i="17"/>
  <c r="DM50" i="17" l="1"/>
  <c r="DM49" i="17"/>
  <c r="DM47" i="17"/>
  <c r="DM48" i="17"/>
  <c r="DM46" i="17"/>
  <c r="DM43" i="17"/>
  <c r="DM44" i="17"/>
  <c r="DM40" i="17"/>
  <c r="DM45" i="17"/>
  <c r="DM42" i="17"/>
  <c r="DM41" i="17"/>
  <c r="DM38" i="17"/>
  <c r="DM39" i="17"/>
  <c r="DM31" i="17"/>
  <c r="DM37" i="17"/>
  <c r="DM28" i="17"/>
  <c r="DM30" i="17"/>
  <c r="DM33" i="17"/>
  <c r="DM29" i="17"/>
  <c r="DM35" i="17"/>
  <c r="DM27" i="17"/>
  <c r="DM32" i="17"/>
  <c r="DM36" i="17"/>
  <c r="DM24" i="17"/>
  <c r="DM25" i="17"/>
  <c r="DM23" i="17"/>
  <c r="DM34" i="17"/>
  <c r="DM20" i="17"/>
  <c r="DM19" i="17"/>
  <c r="DM14" i="17"/>
  <c r="DM22" i="17"/>
  <c r="DM26" i="17"/>
  <c r="DM11" i="17"/>
  <c r="DM21" i="17"/>
  <c r="DM18" i="17"/>
  <c r="DM15" i="17"/>
  <c r="DM12" i="17"/>
  <c r="DM13" i="17"/>
  <c r="DM17" i="17"/>
  <c r="DM10" i="17"/>
  <c r="DN8" i="17"/>
  <c r="DN16" i="17" s="1"/>
  <c r="DN50" i="17" l="1"/>
  <c r="DN44" i="17"/>
  <c r="DN49" i="17"/>
  <c r="DN47" i="17"/>
  <c r="DN48" i="17"/>
  <c r="DN46" i="17"/>
  <c r="DN39" i="17"/>
  <c r="DN43" i="17"/>
  <c r="DN38" i="17"/>
  <c r="DN40" i="17"/>
  <c r="DN45" i="17"/>
  <c r="DN42" i="17"/>
  <c r="DN41" i="17"/>
  <c r="DN34" i="17"/>
  <c r="DN37" i="17"/>
  <c r="DN28" i="17"/>
  <c r="DN30" i="17"/>
  <c r="DN31" i="17"/>
  <c r="DN33" i="17"/>
  <c r="DN35" i="17"/>
  <c r="DN27" i="17"/>
  <c r="DN32" i="17"/>
  <c r="DN36" i="17"/>
  <c r="DN18" i="17"/>
  <c r="DN23" i="17"/>
  <c r="DN21" i="17"/>
  <c r="DN29" i="17"/>
  <c r="DN25" i="17"/>
  <c r="DN20" i="17"/>
  <c r="DN19" i="17"/>
  <c r="DN14" i="17"/>
  <c r="DN22" i="17"/>
  <c r="DN26" i="17"/>
  <c r="DN24" i="17"/>
  <c r="DN15" i="17"/>
  <c r="DN13" i="17"/>
  <c r="DN17" i="17"/>
  <c r="DN12" i="17"/>
  <c r="DN11" i="17"/>
  <c r="DN10" i="17"/>
  <c r="DO8" i="17"/>
  <c r="DO16" i="17" s="1"/>
  <c r="DO50" i="17" l="1"/>
  <c r="DO49" i="17"/>
  <c r="DO47" i="17"/>
  <c r="DO48" i="17"/>
  <c r="DO46" i="17"/>
  <c r="DO43" i="17"/>
  <c r="DO40" i="17"/>
  <c r="DO44" i="17"/>
  <c r="DO45" i="17"/>
  <c r="DO42" i="17"/>
  <c r="DO41" i="17"/>
  <c r="DO38" i="17"/>
  <c r="DO35" i="17"/>
  <c r="DO30" i="17"/>
  <c r="DO37" i="17"/>
  <c r="DO34" i="17"/>
  <c r="DO39" i="17"/>
  <c r="DO28" i="17"/>
  <c r="DO31" i="17"/>
  <c r="DO33" i="17"/>
  <c r="DO27" i="17"/>
  <c r="DO32" i="17"/>
  <c r="DO36" i="17"/>
  <c r="DO23" i="17"/>
  <c r="DO21" i="17"/>
  <c r="DO26" i="17"/>
  <c r="DO19" i="17"/>
  <c r="DO22" i="17"/>
  <c r="DO24" i="17"/>
  <c r="DO25" i="17"/>
  <c r="DO20" i="17"/>
  <c r="DO29" i="17"/>
  <c r="DO15" i="17"/>
  <c r="DO18" i="17"/>
  <c r="DO13" i="17"/>
  <c r="DO17" i="17"/>
  <c r="DO12" i="17"/>
  <c r="DO11" i="17"/>
  <c r="DO14" i="17"/>
  <c r="DP8" i="17"/>
  <c r="DP16" i="17" s="1"/>
  <c r="DO10" i="17"/>
  <c r="DP50" i="17" l="1"/>
  <c r="DP48" i="17"/>
  <c r="DP49" i="17"/>
  <c r="DP47" i="17"/>
  <c r="DP46" i="17"/>
  <c r="DP45" i="17"/>
  <c r="DP41" i="17"/>
  <c r="DP40" i="17"/>
  <c r="DP44" i="17"/>
  <c r="DP43" i="17"/>
  <c r="DP42" i="17"/>
  <c r="DP36" i="17"/>
  <c r="DP38" i="17"/>
  <c r="DP35" i="17"/>
  <c r="DP37" i="17"/>
  <c r="DP33" i="17"/>
  <c r="DP39" i="17"/>
  <c r="DP32" i="17"/>
  <c r="DP28" i="17"/>
  <c r="DP31" i="17"/>
  <c r="DP30" i="17"/>
  <c r="DP34" i="17"/>
  <c r="DP27" i="17"/>
  <c r="DP24" i="17"/>
  <c r="DP23" i="17"/>
  <c r="DP21" i="17"/>
  <c r="DP26" i="17"/>
  <c r="DP14" i="17"/>
  <c r="DP22" i="17"/>
  <c r="DP17" i="17"/>
  <c r="DP29" i="17"/>
  <c r="DP13" i="17"/>
  <c r="DP18" i="17"/>
  <c r="DP25" i="17"/>
  <c r="DP20" i="17"/>
  <c r="DP12" i="17"/>
  <c r="DP15" i="17"/>
  <c r="DP19" i="17"/>
  <c r="DP11" i="17"/>
  <c r="DP10" i="17"/>
  <c r="DQ8" i="17"/>
  <c r="DQ16" i="17" s="1"/>
  <c r="DQ50" i="17" l="1"/>
  <c r="DQ49" i="17"/>
  <c r="DQ48" i="17"/>
  <c r="DQ47" i="17"/>
  <c r="DQ46" i="17"/>
  <c r="DQ45" i="17"/>
  <c r="DQ44" i="17"/>
  <c r="DQ43" i="17"/>
  <c r="DQ42" i="17"/>
  <c r="DQ41" i="17"/>
  <c r="DQ38" i="17"/>
  <c r="DQ40" i="17"/>
  <c r="DQ37" i="17"/>
  <c r="DQ33" i="17"/>
  <c r="DQ32" i="17"/>
  <c r="DQ35" i="17"/>
  <c r="DQ28" i="17"/>
  <c r="DQ31" i="17"/>
  <c r="DQ30" i="17"/>
  <c r="DQ27" i="17"/>
  <c r="DQ34" i="17"/>
  <c r="DQ39" i="17"/>
  <c r="DQ36" i="17"/>
  <c r="DQ23" i="17"/>
  <c r="DQ21" i="17"/>
  <c r="DQ22" i="17"/>
  <c r="DQ26" i="17"/>
  <c r="DQ17" i="17"/>
  <c r="DQ29" i="17"/>
  <c r="DQ24" i="17"/>
  <c r="DQ13" i="17"/>
  <c r="DQ25" i="17"/>
  <c r="DQ20" i="17"/>
  <c r="DQ12" i="17"/>
  <c r="DQ19" i="17"/>
  <c r="DQ11" i="17"/>
  <c r="DQ18" i="17"/>
  <c r="DQ15" i="17"/>
  <c r="DQ14" i="17"/>
  <c r="DQ10" i="17"/>
  <c r="DR8" i="17"/>
  <c r="DR16" i="17" s="1"/>
  <c r="DR49" i="17" l="1"/>
  <c r="DR50" i="17"/>
  <c r="DR48" i="17"/>
  <c r="DR47" i="17"/>
  <c r="DR46" i="17"/>
  <c r="DR45" i="17"/>
  <c r="DR44" i="17"/>
  <c r="DR43" i="17"/>
  <c r="DR39" i="17"/>
  <c r="DR42" i="17"/>
  <c r="DR38" i="17"/>
  <c r="DR30" i="17"/>
  <c r="DR40" i="17"/>
  <c r="DR37" i="17"/>
  <c r="DR33" i="17"/>
  <c r="DR35" i="17"/>
  <c r="DR31" i="17"/>
  <c r="DR32" i="17"/>
  <c r="DR27" i="17"/>
  <c r="DR36" i="17"/>
  <c r="DR23" i="17"/>
  <c r="DR22" i="17"/>
  <c r="DR24" i="17"/>
  <c r="DR34" i="17"/>
  <c r="DR41" i="17"/>
  <c r="DR26" i="17"/>
  <c r="DR17" i="17"/>
  <c r="DR29" i="17"/>
  <c r="DR21" i="17"/>
  <c r="DR13" i="17"/>
  <c r="DR19" i="17"/>
  <c r="DR15" i="17"/>
  <c r="DR14" i="17"/>
  <c r="DR25" i="17"/>
  <c r="DR20" i="17"/>
  <c r="DR18" i="17"/>
  <c r="DR28" i="17"/>
  <c r="DR11" i="17"/>
  <c r="DR12" i="17"/>
  <c r="DR10" i="17"/>
  <c r="DS8" i="17"/>
  <c r="DS16" i="17" s="1"/>
  <c r="DS49" i="17" l="1"/>
  <c r="DS50" i="17"/>
  <c r="DS48" i="17"/>
  <c r="DS46" i="17"/>
  <c r="DS45" i="17"/>
  <c r="DS38" i="17"/>
  <c r="DS41" i="17"/>
  <c r="DS44" i="17"/>
  <c r="DS47" i="17"/>
  <c r="DS43" i="17"/>
  <c r="DS42" i="17"/>
  <c r="DS39" i="17"/>
  <c r="DS40" i="17"/>
  <c r="DS37" i="17"/>
  <c r="DS33" i="17"/>
  <c r="DS34" i="17"/>
  <c r="DS31" i="17"/>
  <c r="DS30" i="17"/>
  <c r="DS32" i="17"/>
  <c r="DS35" i="17"/>
  <c r="DS36" i="17"/>
  <c r="DS26" i="17"/>
  <c r="DS23" i="17"/>
  <c r="DS21" i="17"/>
  <c r="DS27" i="17"/>
  <c r="DS22" i="17"/>
  <c r="DS24" i="17"/>
  <c r="DS29" i="17"/>
  <c r="DS17" i="17"/>
  <c r="DS28" i="17"/>
  <c r="DS18" i="17"/>
  <c r="DS13" i="17"/>
  <c r="DS19" i="17"/>
  <c r="DS15" i="17"/>
  <c r="DS14" i="17"/>
  <c r="DS12" i="17"/>
  <c r="DS20" i="17"/>
  <c r="DS11" i="17"/>
  <c r="DS25" i="17"/>
  <c r="DS10" i="17"/>
  <c r="DT8" i="17"/>
  <c r="DT16" i="17" s="1"/>
  <c r="DT49" i="17" l="1"/>
  <c r="DT50" i="17"/>
  <c r="DT48" i="17"/>
  <c r="DT46" i="17"/>
  <c r="DT45" i="17"/>
  <c r="DT44" i="17"/>
  <c r="DT42" i="17"/>
  <c r="DT43" i="17"/>
  <c r="DT47" i="17"/>
  <c r="DT40" i="17"/>
  <c r="DT38" i="17"/>
  <c r="DT39" i="17"/>
  <c r="DT35" i="17"/>
  <c r="DT37" i="17"/>
  <c r="DT36" i="17"/>
  <c r="DT33" i="17"/>
  <c r="DT34" i="17"/>
  <c r="DT30" i="17"/>
  <c r="DT27" i="17"/>
  <c r="DT29" i="17"/>
  <c r="DT32" i="17"/>
  <c r="DT41" i="17"/>
  <c r="DT23" i="17"/>
  <c r="DT21" i="17"/>
  <c r="DT22" i="17"/>
  <c r="DT24" i="17"/>
  <c r="DT20" i="17"/>
  <c r="DT31" i="17"/>
  <c r="DT26" i="17"/>
  <c r="DT17" i="17"/>
  <c r="DT28" i="17"/>
  <c r="DT18" i="17"/>
  <c r="DT15" i="17"/>
  <c r="DT13" i="17"/>
  <c r="DT19" i="17"/>
  <c r="DT14" i="17"/>
  <c r="DT11" i="17"/>
  <c r="DT12" i="17"/>
  <c r="DT25" i="17"/>
  <c r="DT10" i="17"/>
  <c r="DU8" i="17"/>
  <c r="DU16" i="17" s="1"/>
  <c r="DU49" i="17" l="1"/>
  <c r="DU50" i="17"/>
  <c r="DU48" i="17"/>
  <c r="DU46" i="17"/>
  <c r="DU45" i="17"/>
  <c r="DU44" i="17"/>
  <c r="DU43" i="17"/>
  <c r="DU41" i="17"/>
  <c r="DU42" i="17"/>
  <c r="DU47" i="17"/>
  <c r="DU38" i="17"/>
  <c r="DU39" i="17"/>
  <c r="DU40" i="17"/>
  <c r="DU35" i="17"/>
  <c r="DU37" i="17"/>
  <c r="DU36" i="17"/>
  <c r="DU33" i="17"/>
  <c r="DU34" i="17"/>
  <c r="DU32" i="17"/>
  <c r="DU29" i="17"/>
  <c r="DU24" i="17"/>
  <c r="DU23" i="17"/>
  <c r="DU31" i="17"/>
  <c r="DU25" i="17"/>
  <c r="DU28" i="17"/>
  <c r="DU27" i="17"/>
  <c r="DU20" i="17"/>
  <c r="DU26" i="17"/>
  <c r="DU22" i="17"/>
  <c r="DU17" i="17"/>
  <c r="DU30" i="17"/>
  <c r="DU21" i="17"/>
  <c r="DU13" i="17"/>
  <c r="DU19" i="17"/>
  <c r="DU14" i="17"/>
  <c r="DU15" i="17"/>
  <c r="DU18" i="17"/>
  <c r="DU12" i="17"/>
  <c r="DU11" i="17"/>
  <c r="DV8" i="17"/>
  <c r="DV16" i="17" s="1"/>
  <c r="DU10" i="17"/>
  <c r="DV49" i="17" l="1"/>
  <c r="DV50" i="17"/>
  <c r="DV46" i="17"/>
  <c r="DV48" i="17"/>
  <c r="DV47" i="17"/>
  <c r="DV45" i="17"/>
  <c r="DV44" i="17"/>
  <c r="DV42" i="17"/>
  <c r="DV43" i="17"/>
  <c r="DV38" i="17"/>
  <c r="DV39" i="17"/>
  <c r="DV35" i="17"/>
  <c r="DV40" i="17"/>
  <c r="DV33" i="17"/>
  <c r="DV37" i="17"/>
  <c r="DV34" i="17"/>
  <c r="DV32" i="17"/>
  <c r="DV36" i="17"/>
  <c r="DV27" i="17"/>
  <c r="DV41" i="17"/>
  <c r="DV31" i="17"/>
  <c r="DV26" i="17"/>
  <c r="DV22" i="17"/>
  <c r="DV24" i="17"/>
  <c r="DV20" i="17"/>
  <c r="DV29" i="17"/>
  <c r="DV25" i="17"/>
  <c r="DV23" i="17"/>
  <c r="DV28" i="17"/>
  <c r="DV30" i="17"/>
  <c r="DV13" i="17"/>
  <c r="DV12" i="17"/>
  <c r="DV19" i="17"/>
  <c r="DV14" i="17"/>
  <c r="DV15" i="17"/>
  <c r="DV21" i="17"/>
  <c r="DV18" i="17"/>
  <c r="DV11" i="17"/>
  <c r="DV17" i="17"/>
  <c r="DW8" i="17"/>
  <c r="DW16" i="17" s="1"/>
  <c r="DV10" i="17"/>
  <c r="DW48" i="17" l="1"/>
  <c r="DW50" i="17"/>
  <c r="DW49" i="17"/>
  <c r="DW47" i="17"/>
  <c r="DW45" i="17"/>
  <c r="DW44" i="17"/>
  <c r="DW46" i="17"/>
  <c r="DW43" i="17"/>
  <c r="DW38" i="17"/>
  <c r="DW39" i="17"/>
  <c r="DW35" i="17"/>
  <c r="DW40" i="17"/>
  <c r="DW33" i="17"/>
  <c r="DW37" i="17"/>
  <c r="DW34" i="17"/>
  <c r="DW32" i="17"/>
  <c r="DW36" i="17"/>
  <c r="DW42" i="17"/>
  <c r="DW41" i="17"/>
  <c r="DW31" i="17"/>
  <c r="DW25" i="17"/>
  <c r="DW22" i="17"/>
  <c r="DW27" i="17"/>
  <c r="DW24" i="17"/>
  <c r="DW29" i="17"/>
  <c r="DW30" i="17"/>
  <c r="DW26" i="17"/>
  <c r="DW28" i="17"/>
  <c r="DW19" i="17"/>
  <c r="DW23" i="17"/>
  <c r="DW13" i="17"/>
  <c r="DW14" i="17"/>
  <c r="DW15" i="17"/>
  <c r="DW21" i="17"/>
  <c r="DW18" i="17"/>
  <c r="DW12" i="17"/>
  <c r="DW17" i="17"/>
  <c r="DW11" i="17"/>
  <c r="DW20" i="17"/>
  <c r="DX8" i="17"/>
  <c r="DX16" i="17" s="1"/>
  <c r="DW10" i="17"/>
  <c r="DX48" i="17" l="1"/>
  <c r="DX46" i="17"/>
  <c r="DX49" i="17"/>
  <c r="DX47" i="17"/>
  <c r="DX50" i="17"/>
  <c r="DX45" i="17"/>
  <c r="DX44" i="17"/>
  <c r="DX41" i="17"/>
  <c r="DX40" i="17"/>
  <c r="DX42" i="17"/>
  <c r="DX43" i="17"/>
  <c r="DX38" i="17"/>
  <c r="DX39" i="17"/>
  <c r="DX35" i="17"/>
  <c r="DX37" i="17"/>
  <c r="DX34" i="17"/>
  <c r="DX32" i="17"/>
  <c r="DX36" i="17"/>
  <c r="DX33" i="17"/>
  <c r="DX31" i="17"/>
  <c r="DX25" i="17"/>
  <c r="DX26" i="17"/>
  <c r="DX28" i="17"/>
  <c r="DX29" i="17"/>
  <c r="DX27" i="17"/>
  <c r="DX24" i="17"/>
  <c r="DX20" i="17"/>
  <c r="DX30" i="17"/>
  <c r="DX19" i="17"/>
  <c r="DX22" i="17"/>
  <c r="DX14" i="17"/>
  <c r="DX23" i="17"/>
  <c r="DX15" i="17"/>
  <c r="DX21" i="17"/>
  <c r="DX18" i="17"/>
  <c r="DX12" i="17"/>
  <c r="DX17" i="17"/>
  <c r="DX13" i="17"/>
  <c r="DX11" i="17"/>
  <c r="DX10" i="17"/>
  <c r="DY8" i="17"/>
  <c r="DY16" i="17" s="1"/>
  <c r="DY48" i="17" l="1"/>
  <c r="DY50" i="17"/>
  <c r="DY49" i="17"/>
  <c r="DY47" i="17"/>
  <c r="DY44" i="17"/>
  <c r="DY46" i="17"/>
  <c r="DY42" i="17"/>
  <c r="DY45" i="17"/>
  <c r="DY43" i="17"/>
  <c r="DY38" i="17"/>
  <c r="DY39" i="17"/>
  <c r="DY35" i="17"/>
  <c r="DY37" i="17"/>
  <c r="DY36" i="17"/>
  <c r="DY34" i="17"/>
  <c r="DY40" i="17"/>
  <c r="DY32" i="17"/>
  <c r="DY26" i="17"/>
  <c r="DY28" i="17"/>
  <c r="DY33" i="17"/>
  <c r="DY31" i="17"/>
  <c r="DY25" i="17"/>
  <c r="DY41" i="17"/>
  <c r="DY27" i="17"/>
  <c r="DY24" i="17"/>
  <c r="DY20" i="17"/>
  <c r="DY29" i="17"/>
  <c r="DY30" i="17"/>
  <c r="DY19" i="17"/>
  <c r="DY18" i="17"/>
  <c r="DY14" i="17"/>
  <c r="DY23" i="17"/>
  <c r="DY15" i="17"/>
  <c r="DY21" i="17"/>
  <c r="DY12" i="17"/>
  <c r="DY17" i="17"/>
  <c r="DY22" i="17"/>
  <c r="DY13" i="17"/>
  <c r="DY11" i="17"/>
  <c r="DZ8" i="17"/>
  <c r="DZ16" i="17" s="1"/>
  <c r="DY10" i="17"/>
  <c r="DZ48" i="17" l="1"/>
  <c r="DZ49" i="17"/>
  <c r="DZ47" i="17"/>
  <c r="DZ50" i="17"/>
  <c r="DZ44" i="17"/>
  <c r="DZ43" i="17"/>
  <c r="DZ40" i="17"/>
  <c r="DZ46" i="17"/>
  <c r="DZ42" i="17"/>
  <c r="DZ45" i="17"/>
  <c r="DZ38" i="17"/>
  <c r="DZ39" i="17"/>
  <c r="DZ35" i="17"/>
  <c r="DZ37" i="17"/>
  <c r="DZ36" i="17"/>
  <c r="DZ34" i="17"/>
  <c r="DZ32" i="17"/>
  <c r="DZ29" i="17"/>
  <c r="DZ33" i="17"/>
  <c r="DZ23" i="17"/>
  <c r="DZ31" i="17"/>
  <c r="DZ41" i="17"/>
  <c r="DZ26" i="17"/>
  <c r="DZ22" i="17"/>
  <c r="DZ30" i="17"/>
  <c r="DZ28" i="17"/>
  <c r="DZ25" i="17"/>
  <c r="DZ27" i="17"/>
  <c r="DZ24" i="17"/>
  <c r="DZ18" i="17"/>
  <c r="DZ21" i="17"/>
  <c r="DZ15" i="17"/>
  <c r="DZ19" i="17"/>
  <c r="DZ12" i="17"/>
  <c r="DZ11" i="17"/>
  <c r="DZ20" i="17"/>
  <c r="DZ13" i="17"/>
  <c r="DZ17" i="17"/>
  <c r="DZ14" i="17"/>
  <c r="DZ10" i="17"/>
  <c r="EA8" i="17"/>
  <c r="EA16" i="17" s="1"/>
  <c r="DW7" i="17"/>
  <c r="EA48" i="17" l="1"/>
  <c r="EA46" i="17"/>
  <c r="EA49" i="17"/>
  <c r="EA47" i="17"/>
  <c r="EA45" i="17"/>
  <c r="EA50" i="17"/>
  <c r="EA42" i="17"/>
  <c r="EA44" i="17"/>
  <c r="EA39" i="17"/>
  <c r="EA37" i="17"/>
  <c r="EA40" i="17"/>
  <c r="EA35" i="17"/>
  <c r="EA36" i="17"/>
  <c r="EA34" i="17"/>
  <c r="EA43" i="17"/>
  <c r="EA32" i="17"/>
  <c r="EA26" i="17"/>
  <c r="EA29" i="17"/>
  <c r="EA33" i="17"/>
  <c r="EA31" i="17"/>
  <c r="EA25" i="17"/>
  <c r="EA41" i="17"/>
  <c r="EA28" i="17"/>
  <c r="EA30" i="17"/>
  <c r="EA19" i="17"/>
  <c r="EA18" i="17"/>
  <c r="EA15" i="17"/>
  <c r="EA21" i="17"/>
  <c r="EA20" i="17"/>
  <c r="EA38" i="17"/>
  <c r="EA27" i="17"/>
  <c r="EA23" i="17"/>
  <c r="EA12" i="17"/>
  <c r="EA11" i="17"/>
  <c r="EA24" i="17"/>
  <c r="EA22" i="17"/>
  <c r="EA13" i="17"/>
  <c r="EA17" i="17"/>
  <c r="EA14" i="17"/>
  <c r="EB8" i="17"/>
  <c r="EB16" i="17" s="1"/>
  <c r="EA10" i="17"/>
  <c r="EB49" i="17" l="1"/>
  <c r="EB47" i="17"/>
  <c r="EB48" i="17"/>
  <c r="EB50" i="17"/>
  <c r="EB46" i="17"/>
  <c r="EB42" i="17"/>
  <c r="EB44" i="17"/>
  <c r="EB45" i="17"/>
  <c r="EB41" i="17"/>
  <c r="EB39" i="17"/>
  <c r="EB40" i="17"/>
  <c r="EB36" i="17"/>
  <c r="EB34" i="17"/>
  <c r="EB37" i="17"/>
  <c r="EB43" i="17"/>
  <c r="EB32" i="17"/>
  <c r="EB31" i="17"/>
  <c r="EB29" i="17"/>
  <c r="EB33" i="17"/>
  <c r="EB35" i="17"/>
  <c r="EB30" i="17"/>
  <c r="EB25" i="17"/>
  <c r="EB26" i="17"/>
  <c r="EB28" i="17"/>
  <c r="EB21" i="17"/>
  <c r="EB18" i="17"/>
  <c r="EB15" i="17"/>
  <c r="EB20" i="17"/>
  <c r="EB12" i="17"/>
  <c r="EB19" i="17"/>
  <c r="EB27" i="17"/>
  <c r="EB24" i="17"/>
  <c r="EB11" i="17"/>
  <c r="EB17" i="17"/>
  <c r="EB22" i="17"/>
  <c r="EB38" i="17"/>
  <c r="EB23" i="17"/>
  <c r="EB14" i="17"/>
  <c r="EB13" i="17"/>
  <c r="EC8" i="17"/>
  <c r="EC16" i="17" s="1"/>
  <c r="EB10" i="17"/>
  <c r="EC47" i="17" l="1"/>
  <c r="EC48" i="17"/>
  <c r="EC45" i="17"/>
  <c r="EC50" i="17"/>
  <c r="EC49" i="17"/>
  <c r="EC40" i="17"/>
  <c r="EC42" i="17"/>
  <c r="EC46" i="17"/>
  <c r="EC44" i="17"/>
  <c r="EC39" i="17"/>
  <c r="EC43" i="17"/>
  <c r="EC41" i="17"/>
  <c r="EC36" i="17"/>
  <c r="EC34" i="17"/>
  <c r="EC37" i="17"/>
  <c r="EC29" i="17"/>
  <c r="EC33" i="17"/>
  <c r="EC31" i="17"/>
  <c r="EC30" i="17"/>
  <c r="EC25" i="17"/>
  <c r="EC32" i="17"/>
  <c r="EC35" i="17"/>
  <c r="EC28" i="17"/>
  <c r="EC27" i="17"/>
  <c r="EC19" i="17"/>
  <c r="EC26" i="17"/>
  <c r="EC21" i="17"/>
  <c r="EC18" i="17"/>
  <c r="EC15" i="17"/>
  <c r="EC17" i="17"/>
  <c r="EC24" i="17"/>
  <c r="EC11" i="17"/>
  <c r="EC20" i="17"/>
  <c r="EC38" i="17"/>
  <c r="EC12" i="17"/>
  <c r="EC14" i="17"/>
  <c r="EC13" i="17"/>
  <c r="EC23" i="17"/>
  <c r="EC22" i="17"/>
  <c r="EC10" i="17"/>
  <c r="ED8" i="17"/>
  <c r="ED16" i="17" s="1"/>
  <c r="ED49" i="17" l="1"/>
  <c r="ED48" i="17"/>
  <c r="ED50" i="17"/>
  <c r="ED47" i="17"/>
  <c r="ED46" i="17"/>
  <c r="ED42" i="17"/>
  <c r="ED44" i="17"/>
  <c r="ED45" i="17"/>
  <c r="ED43" i="17"/>
  <c r="ED41" i="17"/>
  <c r="ED40" i="17"/>
  <c r="ED36" i="17"/>
  <c r="ED34" i="17"/>
  <c r="ED37" i="17"/>
  <c r="ED39" i="17"/>
  <c r="ED31" i="17"/>
  <c r="ED35" i="17"/>
  <c r="ED29" i="17"/>
  <c r="ED25" i="17"/>
  <c r="ED33" i="17"/>
  <c r="ED32" i="17"/>
  <c r="ED26" i="17"/>
  <c r="ED28" i="17"/>
  <c r="ED30" i="17"/>
  <c r="ED23" i="17"/>
  <c r="ED18" i="17"/>
  <c r="ED15" i="17"/>
  <c r="ED21" i="17"/>
  <c r="ED24" i="17"/>
  <c r="ED17" i="17"/>
  <c r="ED19" i="17"/>
  <c r="ED27" i="17"/>
  <c r="ED11" i="17"/>
  <c r="ED20" i="17"/>
  <c r="ED38" i="17"/>
  <c r="ED12" i="17"/>
  <c r="ED14" i="17"/>
  <c r="ED13" i="17"/>
  <c r="ED22" i="17"/>
  <c r="ED10" i="17"/>
  <c r="EE8" i="17"/>
  <c r="EE16" i="17" s="1"/>
  <c r="EE47" i="17" l="1"/>
  <c r="EE48" i="17"/>
  <c r="EE50" i="17"/>
  <c r="EE46" i="17"/>
  <c r="EE49" i="17"/>
  <c r="EE42" i="17"/>
  <c r="EE44" i="17"/>
  <c r="EE45" i="17"/>
  <c r="EE43" i="17"/>
  <c r="EE38" i="17"/>
  <c r="EE41" i="17"/>
  <c r="EE37" i="17"/>
  <c r="EE40" i="17"/>
  <c r="EE36" i="17"/>
  <c r="EE34" i="17"/>
  <c r="EE39" i="17"/>
  <c r="EE31" i="17"/>
  <c r="EE35" i="17"/>
  <c r="EE33" i="17"/>
  <c r="EE29" i="17"/>
  <c r="EE32" i="17"/>
  <c r="EE26" i="17"/>
  <c r="EE28" i="17"/>
  <c r="EE30" i="17"/>
  <c r="EE23" i="17"/>
  <c r="EE18" i="17"/>
  <c r="EE15" i="17"/>
  <c r="EE21" i="17"/>
  <c r="EE24" i="17"/>
  <c r="EE27" i="17"/>
  <c r="EE11" i="17"/>
  <c r="EE20" i="17"/>
  <c r="EE17" i="17"/>
  <c r="EE25" i="17"/>
  <c r="EE22" i="17"/>
  <c r="EE13" i="17"/>
  <c r="EE12" i="17"/>
  <c r="EE19" i="17"/>
  <c r="EE14" i="17"/>
  <c r="EE10" i="17"/>
  <c r="EF8" i="17"/>
  <c r="EF16" i="17" s="1"/>
  <c r="EF47" i="17" l="1"/>
  <c r="EF48" i="17"/>
  <c r="EF50" i="17"/>
  <c r="EF44" i="17"/>
  <c r="EF42" i="17"/>
  <c r="EF46" i="17"/>
  <c r="EF45" i="17"/>
  <c r="EF43" i="17"/>
  <c r="EF41" i="17"/>
  <c r="EF40" i="17"/>
  <c r="EF36" i="17"/>
  <c r="EF34" i="17"/>
  <c r="EF37" i="17"/>
  <c r="EF39" i="17"/>
  <c r="EF31" i="17"/>
  <c r="EF49" i="17"/>
  <c r="EF35" i="17"/>
  <c r="EF33" i="17"/>
  <c r="EF29" i="17"/>
  <c r="EF28" i="17"/>
  <c r="EF32" i="17"/>
  <c r="EF26" i="17"/>
  <c r="EF27" i="17"/>
  <c r="EF30" i="17"/>
  <c r="EF22" i="17"/>
  <c r="EF21" i="17"/>
  <c r="EF24" i="17"/>
  <c r="EF19" i="17"/>
  <c r="EF25" i="17"/>
  <c r="EF11" i="17"/>
  <c r="EF20" i="17"/>
  <c r="EF18" i="17"/>
  <c r="EF38" i="17"/>
  <c r="EF17" i="17"/>
  <c r="EF13" i="17"/>
  <c r="EF12" i="17"/>
  <c r="EF14" i="17"/>
  <c r="EF15" i="17"/>
  <c r="EF23" i="17"/>
  <c r="EF10" i="17"/>
  <c r="EG8" i="17"/>
  <c r="EG16" i="17" s="1"/>
  <c r="EG50" i="17" l="1"/>
  <c r="EG47" i="17"/>
  <c r="EG48" i="17"/>
  <c r="EG46" i="17"/>
  <c r="EG44" i="17"/>
  <c r="EG42" i="17"/>
  <c r="EG45" i="17"/>
  <c r="EG43" i="17"/>
  <c r="EG49" i="17"/>
  <c r="EG41" i="17"/>
  <c r="EG40" i="17"/>
  <c r="EG37" i="17"/>
  <c r="EG39" i="17"/>
  <c r="EG31" i="17"/>
  <c r="EG35" i="17"/>
  <c r="EG33" i="17"/>
  <c r="EG28" i="17"/>
  <c r="EG32" i="17"/>
  <c r="EG30" i="17"/>
  <c r="EG36" i="17"/>
  <c r="EG24" i="17"/>
  <c r="EG34" i="17"/>
  <c r="EG29" i="17"/>
  <c r="EG26" i="17"/>
  <c r="EG22" i="17"/>
  <c r="EG21" i="17"/>
  <c r="EG14" i="17"/>
  <c r="EG19" i="17"/>
  <c r="EG20" i="17"/>
  <c r="EG25" i="17"/>
  <c r="EG23" i="17"/>
  <c r="EG27" i="17"/>
  <c r="EG11" i="17"/>
  <c r="EG18" i="17"/>
  <c r="EG38" i="17"/>
  <c r="EG17" i="17"/>
  <c r="EG15" i="17"/>
  <c r="EG12" i="17"/>
  <c r="EG13" i="17"/>
  <c r="EG7" i="17"/>
  <c r="EG10" i="17"/>
  <c r="EH8" i="17"/>
  <c r="EH16" i="17" s="1"/>
  <c r="EH50" i="17" l="1"/>
  <c r="EH44" i="17"/>
  <c r="EH48" i="17"/>
  <c r="EH47" i="17"/>
  <c r="EH49" i="17"/>
  <c r="EH39" i="17"/>
  <c r="EH46" i="17"/>
  <c r="EH45" i="17"/>
  <c r="EH43" i="17"/>
  <c r="EH38" i="17"/>
  <c r="EH41" i="17"/>
  <c r="EH40" i="17"/>
  <c r="EH37" i="17"/>
  <c r="EH35" i="17"/>
  <c r="EH42" i="17"/>
  <c r="EH33" i="17"/>
  <c r="EH28" i="17"/>
  <c r="EH32" i="17"/>
  <c r="EH30" i="17"/>
  <c r="EH36" i="17"/>
  <c r="EH31" i="17"/>
  <c r="EH27" i="17"/>
  <c r="EH29" i="17"/>
  <c r="EH18" i="17"/>
  <c r="EH26" i="17"/>
  <c r="EH21" i="17"/>
  <c r="EH20" i="17"/>
  <c r="EH24" i="17"/>
  <c r="EH14" i="17"/>
  <c r="EH19" i="17"/>
  <c r="EH23" i="17"/>
  <c r="EH22" i="17"/>
  <c r="EH34" i="17"/>
  <c r="EH17" i="17"/>
  <c r="EH25" i="17"/>
  <c r="EH11" i="17"/>
  <c r="EH15" i="17"/>
  <c r="EH12" i="17"/>
  <c r="EH13" i="17"/>
  <c r="EH10" i="17"/>
  <c r="EI8" i="17"/>
  <c r="EI16" i="17" s="1"/>
  <c r="EI50" i="17" l="1"/>
  <c r="EI48" i="17"/>
  <c r="EI47" i="17"/>
  <c r="EI49" i="17"/>
  <c r="EI46" i="17"/>
  <c r="EI45" i="17"/>
  <c r="EI43" i="17"/>
  <c r="EI44" i="17"/>
  <c r="EI40" i="17"/>
  <c r="EI41" i="17"/>
  <c r="EI39" i="17"/>
  <c r="EI35" i="17"/>
  <c r="EI30" i="17"/>
  <c r="EI42" i="17"/>
  <c r="EI36" i="17"/>
  <c r="EI33" i="17"/>
  <c r="EI28" i="17"/>
  <c r="EI32" i="17"/>
  <c r="EI34" i="17"/>
  <c r="EI31" i="17"/>
  <c r="EI27" i="17"/>
  <c r="EI29" i="17"/>
  <c r="EI26" i="17"/>
  <c r="EI21" i="17"/>
  <c r="EI25" i="17"/>
  <c r="EI24" i="17"/>
  <c r="EI38" i="17"/>
  <c r="EI37" i="17"/>
  <c r="EI19" i="17"/>
  <c r="EI20" i="17"/>
  <c r="EI22" i="17"/>
  <c r="EI18" i="17"/>
  <c r="EI17" i="17"/>
  <c r="EI14" i="17"/>
  <c r="EI11" i="17"/>
  <c r="EI15" i="17"/>
  <c r="EI12" i="17"/>
  <c r="EI13" i="17"/>
  <c r="EI23" i="17"/>
  <c r="EJ8" i="17"/>
  <c r="EJ16" i="17" s="1"/>
  <c r="EI10" i="17"/>
  <c r="EJ50" i="17" l="1"/>
  <c r="EJ48" i="17"/>
  <c r="EJ47" i="17"/>
  <c r="EJ49" i="17"/>
  <c r="EJ46" i="17"/>
  <c r="EJ45" i="17"/>
  <c r="EJ43" i="17"/>
  <c r="EJ41" i="17"/>
  <c r="EJ40" i="17"/>
  <c r="EJ36" i="17"/>
  <c r="EJ44" i="17"/>
  <c r="EJ39" i="17"/>
  <c r="EJ35" i="17"/>
  <c r="EJ38" i="17"/>
  <c r="EJ30" i="17"/>
  <c r="EJ42" i="17"/>
  <c r="EJ33" i="17"/>
  <c r="EJ32" i="17"/>
  <c r="EJ28" i="17"/>
  <c r="EJ34" i="17"/>
  <c r="EJ31" i="17"/>
  <c r="EJ27" i="17"/>
  <c r="EJ24" i="17"/>
  <c r="EJ29" i="17"/>
  <c r="EJ37" i="17"/>
  <c r="EJ26" i="17"/>
  <c r="EJ21" i="17"/>
  <c r="EJ25" i="17"/>
  <c r="EJ23" i="17"/>
  <c r="EJ14" i="17"/>
  <c r="EJ19" i="17"/>
  <c r="EJ20" i="17"/>
  <c r="EJ17" i="17"/>
  <c r="EJ18" i="17"/>
  <c r="EJ22" i="17"/>
  <c r="EJ13" i="17"/>
  <c r="EJ12" i="17"/>
  <c r="EJ11" i="17"/>
  <c r="EJ15" i="17"/>
  <c r="EK8" i="17"/>
  <c r="EK16" i="17" s="1"/>
  <c r="EJ10" i="17"/>
  <c r="EK50" i="17" l="1"/>
  <c r="EK49" i="17"/>
  <c r="EK48" i="17"/>
  <c r="EK45" i="17"/>
  <c r="EK43" i="17"/>
  <c r="EK40" i="17"/>
  <c r="EK46" i="17"/>
  <c r="EK47" i="17"/>
  <c r="EK44" i="17"/>
  <c r="EK41" i="17"/>
  <c r="EK38" i="17"/>
  <c r="EK30" i="17"/>
  <c r="EK35" i="17"/>
  <c r="EK42" i="17"/>
  <c r="EK36" i="17"/>
  <c r="EK33" i="17"/>
  <c r="EK32" i="17"/>
  <c r="EK28" i="17"/>
  <c r="EK34" i="17"/>
  <c r="EK27" i="17"/>
  <c r="EK31" i="17"/>
  <c r="EK39" i="17"/>
  <c r="EK29" i="17"/>
  <c r="EK37" i="17"/>
  <c r="EK26" i="17"/>
  <c r="EK21" i="17"/>
  <c r="EK25" i="17"/>
  <c r="EK23" i="17"/>
  <c r="EK19" i="17"/>
  <c r="EK24" i="17"/>
  <c r="EK20" i="17"/>
  <c r="EK17" i="17"/>
  <c r="EK22" i="17"/>
  <c r="EK13" i="17"/>
  <c r="EK14" i="17"/>
  <c r="EK12" i="17"/>
  <c r="EK11" i="17"/>
  <c r="EK18" i="17"/>
  <c r="EK15" i="17"/>
  <c r="EL8" i="17"/>
  <c r="EL16" i="17" s="1"/>
  <c r="EK10" i="17"/>
  <c r="EL49" i="17" l="1"/>
  <c r="EL50" i="17"/>
  <c r="EL48" i="17"/>
  <c r="EL45" i="17"/>
  <c r="EL41" i="17"/>
  <c r="EL40" i="17"/>
  <c r="EL46" i="17"/>
  <c r="EL47" i="17"/>
  <c r="EL44" i="17"/>
  <c r="EL43" i="17"/>
  <c r="EL30" i="17"/>
  <c r="EL35" i="17"/>
  <c r="EL42" i="17"/>
  <c r="EL36" i="17"/>
  <c r="EL33" i="17"/>
  <c r="EL38" i="17"/>
  <c r="EL32" i="17"/>
  <c r="EL34" i="17"/>
  <c r="EL31" i="17"/>
  <c r="EL28" i="17"/>
  <c r="EL27" i="17"/>
  <c r="EL29" i="17"/>
  <c r="EL37" i="17"/>
  <c r="EL23" i="17"/>
  <c r="EL39" i="17"/>
  <c r="EL25" i="17"/>
  <c r="EL22" i="17"/>
  <c r="EL26" i="17"/>
  <c r="EL21" i="17"/>
  <c r="EL19" i="17"/>
  <c r="EL24" i="17"/>
  <c r="EL20" i="17"/>
  <c r="EL17" i="17"/>
  <c r="EL13" i="17"/>
  <c r="EL18" i="17"/>
  <c r="EL15" i="17"/>
  <c r="EL14" i="17"/>
  <c r="EL12" i="17"/>
  <c r="EL11" i="17"/>
  <c r="EL10" i="17"/>
  <c r="EM8" i="17"/>
  <c r="EM16" i="17" s="1"/>
  <c r="EM49" i="17" l="1"/>
  <c r="EM50" i="17"/>
  <c r="EM48" i="17"/>
  <c r="EM45" i="17"/>
  <c r="EM44" i="17"/>
  <c r="EM38" i="17"/>
  <c r="EM41" i="17"/>
  <c r="EM40" i="17"/>
  <c r="EM46" i="17"/>
  <c r="EM47" i="17"/>
  <c r="EM43" i="17"/>
  <c r="EM35" i="17"/>
  <c r="EM42" i="17"/>
  <c r="EM36" i="17"/>
  <c r="EM33" i="17"/>
  <c r="EM39" i="17"/>
  <c r="EM32" i="17"/>
  <c r="EM34" i="17"/>
  <c r="EM31" i="17"/>
  <c r="EM30" i="17"/>
  <c r="EM28" i="17"/>
  <c r="EM27" i="17"/>
  <c r="EM29" i="17"/>
  <c r="EM37" i="17"/>
  <c r="EM21" i="17"/>
  <c r="EM25" i="17"/>
  <c r="EM23" i="17"/>
  <c r="EM22" i="17"/>
  <c r="EM20" i="17"/>
  <c r="EM24" i="17"/>
  <c r="EM17" i="17"/>
  <c r="EM26" i="17"/>
  <c r="EM13" i="17"/>
  <c r="EM15" i="17"/>
  <c r="EM14" i="17"/>
  <c r="EM19" i="17"/>
  <c r="EM18" i="17"/>
  <c r="EM11" i="17"/>
  <c r="EM12" i="17"/>
  <c r="EM10" i="17"/>
  <c r="EN8" i="17"/>
  <c r="EN16" i="17" s="1"/>
  <c r="EN49" i="17" l="1"/>
  <c r="EN48" i="17"/>
  <c r="EN45" i="17"/>
  <c r="EN46" i="17"/>
  <c r="EN50" i="17"/>
  <c r="EN40" i="17"/>
  <c r="EN39" i="17"/>
  <c r="EN47" i="17"/>
  <c r="EN44" i="17"/>
  <c r="EN42" i="17"/>
  <c r="EN43" i="17"/>
  <c r="EN35" i="17"/>
  <c r="EN41" i="17"/>
  <c r="EN36" i="17"/>
  <c r="EN33" i="17"/>
  <c r="EN38" i="17"/>
  <c r="EN34" i="17"/>
  <c r="EN32" i="17"/>
  <c r="EN27" i="17"/>
  <c r="EN31" i="17"/>
  <c r="EN30" i="17"/>
  <c r="EN29" i="17"/>
  <c r="EN37" i="17"/>
  <c r="EN21" i="17"/>
  <c r="EN25" i="17"/>
  <c r="EN23" i="17"/>
  <c r="EN22" i="17"/>
  <c r="EN20" i="17"/>
  <c r="EN24" i="17"/>
  <c r="EN17" i="17"/>
  <c r="EN28" i="17"/>
  <c r="EN15" i="17"/>
  <c r="EN18" i="17"/>
  <c r="EN26" i="17"/>
  <c r="EN13" i="17"/>
  <c r="EN14" i="17"/>
  <c r="EN19" i="17"/>
  <c r="EN11" i="17"/>
  <c r="EN12" i="17"/>
  <c r="EO8" i="17"/>
  <c r="EO16" i="17" s="1"/>
  <c r="EN10" i="17"/>
  <c r="EN7" i="17"/>
  <c r="EO49" i="17" l="1"/>
  <c r="EO48" i="17"/>
  <c r="EO45" i="17"/>
  <c r="EO43" i="17"/>
  <c r="EO46" i="17"/>
  <c r="EO41" i="17"/>
  <c r="EO50" i="17"/>
  <c r="EO44" i="17"/>
  <c r="EO42" i="17"/>
  <c r="EO35" i="17"/>
  <c r="EO36" i="17"/>
  <c r="EO40" i="17"/>
  <c r="EO33" i="17"/>
  <c r="EO39" i="17"/>
  <c r="EO32" i="17"/>
  <c r="EO47" i="17"/>
  <c r="EO34" i="17"/>
  <c r="EO31" i="17"/>
  <c r="EO30" i="17"/>
  <c r="EO29" i="17"/>
  <c r="EO38" i="17"/>
  <c r="EO24" i="17"/>
  <c r="EO27" i="17"/>
  <c r="EO37" i="17"/>
  <c r="EO23" i="17"/>
  <c r="EO26" i="17"/>
  <c r="EO25" i="17"/>
  <c r="EO22" i="17"/>
  <c r="EO20" i="17"/>
  <c r="EO17" i="17"/>
  <c r="EO28" i="17"/>
  <c r="EO18" i="17"/>
  <c r="EO21" i="17"/>
  <c r="EO13" i="17"/>
  <c r="EO14" i="17"/>
  <c r="EO12" i="17"/>
  <c r="EO15" i="17"/>
  <c r="EO11" i="17"/>
  <c r="EO19" i="17"/>
  <c r="EO10" i="17"/>
  <c r="EP8" i="17"/>
  <c r="EP16" i="17" s="1"/>
  <c r="EP49" i="17" l="1"/>
  <c r="EP46" i="17"/>
  <c r="EP50" i="17"/>
  <c r="EP48" i="17"/>
  <c r="EP45" i="17"/>
  <c r="EP44" i="17"/>
  <c r="EP43" i="17"/>
  <c r="EP35" i="17"/>
  <c r="EP38" i="17"/>
  <c r="EP41" i="17"/>
  <c r="EP36" i="17"/>
  <c r="EP42" i="17"/>
  <c r="EP37" i="17"/>
  <c r="EP40" i="17"/>
  <c r="EP33" i="17"/>
  <c r="EP39" i="17"/>
  <c r="EP32" i="17"/>
  <c r="EP27" i="17"/>
  <c r="EP47" i="17"/>
  <c r="EP34" i="17"/>
  <c r="EP31" i="17"/>
  <c r="EP30" i="17"/>
  <c r="EP29" i="17"/>
  <c r="EP25" i="17"/>
  <c r="EP23" i="17"/>
  <c r="EP20" i="17"/>
  <c r="EP24" i="17"/>
  <c r="EP28" i="17"/>
  <c r="EP26" i="17"/>
  <c r="EP17" i="17"/>
  <c r="EP13" i="17"/>
  <c r="EP21" i="17"/>
  <c r="EP22" i="17"/>
  <c r="EP14" i="17"/>
  <c r="EP12" i="17"/>
  <c r="EP15" i="17"/>
  <c r="EP11" i="17"/>
  <c r="EP19" i="17"/>
  <c r="EP18" i="17"/>
  <c r="EQ8" i="17"/>
  <c r="EQ16" i="17" s="1"/>
  <c r="EP10" i="17"/>
  <c r="EQ48" i="17" l="1"/>
  <c r="EQ50" i="17"/>
  <c r="EQ49" i="17"/>
  <c r="EQ45" i="17"/>
  <c r="EQ44" i="17"/>
  <c r="EQ46" i="17"/>
  <c r="EQ47" i="17"/>
  <c r="EQ43" i="17"/>
  <c r="EQ35" i="17"/>
  <c r="EQ38" i="17"/>
  <c r="EQ40" i="17"/>
  <c r="EQ42" i="17"/>
  <c r="EQ37" i="17"/>
  <c r="EQ33" i="17"/>
  <c r="EQ36" i="17"/>
  <c r="EQ39" i="17"/>
  <c r="EQ32" i="17"/>
  <c r="EQ41" i="17"/>
  <c r="EQ34" i="17"/>
  <c r="EQ31" i="17"/>
  <c r="EQ30" i="17"/>
  <c r="EQ27" i="17"/>
  <c r="EQ29" i="17"/>
  <c r="EQ23" i="17"/>
  <c r="EQ22" i="17"/>
  <c r="EQ24" i="17"/>
  <c r="EQ25" i="17"/>
  <c r="EQ28" i="17"/>
  <c r="EQ20" i="17"/>
  <c r="EQ26" i="17"/>
  <c r="EQ17" i="17"/>
  <c r="EQ13" i="17"/>
  <c r="EQ21" i="17"/>
  <c r="EQ14" i="17"/>
  <c r="EQ12" i="17"/>
  <c r="EQ19" i="17"/>
  <c r="EQ15" i="17"/>
  <c r="EQ18" i="17"/>
  <c r="EQ11" i="17"/>
  <c r="EQ10" i="17"/>
  <c r="ER8" i="17"/>
  <c r="ER16" i="17" s="1"/>
  <c r="ER48" i="17" l="1"/>
  <c r="ER46" i="17"/>
  <c r="ER50" i="17"/>
  <c r="ER49" i="17"/>
  <c r="ER45" i="17"/>
  <c r="ER44" i="17"/>
  <c r="ER41" i="17"/>
  <c r="ER40" i="17"/>
  <c r="ER43" i="17"/>
  <c r="ER42" i="17"/>
  <c r="ER38" i="17"/>
  <c r="ER39" i="17"/>
  <c r="ER35" i="17"/>
  <c r="ER47" i="17"/>
  <c r="ER36" i="17"/>
  <c r="ER32" i="17"/>
  <c r="ER37" i="17"/>
  <c r="ER34" i="17"/>
  <c r="ER31" i="17"/>
  <c r="ER30" i="17"/>
  <c r="ER29" i="17"/>
  <c r="ER25" i="17"/>
  <c r="ER26" i="17"/>
  <c r="ER23" i="17"/>
  <c r="ER22" i="17"/>
  <c r="ER20" i="17"/>
  <c r="ER24" i="17"/>
  <c r="ER28" i="17"/>
  <c r="ER33" i="17"/>
  <c r="ER21" i="17"/>
  <c r="ER12" i="17"/>
  <c r="ER14" i="17"/>
  <c r="ER27" i="17"/>
  <c r="ER13" i="17"/>
  <c r="ER17" i="17"/>
  <c r="ER19" i="17"/>
  <c r="ER15" i="17"/>
  <c r="ER11" i="17"/>
  <c r="ER18" i="17"/>
  <c r="ER10" i="17"/>
  <c r="ES8" i="17"/>
  <c r="ES16" i="17" s="1"/>
  <c r="ES48" i="17" l="1"/>
  <c r="ES50" i="17"/>
  <c r="ES49" i="17"/>
  <c r="ES45" i="17"/>
  <c r="ES44" i="17"/>
  <c r="ES46" i="17"/>
  <c r="ES47" i="17"/>
  <c r="ES42" i="17"/>
  <c r="ES43" i="17"/>
  <c r="ES38" i="17"/>
  <c r="ES39" i="17"/>
  <c r="ES41" i="17"/>
  <c r="ES35" i="17"/>
  <c r="ES40" i="17"/>
  <c r="ES36" i="17"/>
  <c r="ES32" i="17"/>
  <c r="ES34" i="17"/>
  <c r="ES37" i="17"/>
  <c r="ES26" i="17"/>
  <c r="ES29" i="17"/>
  <c r="ES28" i="17"/>
  <c r="ES25" i="17"/>
  <c r="ES20" i="17"/>
  <c r="ES24" i="17"/>
  <c r="ES19" i="17"/>
  <c r="ES27" i="17"/>
  <c r="ES30" i="17"/>
  <c r="ES33" i="17"/>
  <c r="ES31" i="17"/>
  <c r="ES22" i="17"/>
  <c r="ES14" i="17"/>
  <c r="ES12" i="17"/>
  <c r="ES15" i="17"/>
  <c r="ES21" i="17"/>
  <c r="ES17" i="17"/>
  <c r="ES13" i="17"/>
  <c r="ES18" i="17"/>
  <c r="ES23" i="17"/>
  <c r="ES11" i="17"/>
  <c r="ET8" i="17"/>
  <c r="ET16" i="17" s="1"/>
  <c r="ES10" i="17"/>
  <c r="ET48" i="17" l="1"/>
  <c r="ET50" i="17"/>
  <c r="ET49" i="17"/>
  <c r="ET45" i="17"/>
  <c r="ET43" i="17"/>
  <c r="ET44" i="17"/>
  <c r="ET46" i="17"/>
  <c r="ET47" i="17"/>
  <c r="ET40" i="17"/>
  <c r="ET42" i="17"/>
  <c r="ET38" i="17"/>
  <c r="ET39" i="17"/>
  <c r="ET41" i="17"/>
  <c r="ET35" i="17"/>
  <c r="ET36" i="17"/>
  <c r="ET32" i="17"/>
  <c r="ET34" i="17"/>
  <c r="ET29" i="17"/>
  <c r="ET37" i="17"/>
  <c r="ET23" i="17"/>
  <c r="ET25" i="17"/>
  <c r="ET22" i="17"/>
  <c r="ET30" i="17"/>
  <c r="ET24" i="17"/>
  <c r="ET28" i="17"/>
  <c r="ET33" i="17"/>
  <c r="ET27" i="17"/>
  <c r="ET20" i="17"/>
  <c r="ET18" i="17"/>
  <c r="ET11" i="17"/>
  <c r="ET14" i="17"/>
  <c r="ET12" i="17"/>
  <c r="ET15" i="17"/>
  <c r="ET19" i="17"/>
  <c r="ET21" i="17"/>
  <c r="ET17" i="17"/>
  <c r="ET13" i="17"/>
  <c r="ET26" i="17"/>
  <c r="ET31" i="17"/>
  <c r="EU8" i="17"/>
  <c r="EU16" i="17" s="1"/>
  <c r="ET10" i="17"/>
  <c r="EU48" i="17" l="1"/>
  <c r="EU46" i="17"/>
  <c r="EU50" i="17"/>
  <c r="EU49" i="17"/>
  <c r="EU45" i="17"/>
  <c r="EU44" i="17"/>
  <c r="EU47" i="17"/>
  <c r="EU42" i="17"/>
  <c r="EU43" i="17"/>
  <c r="EU38" i="17"/>
  <c r="EU39" i="17"/>
  <c r="EU37" i="17"/>
  <c r="EU41" i="17"/>
  <c r="EU35" i="17"/>
  <c r="EU40" i="17"/>
  <c r="EU34" i="17"/>
  <c r="EU36" i="17"/>
  <c r="EU32" i="17"/>
  <c r="EU26" i="17"/>
  <c r="EU29" i="17"/>
  <c r="EU30" i="17"/>
  <c r="EU24" i="17"/>
  <c r="EU19" i="17"/>
  <c r="EU28" i="17"/>
  <c r="EU33" i="17"/>
  <c r="EU15" i="17"/>
  <c r="EU18" i="17"/>
  <c r="EU22" i="17"/>
  <c r="EU20" i="17"/>
  <c r="EU11" i="17"/>
  <c r="EU14" i="17"/>
  <c r="EU12" i="17"/>
  <c r="EU25" i="17"/>
  <c r="EU31" i="17"/>
  <c r="EU27" i="17"/>
  <c r="EU13" i="17"/>
  <c r="EU23" i="17"/>
  <c r="EU17" i="17"/>
  <c r="EU21" i="17"/>
  <c r="EV8" i="17"/>
  <c r="EV16" i="17" s="1"/>
  <c r="EU10" i="17"/>
  <c r="EV50" i="17" l="1"/>
  <c r="EV47" i="17"/>
  <c r="EV49" i="17"/>
  <c r="EV46" i="17"/>
  <c r="EV42" i="17"/>
  <c r="EV48" i="17"/>
  <c r="EV45" i="17"/>
  <c r="EV43" i="17"/>
  <c r="EV44" i="17"/>
  <c r="EV38" i="17"/>
  <c r="EV39" i="17"/>
  <c r="EV41" i="17"/>
  <c r="EV40" i="17"/>
  <c r="EV34" i="17"/>
  <c r="EV36" i="17"/>
  <c r="EV37" i="17"/>
  <c r="EV32" i="17"/>
  <c r="EV31" i="17"/>
  <c r="EV29" i="17"/>
  <c r="EV35" i="17"/>
  <c r="EV25" i="17"/>
  <c r="EV30" i="17"/>
  <c r="EV26" i="17"/>
  <c r="EV24" i="17"/>
  <c r="EV28" i="17"/>
  <c r="EV33" i="17"/>
  <c r="EV21" i="17"/>
  <c r="EV15" i="17"/>
  <c r="EV18" i="17"/>
  <c r="EV22" i="17"/>
  <c r="EV27" i="17"/>
  <c r="EV19" i="17"/>
  <c r="EV14" i="17"/>
  <c r="EV12" i="17"/>
  <c r="EV20" i="17"/>
  <c r="EV11" i="17"/>
  <c r="EV13" i="17"/>
  <c r="EV17" i="17"/>
  <c r="EV23" i="17"/>
  <c r="EW8" i="17"/>
  <c r="EW16" i="17" s="1"/>
  <c r="EV10" i="17"/>
  <c r="EW47" i="17" l="1"/>
  <c r="EW49" i="17"/>
  <c r="EW45" i="17"/>
  <c r="EW46" i="17"/>
  <c r="EW40" i="17"/>
  <c r="EW50" i="17"/>
  <c r="EW42" i="17"/>
  <c r="EW39" i="17"/>
  <c r="EW48" i="17"/>
  <c r="EW43" i="17"/>
  <c r="EW44" i="17"/>
  <c r="EW38" i="17"/>
  <c r="EW41" i="17"/>
  <c r="EW34" i="17"/>
  <c r="EW36" i="17"/>
  <c r="EW37" i="17"/>
  <c r="EW29" i="17"/>
  <c r="EW35" i="17"/>
  <c r="EW25" i="17"/>
  <c r="EW30" i="17"/>
  <c r="EW26" i="17"/>
  <c r="EW28" i="17"/>
  <c r="EW19" i="17"/>
  <c r="EW33" i="17"/>
  <c r="EW21" i="17"/>
  <c r="EW24" i="17"/>
  <c r="EW15" i="17"/>
  <c r="EW18" i="17"/>
  <c r="EW22" i="17"/>
  <c r="EW23" i="17"/>
  <c r="EW32" i="17"/>
  <c r="EW27" i="17"/>
  <c r="EW17" i="17"/>
  <c r="EW20" i="17"/>
  <c r="EW11" i="17"/>
  <c r="EW31" i="17"/>
  <c r="EW14" i="17"/>
  <c r="EW13" i="17"/>
  <c r="EW12" i="17"/>
  <c r="EW10" i="17"/>
  <c r="EX8" i="17"/>
  <c r="EX16" i="17" s="1"/>
  <c r="EX50" i="17" l="1"/>
  <c r="EX47" i="17"/>
  <c r="EX49" i="17"/>
  <c r="EX46" i="17"/>
  <c r="EX42" i="17"/>
  <c r="EX45" i="17"/>
  <c r="EX43" i="17"/>
  <c r="EX41" i="17"/>
  <c r="EX39" i="17"/>
  <c r="EX48" i="17"/>
  <c r="EX34" i="17"/>
  <c r="EX40" i="17"/>
  <c r="EX36" i="17"/>
  <c r="EX38" i="17"/>
  <c r="EX37" i="17"/>
  <c r="EX44" i="17"/>
  <c r="EX31" i="17"/>
  <c r="EX29" i="17"/>
  <c r="EX25" i="17"/>
  <c r="EX35" i="17"/>
  <c r="EX30" i="17"/>
  <c r="EX26" i="17"/>
  <c r="EX33" i="17"/>
  <c r="EX28" i="17"/>
  <c r="EX15" i="17"/>
  <c r="EX18" i="17"/>
  <c r="EX22" i="17"/>
  <c r="EX23" i="17"/>
  <c r="EX32" i="17"/>
  <c r="EX27" i="17"/>
  <c r="EX19" i="17"/>
  <c r="EX17" i="17"/>
  <c r="EX21" i="17"/>
  <c r="EX24" i="17"/>
  <c r="EX20" i="17"/>
  <c r="EX11" i="17"/>
  <c r="EX14" i="17"/>
  <c r="EX13" i="17"/>
  <c r="EX12" i="17"/>
  <c r="EY8" i="17"/>
  <c r="EY16" i="17" s="1"/>
  <c r="EX10" i="17"/>
  <c r="EY47" i="17" l="1"/>
  <c r="EY49" i="17"/>
  <c r="EY46" i="17"/>
  <c r="EY42" i="17"/>
  <c r="EY50" i="17"/>
  <c r="EY43" i="17"/>
  <c r="EY44" i="17"/>
  <c r="EY37" i="17"/>
  <c r="EY41" i="17"/>
  <c r="EY39" i="17"/>
  <c r="EY48" i="17"/>
  <c r="EY45" i="17"/>
  <c r="EY40" i="17"/>
  <c r="EY34" i="17"/>
  <c r="EY36" i="17"/>
  <c r="EY38" i="17"/>
  <c r="EY31" i="17"/>
  <c r="EY33" i="17"/>
  <c r="EY29" i="17"/>
  <c r="EY35" i="17"/>
  <c r="EY25" i="17"/>
  <c r="EY30" i="17"/>
  <c r="EY28" i="17"/>
  <c r="EY32" i="17"/>
  <c r="EY27" i="17"/>
  <c r="EY15" i="17"/>
  <c r="EY18" i="17"/>
  <c r="EY22" i="17"/>
  <c r="EY23" i="17"/>
  <c r="EY21" i="17"/>
  <c r="EY24" i="17"/>
  <c r="EY11" i="17"/>
  <c r="EY19" i="17"/>
  <c r="EY13" i="17"/>
  <c r="EY14" i="17"/>
  <c r="EY20" i="17"/>
  <c r="EY12" i="17"/>
  <c r="EY26" i="17"/>
  <c r="EY17" i="17"/>
  <c r="EZ8" i="17"/>
  <c r="EZ16" i="17" s="1"/>
  <c r="EY10" i="17"/>
  <c r="EZ47" i="17" l="1"/>
  <c r="EZ49" i="17"/>
  <c r="EZ46" i="17"/>
  <c r="EZ50" i="17"/>
  <c r="EZ42" i="17"/>
  <c r="EZ43" i="17"/>
  <c r="EZ41" i="17"/>
  <c r="EZ39" i="17"/>
  <c r="EZ48" i="17"/>
  <c r="EZ40" i="17"/>
  <c r="EZ34" i="17"/>
  <c r="EZ36" i="17"/>
  <c r="EZ45" i="17"/>
  <c r="EZ38" i="17"/>
  <c r="EZ37" i="17"/>
  <c r="EZ44" i="17"/>
  <c r="EZ31" i="17"/>
  <c r="EZ33" i="17"/>
  <c r="EZ29" i="17"/>
  <c r="EZ35" i="17"/>
  <c r="EZ28" i="17"/>
  <c r="EZ30" i="17"/>
  <c r="EZ26" i="17"/>
  <c r="EZ27" i="17"/>
  <c r="EZ32" i="17"/>
  <c r="EZ18" i="17"/>
  <c r="EZ22" i="17"/>
  <c r="EZ23" i="17"/>
  <c r="EZ11" i="17"/>
  <c r="EZ24" i="17"/>
  <c r="EZ25" i="17"/>
  <c r="EZ15" i="17"/>
  <c r="EZ19" i="17"/>
  <c r="EZ13" i="17"/>
  <c r="EZ14" i="17"/>
  <c r="EZ20" i="17"/>
  <c r="EZ12" i="17"/>
  <c r="EZ17" i="17"/>
  <c r="EZ21" i="17"/>
  <c r="FA8" i="17"/>
  <c r="FA16" i="17" s="1"/>
  <c r="EZ10" i="17"/>
  <c r="FA50" i="17" l="1"/>
  <c r="FA49" i="17"/>
  <c r="FA47" i="17"/>
  <c r="FA48" i="17"/>
  <c r="FA46" i="17"/>
  <c r="FA42" i="17"/>
  <c r="FA43" i="17"/>
  <c r="FA44" i="17"/>
  <c r="FA38" i="17"/>
  <c r="FA41" i="17"/>
  <c r="FA36" i="17"/>
  <c r="FA45" i="17"/>
  <c r="FA40" i="17"/>
  <c r="FA37" i="17"/>
  <c r="FA31" i="17"/>
  <c r="FA39" i="17"/>
  <c r="FA34" i="17"/>
  <c r="FA35" i="17"/>
  <c r="FA28" i="17"/>
  <c r="FA30" i="17"/>
  <c r="FA33" i="17"/>
  <c r="FA26" i="17"/>
  <c r="FA24" i="17"/>
  <c r="FA29" i="17"/>
  <c r="FA32" i="17"/>
  <c r="FA27" i="17"/>
  <c r="FA23" i="17"/>
  <c r="FA22" i="17"/>
  <c r="FA14" i="17"/>
  <c r="FA11" i="17"/>
  <c r="FA25" i="17"/>
  <c r="FA15" i="17"/>
  <c r="FA18" i="17"/>
  <c r="FA17" i="17"/>
  <c r="FA19" i="17"/>
  <c r="FA12" i="17"/>
  <c r="FA20" i="17"/>
  <c r="FA13" i="17"/>
  <c r="FA21" i="17"/>
  <c r="FA10" i="17"/>
  <c r="FB8" i="17"/>
  <c r="FB16" i="17" s="1"/>
  <c r="FB50" i="17" l="1"/>
  <c r="FB48" i="17"/>
  <c r="FB49" i="17"/>
  <c r="FB44" i="17"/>
  <c r="FB46" i="17"/>
  <c r="FB47" i="17"/>
  <c r="FB42" i="17"/>
  <c r="FB39" i="17"/>
  <c r="FB43" i="17"/>
  <c r="FB38" i="17"/>
  <c r="FB41" i="17"/>
  <c r="FB45" i="17"/>
  <c r="FB40" i="17"/>
  <c r="FB37" i="17"/>
  <c r="FB34" i="17"/>
  <c r="FB35" i="17"/>
  <c r="FB28" i="17"/>
  <c r="FB33" i="17"/>
  <c r="FB26" i="17"/>
  <c r="FB36" i="17"/>
  <c r="FB30" i="17"/>
  <c r="FB18" i="17"/>
  <c r="FB32" i="17"/>
  <c r="FB27" i="17"/>
  <c r="FB21" i="17"/>
  <c r="FB23" i="17"/>
  <c r="FB22" i="17"/>
  <c r="FB20" i="17"/>
  <c r="FB29" i="17"/>
  <c r="FB14" i="17"/>
  <c r="FB25" i="17"/>
  <c r="FB24" i="17"/>
  <c r="FB15" i="17"/>
  <c r="FB31" i="17"/>
  <c r="FB17" i="17"/>
  <c r="FB19" i="17"/>
  <c r="FB13" i="17"/>
  <c r="FB12" i="17"/>
  <c r="FB11" i="17"/>
  <c r="FC8" i="17"/>
  <c r="FC16" i="17" s="1"/>
  <c r="FB10" i="17"/>
  <c r="FC50" i="17" l="1"/>
  <c r="FC49" i="17"/>
  <c r="FC47" i="17"/>
  <c r="FC48" i="17"/>
  <c r="FC46" i="17"/>
  <c r="FC43" i="17"/>
  <c r="FC44" i="17"/>
  <c r="FC41" i="17"/>
  <c r="FC42" i="17"/>
  <c r="FC45" i="17"/>
  <c r="FC40" i="17"/>
  <c r="FC37" i="17"/>
  <c r="FC38" i="17"/>
  <c r="FC39" i="17"/>
  <c r="FC35" i="17"/>
  <c r="FC34" i="17"/>
  <c r="FC30" i="17"/>
  <c r="FC28" i="17"/>
  <c r="FC36" i="17"/>
  <c r="FC24" i="17"/>
  <c r="FC27" i="17"/>
  <c r="FC33" i="17"/>
  <c r="FC32" i="17"/>
  <c r="FC21" i="17"/>
  <c r="FC26" i="17"/>
  <c r="FC22" i="17"/>
  <c r="FC23" i="17"/>
  <c r="FC25" i="17"/>
  <c r="FC19" i="17"/>
  <c r="FC20" i="17"/>
  <c r="FC15" i="17"/>
  <c r="FC29" i="17"/>
  <c r="FC17" i="17"/>
  <c r="FC18" i="17"/>
  <c r="FC13" i="17"/>
  <c r="FC12" i="17"/>
  <c r="FC11" i="17"/>
  <c r="FC14" i="17"/>
  <c r="FC31" i="17"/>
  <c r="FD8" i="17"/>
  <c r="FD16" i="17" s="1"/>
  <c r="FC10" i="17"/>
  <c r="FD50" i="17" l="1"/>
  <c r="FD48" i="17"/>
  <c r="FD46" i="17"/>
  <c r="FD47" i="17"/>
  <c r="FD43" i="17"/>
  <c r="FD44" i="17"/>
  <c r="FD49" i="17"/>
  <c r="FD41" i="17"/>
  <c r="FD42" i="17"/>
  <c r="FD36" i="17"/>
  <c r="FD45" i="17"/>
  <c r="FD40" i="17"/>
  <c r="FD37" i="17"/>
  <c r="FD38" i="17"/>
  <c r="FD39" i="17"/>
  <c r="FD35" i="17"/>
  <c r="FD34" i="17"/>
  <c r="FD30" i="17"/>
  <c r="FD33" i="17"/>
  <c r="FD32" i="17"/>
  <c r="FD28" i="17"/>
  <c r="FD24" i="17"/>
  <c r="FD27" i="17"/>
  <c r="FD21" i="17"/>
  <c r="FD26" i="17"/>
  <c r="FD31" i="17"/>
  <c r="FD14" i="17"/>
  <c r="FD23" i="17"/>
  <c r="FD25" i="17"/>
  <c r="FD19" i="17"/>
  <c r="FD17" i="17"/>
  <c r="FD20" i="17"/>
  <c r="FD22" i="17"/>
  <c r="FD15" i="17"/>
  <c r="FD29" i="17"/>
  <c r="FD13" i="17"/>
  <c r="FD18" i="17"/>
  <c r="FD12" i="17"/>
  <c r="FD11" i="17"/>
  <c r="FE8" i="17"/>
  <c r="FE16" i="17" s="1"/>
  <c r="FD10" i="17"/>
  <c r="FB7" i="17"/>
  <c r="FE50" i="17" l="1"/>
  <c r="FE48" i="17"/>
  <c r="FE47" i="17"/>
  <c r="FE46" i="17"/>
  <c r="FE43" i="17"/>
  <c r="FE44" i="17"/>
  <c r="FE49" i="17"/>
  <c r="FE41" i="17"/>
  <c r="FE42" i="17"/>
  <c r="FE45" i="17"/>
  <c r="FE40" i="17"/>
  <c r="FE38" i="17"/>
  <c r="FE34" i="17"/>
  <c r="FE30" i="17"/>
  <c r="FE39" i="17"/>
  <c r="FE33" i="17"/>
  <c r="FE32" i="17"/>
  <c r="FE35" i="17"/>
  <c r="FE28" i="17"/>
  <c r="FE27" i="17"/>
  <c r="FE36" i="17"/>
  <c r="FE37" i="17"/>
  <c r="FE31" i="17"/>
  <c r="FE21" i="17"/>
  <c r="FE25" i="17"/>
  <c r="FE23" i="17"/>
  <c r="FE19" i="17"/>
  <c r="FE17" i="17"/>
  <c r="FE15" i="17"/>
  <c r="FE29" i="17"/>
  <c r="FE22" i="17"/>
  <c r="FE13" i="17"/>
  <c r="FE12" i="17"/>
  <c r="FE20" i="17"/>
  <c r="FE24" i="17"/>
  <c r="FE11" i="17"/>
  <c r="FE18" i="17"/>
  <c r="FE26" i="17"/>
  <c r="FE14" i="17"/>
  <c r="FE10" i="17"/>
  <c r="FF8" i="17"/>
  <c r="FF16" i="17" s="1"/>
  <c r="FF49" i="17" l="1"/>
  <c r="FF48" i="17"/>
  <c r="FF47" i="17"/>
  <c r="FF50" i="17"/>
  <c r="FF43" i="17"/>
  <c r="FF44" i="17"/>
  <c r="FF41" i="17"/>
  <c r="FF46" i="17"/>
  <c r="FF42" i="17"/>
  <c r="FF45" i="17"/>
  <c r="FF40" i="17"/>
  <c r="FF34" i="17"/>
  <c r="FF30" i="17"/>
  <c r="FF39" i="17"/>
  <c r="FF33" i="17"/>
  <c r="FF35" i="17"/>
  <c r="FF36" i="17"/>
  <c r="FF38" i="17"/>
  <c r="FF31" i="17"/>
  <c r="FF32" i="17"/>
  <c r="FF37" i="17"/>
  <c r="FF27" i="17"/>
  <c r="FF28" i="17"/>
  <c r="FF23" i="17"/>
  <c r="FF25" i="17"/>
  <c r="FF19" i="17"/>
  <c r="FF17" i="17"/>
  <c r="FF29" i="17"/>
  <c r="FF26" i="17"/>
  <c r="FF22" i="17"/>
  <c r="FF13" i="17"/>
  <c r="FF20" i="17"/>
  <c r="FF15" i="17"/>
  <c r="FF24" i="17"/>
  <c r="FF11" i="17"/>
  <c r="FF12" i="17"/>
  <c r="FF18" i="17"/>
  <c r="FF14" i="17"/>
  <c r="FF21" i="17"/>
  <c r="FF10" i="17"/>
  <c r="FG8" i="17"/>
  <c r="FG16" i="17" s="1"/>
  <c r="FG49" i="17" l="1"/>
  <c r="FG47" i="17"/>
  <c r="FG48" i="17"/>
  <c r="FG43" i="17"/>
  <c r="FG38" i="17"/>
  <c r="FG44" i="17"/>
  <c r="FG41" i="17"/>
  <c r="FG46" i="17"/>
  <c r="FG42" i="17"/>
  <c r="FG40" i="17"/>
  <c r="FG45" i="17"/>
  <c r="FG50" i="17"/>
  <c r="FG39" i="17"/>
  <c r="FG33" i="17"/>
  <c r="FG37" i="17"/>
  <c r="FG35" i="17"/>
  <c r="FG36" i="17"/>
  <c r="FG32" i="17"/>
  <c r="FG30" i="17"/>
  <c r="FG27" i="17"/>
  <c r="FG28" i="17"/>
  <c r="FG21" i="17"/>
  <c r="FG17" i="17"/>
  <c r="FG22" i="17"/>
  <c r="FG20" i="17"/>
  <c r="FG31" i="17"/>
  <c r="FG24" i="17"/>
  <c r="FG19" i="17"/>
  <c r="FG25" i="17"/>
  <c r="FG29" i="17"/>
  <c r="FG26" i="17"/>
  <c r="FG34" i="17"/>
  <c r="FG23" i="17"/>
  <c r="FG13" i="17"/>
  <c r="FG18" i="17"/>
  <c r="FG14" i="17"/>
  <c r="FG15" i="17"/>
  <c r="FG12" i="17"/>
  <c r="FG11" i="17"/>
  <c r="FH8" i="17"/>
  <c r="FH16" i="17" s="1"/>
  <c r="FG10" i="17"/>
  <c r="FH49" i="17" l="1"/>
  <c r="FH48" i="17"/>
  <c r="FH47" i="17"/>
  <c r="FH45" i="17"/>
  <c r="FH44" i="17"/>
  <c r="FH43" i="17"/>
  <c r="FH42" i="17"/>
  <c r="FH41" i="17"/>
  <c r="FH40" i="17"/>
  <c r="FH50" i="17"/>
  <c r="FH46" i="17"/>
  <c r="FH39" i="17"/>
  <c r="FH35" i="17"/>
  <c r="FH33" i="17"/>
  <c r="FH37" i="17"/>
  <c r="FH27" i="17"/>
  <c r="FH36" i="17"/>
  <c r="FH29" i="17"/>
  <c r="FH30" i="17"/>
  <c r="FH28" i="17"/>
  <c r="FH34" i="17"/>
  <c r="FH31" i="17"/>
  <c r="FH21" i="17"/>
  <c r="FH32" i="17"/>
  <c r="FH22" i="17"/>
  <c r="FH20" i="17"/>
  <c r="FH23" i="17"/>
  <c r="FH38" i="17"/>
  <c r="FH24" i="17"/>
  <c r="FH19" i="17"/>
  <c r="FH25" i="17"/>
  <c r="FH17" i="17"/>
  <c r="FH15" i="17"/>
  <c r="FH13" i="17"/>
  <c r="FH18" i="17"/>
  <c r="FH14" i="17"/>
  <c r="FH11" i="17"/>
  <c r="FH12" i="17"/>
  <c r="FH26" i="17"/>
  <c r="FI8" i="17"/>
  <c r="FI16" i="17" s="1"/>
  <c r="FH10" i="17"/>
  <c r="FI49" i="17" l="1"/>
  <c r="FI47" i="17"/>
  <c r="FI48" i="17"/>
  <c r="FI43" i="17"/>
  <c r="FI45" i="17"/>
  <c r="FI44" i="17"/>
  <c r="FI41" i="17"/>
  <c r="FI42" i="17"/>
  <c r="FI40" i="17"/>
  <c r="FI46" i="17"/>
  <c r="FI50" i="17"/>
  <c r="FI39" i="17"/>
  <c r="FI35" i="17"/>
  <c r="FI33" i="17"/>
  <c r="FI37" i="17"/>
  <c r="FI38" i="17"/>
  <c r="FI32" i="17"/>
  <c r="FI36" i="17"/>
  <c r="FI30" i="17"/>
  <c r="FI29" i="17"/>
  <c r="FI24" i="17"/>
  <c r="FI27" i="17"/>
  <c r="FI28" i="17"/>
  <c r="FI23" i="17"/>
  <c r="FI34" i="17"/>
  <c r="FI22" i="17"/>
  <c r="FI20" i="17"/>
  <c r="FI26" i="17"/>
  <c r="FI19" i="17"/>
  <c r="FI25" i="17"/>
  <c r="FI17" i="17"/>
  <c r="FI18" i="17"/>
  <c r="FI13" i="17"/>
  <c r="FI12" i="17"/>
  <c r="FI11" i="17"/>
  <c r="FI15" i="17"/>
  <c r="FI31" i="17"/>
  <c r="FI14" i="17"/>
  <c r="FI21" i="17"/>
  <c r="FJ8" i="17"/>
  <c r="FJ16" i="17" s="1"/>
  <c r="FI10" i="17"/>
  <c r="FJ49" i="17" l="1"/>
  <c r="FJ46" i="17"/>
  <c r="FJ47" i="17"/>
  <c r="FJ48" i="17"/>
  <c r="FJ45" i="17"/>
  <c r="FJ44" i="17"/>
  <c r="FJ43" i="17"/>
  <c r="FJ40" i="17"/>
  <c r="FJ41" i="17"/>
  <c r="FJ39" i="17"/>
  <c r="FJ50" i="17"/>
  <c r="FJ35" i="17"/>
  <c r="FJ36" i="17"/>
  <c r="FJ33" i="17"/>
  <c r="FJ42" i="17"/>
  <c r="FJ37" i="17"/>
  <c r="FJ38" i="17"/>
  <c r="FJ32" i="17"/>
  <c r="FJ27" i="17"/>
  <c r="FJ30" i="17"/>
  <c r="FJ31" i="17"/>
  <c r="FJ28" i="17"/>
  <c r="FJ34" i="17"/>
  <c r="FJ22" i="17"/>
  <c r="FJ20" i="17"/>
  <c r="FJ26" i="17"/>
  <c r="FJ23" i="17"/>
  <c r="FJ25" i="17"/>
  <c r="FJ17" i="17"/>
  <c r="FJ29" i="17"/>
  <c r="FJ21" i="17"/>
  <c r="FJ18" i="17"/>
  <c r="FJ12" i="17"/>
  <c r="FJ13" i="17"/>
  <c r="FJ19" i="17"/>
  <c r="FJ11" i="17"/>
  <c r="FJ24" i="17"/>
  <c r="FJ15" i="17"/>
  <c r="FJ14" i="17"/>
  <c r="FJ10" i="17"/>
  <c r="FK8" i="17"/>
  <c r="FK16" i="17" s="1"/>
  <c r="FK48" i="17" l="1"/>
  <c r="FK46" i="17"/>
  <c r="FK47" i="17"/>
  <c r="FK50" i="17"/>
  <c r="FK45" i="17"/>
  <c r="FK44" i="17"/>
  <c r="FK49" i="17"/>
  <c r="FK40" i="17"/>
  <c r="FK41" i="17"/>
  <c r="FK42" i="17"/>
  <c r="FK43" i="17"/>
  <c r="FK35" i="17"/>
  <c r="FK39" i="17"/>
  <c r="FK36" i="17"/>
  <c r="FK33" i="17"/>
  <c r="FK37" i="17"/>
  <c r="FK38" i="17"/>
  <c r="FK32" i="17"/>
  <c r="FK30" i="17"/>
  <c r="FK31" i="17"/>
  <c r="FK28" i="17"/>
  <c r="FK27" i="17"/>
  <c r="FK34" i="17"/>
  <c r="FK25" i="17"/>
  <c r="FK29" i="17"/>
  <c r="FK26" i="17"/>
  <c r="FK23" i="17"/>
  <c r="FK21" i="17"/>
  <c r="FK24" i="17"/>
  <c r="FK22" i="17"/>
  <c r="FK13" i="17"/>
  <c r="FK18" i="17"/>
  <c r="FK12" i="17"/>
  <c r="FK19" i="17"/>
  <c r="FK20" i="17"/>
  <c r="FK11" i="17"/>
  <c r="FK14" i="17"/>
  <c r="FK15" i="17"/>
  <c r="FK17" i="17"/>
  <c r="FK7" i="17"/>
  <c r="FK10" i="17"/>
  <c r="FL8" i="17"/>
  <c r="FL16" i="17" s="1"/>
  <c r="FL48" i="17" l="1"/>
  <c r="FL46" i="17"/>
  <c r="FL50" i="17"/>
  <c r="FL47" i="17"/>
  <c r="FL45" i="17"/>
  <c r="FL44" i="17"/>
  <c r="FL41" i="17"/>
  <c r="FL37" i="17"/>
  <c r="FL49" i="17"/>
  <c r="FL40" i="17"/>
  <c r="FL42" i="17"/>
  <c r="FL43" i="17"/>
  <c r="FL35" i="17"/>
  <c r="FL39" i="17"/>
  <c r="FL38" i="17"/>
  <c r="FL32" i="17"/>
  <c r="FL36" i="17"/>
  <c r="FL30" i="17"/>
  <c r="FL31" i="17"/>
  <c r="FL28" i="17"/>
  <c r="FL27" i="17"/>
  <c r="FL34" i="17"/>
  <c r="FL33" i="17"/>
  <c r="FL22" i="17"/>
  <c r="FL20" i="17"/>
  <c r="FL23" i="17"/>
  <c r="FL26" i="17"/>
  <c r="FL25" i="17"/>
  <c r="FL29" i="17"/>
  <c r="FL21" i="17"/>
  <c r="FL24" i="17"/>
  <c r="FL18" i="17"/>
  <c r="FL12" i="17"/>
  <c r="FL19" i="17"/>
  <c r="FL14" i="17"/>
  <c r="FL13" i="17"/>
  <c r="FL11" i="17"/>
  <c r="FL15" i="17"/>
  <c r="FL17" i="17"/>
  <c r="FL10" i="17"/>
  <c r="FM8" i="17"/>
  <c r="FM16" i="17" s="1"/>
  <c r="FM48" i="17" l="1"/>
  <c r="FM50" i="17"/>
  <c r="FM47" i="17"/>
  <c r="FM45" i="17"/>
  <c r="FM44" i="17"/>
  <c r="FM49" i="17"/>
  <c r="FM41" i="17"/>
  <c r="FM40" i="17"/>
  <c r="FM46" i="17"/>
  <c r="FM42" i="17"/>
  <c r="FM43" i="17"/>
  <c r="FM35" i="17"/>
  <c r="FM39" i="17"/>
  <c r="FM37" i="17"/>
  <c r="FM38" i="17"/>
  <c r="FM32" i="17"/>
  <c r="FM36" i="17"/>
  <c r="FM26" i="17"/>
  <c r="FM30" i="17"/>
  <c r="FM31" i="17"/>
  <c r="FM29" i="17"/>
  <c r="FM28" i="17"/>
  <c r="FM27" i="17"/>
  <c r="FM34" i="17"/>
  <c r="FM25" i="17"/>
  <c r="FM33" i="17"/>
  <c r="FM22" i="17"/>
  <c r="FM20" i="17"/>
  <c r="FM23" i="17"/>
  <c r="FM19" i="17"/>
  <c r="FM21" i="17"/>
  <c r="FM18" i="17"/>
  <c r="FM12" i="17"/>
  <c r="FM14" i="17"/>
  <c r="FM17" i="17"/>
  <c r="FM24" i="17"/>
  <c r="FM13" i="17"/>
  <c r="FM11" i="17"/>
  <c r="FM15" i="17"/>
  <c r="FN8" i="17"/>
  <c r="FN16" i="17" s="1"/>
  <c r="FM10" i="17"/>
  <c r="FN48" i="17" l="1"/>
  <c r="FN50" i="17"/>
  <c r="FN43" i="17"/>
  <c r="FN47" i="17"/>
  <c r="FN45" i="17"/>
  <c r="FN44" i="17"/>
  <c r="FN49" i="17"/>
  <c r="FN40" i="17"/>
  <c r="FN42" i="17"/>
  <c r="FN46" i="17"/>
  <c r="FN35" i="17"/>
  <c r="FN39" i="17"/>
  <c r="FN37" i="17"/>
  <c r="FN38" i="17"/>
  <c r="FN32" i="17"/>
  <c r="FN41" i="17"/>
  <c r="FN34" i="17"/>
  <c r="FN36" i="17"/>
  <c r="FN30" i="17"/>
  <c r="FN31" i="17"/>
  <c r="FN29" i="17"/>
  <c r="FN33" i="17"/>
  <c r="FN27" i="17"/>
  <c r="FN23" i="17"/>
  <c r="FN28" i="17"/>
  <c r="FN25" i="17"/>
  <c r="FN22" i="17"/>
  <c r="FN26" i="17"/>
  <c r="FN24" i="17"/>
  <c r="FN21" i="17"/>
  <c r="FN18" i="17"/>
  <c r="FN12" i="17"/>
  <c r="FN11" i="17"/>
  <c r="FN19" i="17"/>
  <c r="FN14" i="17"/>
  <c r="FN17" i="17"/>
  <c r="FN15" i="17"/>
  <c r="FN20" i="17"/>
  <c r="FN13" i="17"/>
  <c r="FN10" i="17"/>
  <c r="FO8" i="17"/>
  <c r="FO16" i="17" s="1"/>
  <c r="FO48" i="17" l="1"/>
  <c r="FO46" i="17"/>
  <c r="FO50" i="17"/>
  <c r="FO45" i="17"/>
  <c r="FO47" i="17"/>
  <c r="FO44" i="17"/>
  <c r="FO49" i="17"/>
  <c r="FO42" i="17"/>
  <c r="FO40" i="17"/>
  <c r="FO38" i="17"/>
  <c r="FO39" i="17"/>
  <c r="FO35" i="17"/>
  <c r="FO43" i="17"/>
  <c r="FO34" i="17"/>
  <c r="FO36" i="17"/>
  <c r="FO32" i="17"/>
  <c r="FO37" i="17"/>
  <c r="FO26" i="17"/>
  <c r="FO30" i="17"/>
  <c r="FO31" i="17"/>
  <c r="FO29" i="17"/>
  <c r="FO33" i="17"/>
  <c r="FO41" i="17"/>
  <c r="FO28" i="17"/>
  <c r="FO25" i="17"/>
  <c r="FO23" i="17"/>
  <c r="FO27" i="17"/>
  <c r="FO19" i="17"/>
  <c r="FO24" i="17"/>
  <c r="FO21" i="17"/>
  <c r="FO15" i="17"/>
  <c r="FO20" i="17"/>
  <c r="FO18" i="17"/>
  <c r="FO12" i="17"/>
  <c r="FO11" i="17"/>
  <c r="FO14" i="17"/>
  <c r="FO17" i="17"/>
  <c r="FO13" i="17"/>
  <c r="FO22" i="17"/>
  <c r="FO10" i="17"/>
  <c r="FP8" i="17"/>
  <c r="FP16" i="17" s="1"/>
  <c r="FP50" i="17" l="1"/>
  <c r="FP48" i="17"/>
  <c r="FP47" i="17"/>
  <c r="FP44" i="17"/>
  <c r="FP45" i="17"/>
  <c r="FP49" i="17"/>
  <c r="FP42" i="17"/>
  <c r="FP40" i="17"/>
  <c r="FP46" i="17"/>
  <c r="FP38" i="17"/>
  <c r="FP37" i="17"/>
  <c r="FP39" i="17"/>
  <c r="FP43" i="17"/>
  <c r="FP34" i="17"/>
  <c r="FP36" i="17"/>
  <c r="FP41" i="17"/>
  <c r="FP32" i="17"/>
  <c r="FP31" i="17"/>
  <c r="FP30" i="17"/>
  <c r="FP35" i="17"/>
  <c r="FP29" i="17"/>
  <c r="FP33" i="17"/>
  <c r="FP26" i="17"/>
  <c r="FP23" i="17"/>
  <c r="FP27" i="17"/>
  <c r="FP24" i="17"/>
  <c r="FP25" i="17"/>
  <c r="FP21" i="17"/>
  <c r="FP28" i="17"/>
  <c r="FP15" i="17"/>
  <c r="FP20" i="17"/>
  <c r="FP18" i="17"/>
  <c r="FP12" i="17"/>
  <c r="FP19" i="17"/>
  <c r="FP14" i="17"/>
  <c r="FP17" i="17"/>
  <c r="FP11" i="17"/>
  <c r="FP13" i="17"/>
  <c r="FP22" i="17"/>
  <c r="FP10" i="17"/>
  <c r="FQ8" i="17"/>
  <c r="FQ16" i="17" s="1"/>
  <c r="FQ50" i="17" l="1"/>
  <c r="FQ45" i="17"/>
  <c r="FQ48" i="17"/>
  <c r="FQ44" i="17"/>
  <c r="FQ40" i="17"/>
  <c r="FQ42" i="17"/>
  <c r="FQ39" i="17"/>
  <c r="FQ47" i="17"/>
  <c r="FQ46" i="17"/>
  <c r="FQ38" i="17"/>
  <c r="FQ49" i="17"/>
  <c r="FQ43" i="17"/>
  <c r="FQ34" i="17"/>
  <c r="FQ36" i="17"/>
  <c r="FQ41" i="17"/>
  <c r="FQ37" i="17"/>
  <c r="FQ35" i="17"/>
  <c r="FQ31" i="17"/>
  <c r="FQ29" i="17"/>
  <c r="FQ33" i="17"/>
  <c r="FQ25" i="17"/>
  <c r="FQ32" i="17"/>
  <c r="FQ27" i="17"/>
  <c r="FQ19" i="17"/>
  <c r="FQ26" i="17"/>
  <c r="FQ24" i="17"/>
  <c r="FQ21" i="17"/>
  <c r="FQ15" i="17"/>
  <c r="FQ20" i="17"/>
  <c r="FQ18" i="17"/>
  <c r="FQ28" i="17"/>
  <c r="FQ14" i="17"/>
  <c r="FQ17" i="17"/>
  <c r="FQ11" i="17"/>
  <c r="FQ30" i="17"/>
  <c r="FQ23" i="17"/>
  <c r="FQ12" i="17"/>
  <c r="FQ13" i="17"/>
  <c r="FQ22" i="17"/>
  <c r="FQ10" i="17"/>
  <c r="FR8" i="17"/>
  <c r="FR16" i="17" s="1"/>
  <c r="FR50" i="17" l="1"/>
  <c r="FR47" i="17"/>
  <c r="FR48" i="17"/>
  <c r="FR45" i="17"/>
  <c r="FR49" i="17"/>
  <c r="FR42" i="17"/>
  <c r="FR46" i="17"/>
  <c r="FR40" i="17"/>
  <c r="FR38" i="17"/>
  <c r="FR39" i="17"/>
  <c r="FR43" i="17"/>
  <c r="FR34" i="17"/>
  <c r="FR36" i="17"/>
  <c r="FR41" i="17"/>
  <c r="FR44" i="17"/>
  <c r="FR37" i="17"/>
  <c r="FR31" i="17"/>
  <c r="FR35" i="17"/>
  <c r="FR29" i="17"/>
  <c r="FR25" i="17"/>
  <c r="FR33" i="17"/>
  <c r="FR26" i="17"/>
  <c r="FR32" i="17"/>
  <c r="FR24" i="17"/>
  <c r="FR27" i="17"/>
  <c r="FR21" i="17"/>
  <c r="FR15" i="17"/>
  <c r="FR20" i="17"/>
  <c r="FR18" i="17"/>
  <c r="FR22" i="17"/>
  <c r="FR17" i="17"/>
  <c r="FR14" i="17"/>
  <c r="FR19" i="17"/>
  <c r="FR11" i="17"/>
  <c r="FR30" i="17"/>
  <c r="FR28" i="17"/>
  <c r="FR23" i="17"/>
  <c r="FR12" i="17"/>
  <c r="FR13" i="17"/>
  <c r="FR10" i="17"/>
  <c r="FS8" i="17"/>
  <c r="FS16" i="17" s="1"/>
  <c r="FS47" i="17" l="1"/>
  <c r="FS50" i="17"/>
  <c r="FS48" i="17"/>
  <c r="FS42" i="17"/>
  <c r="FS49" i="17"/>
  <c r="FS46" i="17"/>
  <c r="FS45" i="17"/>
  <c r="FS40" i="17"/>
  <c r="FS38" i="17"/>
  <c r="FS39" i="17"/>
  <c r="FS43" i="17"/>
  <c r="FS34" i="17"/>
  <c r="FS36" i="17"/>
  <c r="FS41" i="17"/>
  <c r="FS44" i="17"/>
  <c r="FS37" i="17"/>
  <c r="FS31" i="17"/>
  <c r="FS35" i="17"/>
  <c r="FS33" i="17"/>
  <c r="FS29" i="17"/>
  <c r="FS32" i="17"/>
  <c r="FS25" i="17"/>
  <c r="FS26" i="17"/>
  <c r="FS24" i="17"/>
  <c r="FS15" i="17"/>
  <c r="FS20" i="17"/>
  <c r="FS18" i="17"/>
  <c r="FS22" i="17"/>
  <c r="FS17" i="17"/>
  <c r="FS21" i="17"/>
  <c r="FS14" i="17"/>
  <c r="FS19" i="17"/>
  <c r="FS11" i="17"/>
  <c r="FS30" i="17"/>
  <c r="FS28" i="17"/>
  <c r="FS23" i="17"/>
  <c r="FS13" i="17"/>
  <c r="FS12" i="17"/>
  <c r="FS27" i="17"/>
  <c r="FT8" i="17"/>
  <c r="FT16" i="17" s="1"/>
  <c r="FS10" i="17"/>
  <c r="FT47" i="17" l="1"/>
  <c r="FT50" i="17"/>
  <c r="FT49" i="17"/>
  <c r="FT48" i="17"/>
  <c r="FT42" i="17"/>
  <c r="FT46" i="17"/>
  <c r="FT45" i="17"/>
  <c r="FT44" i="17"/>
  <c r="FT43" i="17"/>
  <c r="FT38" i="17"/>
  <c r="FT37" i="17"/>
  <c r="FT39" i="17"/>
  <c r="FT34" i="17"/>
  <c r="FT36" i="17"/>
  <c r="FT41" i="17"/>
  <c r="FT31" i="17"/>
  <c r="FT35" i="17"/>
  <c r="FT33" i="17"/>
  <c r="FT29" i="17"/>
  <c r="FT28" i="17"/>
  <c r="FT32" i="17"/>
  <c r="FT25" i="17"/>
  <c r="FT26" i="17"/>
  <c r="FT24" i="17"/>
  <c r="FT20" i="17"/>
  <c r="FT18" i="17"/>
  <c r="FT30" i="17"/>
  <c r="FT19" i="17"/>
  <c r="FT11" i="17"/>
  <c r="FT40" i="17"/>
  <c r="FT17" i="17"/>
  <c r="FT15" i="17"/>
  <c r="FT13" i="17"/>
  <c r="FT21" i="17"/>
  <c r="FT12" i="17"/>
  <c r="FT23" i="17"/>
  <c r="FT22" i="17"/>
  <c r="FT14" i="17"/>
  <c r="FT27" i="17"/>
  <c r="FT10" i="17"/>
  <c r="FU8" i="17"/>
  <c r="FU16" i="17" s="1"/>
  <c r="FU50" i="17" l="1"/>
  <c r="FU47" i="17"/>
  <c r="FU49" i="17"/>
  <c r="FU48" i="17"/>
  <c r="FU46" i="17"/>
  <c r="FU42" i="17"/>
  <c r="FU45" i="17"/>
  <c r="FU43" i="17"/>
  <c r="FU44" i="17"/>
  <c r="FU39" i="17"/>
  <c r="FU41" i="17"/>
  <c r="FU36" i="17"/>
  <c r="FU37" i="17"/>
  <c r="FU38" i="17"/>
  <c r="FU31" i="17"/>
  <c r="FU35" i="17"/>
  <c r="FU34" i="17"/>
  <c r="FU33" i="17"/>
  <c r="FU28" i="17"/>
  <c r="FU32" i="17"/>
  <c r="FU24" i="17"/>
  <c r="FU26" i="17"/>
  <c r="FU25" i="17"/>
  <c r="FU29" i="17"/>
  <c r="FU20" i="17"/>
  <c r="FU18" i="17"/>
  <c r="FU14" i="17"/>
  <c r="FU30" i="17"/>
  <c r="FU19" i="17"/>
  <c r="FU11" i="17"/>
  <c r="FU40" i="17"/>
  <c r="FU17" i="17"/>
  <c r="FU15" i="17"/>
  <c r="FU21" i="17"/>
  <c r="FU23" i="17"/>
  <c r="FU22" i="17"/>
  <c r="FU13" i="17"/>
  <c r="FU27" i="17"/>
  <c r="FU12" i="17"/>
  <c r="FV8" i="17"/>
  <c r="FV16" i="17" s="1"/>
  <c r="FU10" i="17"/>
  <c r="FV50" i="17" l="1"/>
  <c r="FV47" i="17"/>
  <c r="FV49" i="17"/>
  <c r="FV44" i="17"/>
  <c r="FV46" i="17"/>
  <c r="FV39" i="17"/>
  <c r="FV42" i="17"/>
  <c r="FV45" i="17"/>
  <c r="FV38" i="17"/>
  <c r="FV43" i="17"/>
  <c r="FV48" i="17"/>
  <c r="FV41" i="17"/>
  <c r="FV36" i="17"/>
  <c r="FV37" i="17"/>
  <c r="FV35" i="17"/>
  <c r="FV31" i="17"/>
  <c r="FV33" i="17"/>
  <c r="FV28" i="17"/>
  <c r="FV32" i="17"/>
  <c r="FV34" i="17"/>
  <c r="FV26" i="17"/>
  <c r="FV29" i="17"/>
  <c r="FV18" i="17"/>
  <c r="FV25" i="17"/>
  <c r="FV21" i="17"/>
  <c r="FV20" i="17"/>
  <c r="FV22" i="17"/>
  <c r="FV24" i="17"/>
  <c r="FV14" i="17"/>
  <c r="FV30" i="17"/>
  <c r="FV27" i="17"/>
  <c r="FV40" i="17"/>
  <c r="FV19" i="17"/>
  <c r="FV17" i="17"/>
  <c r="FV23" i="17"/>
  <c r="FV11" i="17"/>
  <c r="FV15" i="17"/>
  <c r="FV13" i="17"/>
  <c r="FV12" i="17"/>
  <c r="FV10" i="17"/>
  <c r="FW8" i="17"/>
  <c r="FW16" i="17" s="1"/>
  <c r="FW50" i="17" l="1"/>
  <c r="FW47" i="17"/>
  <c r="FW49" i="17"/>
  <c r="FW46" i="17"/>
  <c r="FW42" i="17"/>
  <c r="FW45" i="17"/>
  <c r="FW43" i="17"/>
  <c r="FW48" i="17"/>
  <c r="FW44" i="17"/>
  <c r="FW39" i="17"/>
  <c r="FW41" i="17"/>
  <c r="FW37" i="17"/>
  <c r="FW35" i="17"/>
  <c r="FW38" i="17"/>
  <c r="FW30" i="17"/>
  <c r="FW33" i="17"/>
  <c r="FW36" i="17"/>
  <c r="FW28" i="17"/>
  <c r="FW32" i="17"/>
  <c r="FW34" i="17"/>
  <c r="FW26" i="17"/>
  <c r="FW24" i="17"/>
  <c r="FW27" i="17"/>
  <c r="FW25" i="17"/>
  <c r="FW21" i="17"/>
  <c r="FW22" i="17"/>
  <c r="FW29" i="17"/>
  <c r="FW40" i="17"/>
  <c r="FW31" i="17"/>
  <c r="FW23" i="17"/>
  <c r="FW20" i="17"/>
  <c r="FW18" i="17"/>
  <c r="FW19" i="17"/>
  <c r="FW11" i="17"/>
  <c r="FW14" i="17"/>
  <c r="FW17" i="17"/>
  <c r="FW15" i="17"/>
  <c r="FW13" i="17"/>
  <c r="FW12" i="17"/>
  <c r="FX8" i="17"/>
  <c r="FX16" i="17" s="1"/>
  <c r="FW10" i="17"/>
  <c r="FX50" i="17" l="1"/>
  <c r="FX49" i="17"/>
  <c r="FX46" i="17"/>
  <c r="FX45" i="17"/>
  <c r="FX43" i="17"/>
  <c r="FX48" i="17"/>
  <c r="FX47" i="17"/>
  <c r="FX41" i="17"/>
  <c r="FX38" i="17"/>
  <c r="FX44" i="17"/>
  <c r="FX39" i="17"/>
  <c r="FX36" i="17"/>
  <c r="FX42" i="17"/>
  <c r="FX37" i="17"/>
  <c r="FX35" i="17"/>
  <c r="FX30" i="17"/>
  <c r="FX33" i="17"/>
  <c r="FX32" i="17"/>
  <c r="FX28" i="17"/>
  <c r="FX26" i="17"/>
  <c r="FX34" i="17"/>
  <c r="FX24" i="17"/>
  <c r="FX29" i="17"/>
  <c r="FX31" i="17"/>
  <c r="FX25" i="17"/>
  <c r="FX21" i="17"/>
  <c r="FX23" i="17"/>
  <c r="FX14" i="17"/>
  <c r="FX40" i="17"/>
  <c r="FX27" i="17"/>
  <c r="FX18" i="17"/>
  <c r="FX15" i="17"/>
  <c r="FX13" i="17"/>
  <c r="FX20" i="17"/>
  <c r="FX12" i="17"/>
  <c r="FX11" i="17"/>
  <c r="FX22" i="17"/>
  <c r="FX17" i="17"/>
  <c r="FX19" i="17"/>
  <c r="FY8" i="17"/>
  <c r="FY16" i="17" s="1"/>
  <c r="FX10" i="17"/>
  <c r="FY50" i="17" l="1"/>
  <c r="FY47" i="17"/>
  <c r="FY49" i="17"/>
  <c r="FY46" i="17"/>
  <c r="FY45" i="17"/>
  <c r="FY43" i="17"/>
  <c r="FY48" i="17"/>
  <c r="FY41" i="17"/>
  <c r="FY44" i="17"/>
  <c r="FY42" i="17"/>
  <c r="FY39" i="17"/>
  <c r="FY37" i="17"/>
  <c r="FY38" i="17"/>
  <c r="FY30" i="17"/>
  <c r="FY35" i="17"/>
  <c r="FY33" i="17"/>
  <c r="FY34" i="17"/>
  <c r="FY32" i="17"/>
  <c r="FY36" i="17"/>
  <c r="FY28" i="17"/>
  <c r="FY27" i="17"/>
  <c r="FY29" i="17"/>
  <c r="FY31" i="17"/>
  <c r="FY26" i="17"/>
  <c r="FY25" i="17"/>
  <c r="FY21" i="17"/>
  <c r="FY23" i="17"/>
  <c r="FY40" i="17"/>
  <c r="FY17" i="17"/>
  <c r="FY15" i="17"/>
  <c r="FY13" i="17"/>
  <c r="FY20" i="17"/>
  <c r="FY12" i="17"/>
  <c r="FY24" i="17"/>
  <c r="FY11" i="17"/>
  <c r="FY22" i="17"/>
  <c r="FY14" i="17"/>
  <c r="FY18" i="17"/>
  <c r="FY19" i="17"/>
  <c r="FZ8" i="17"/>
  <c r="FZ16" i="17" s="1"/>
  <c r="FY10" i="17"/>
  <c r="FZ49" i="17" l="1"/>
  <c r="FZ50" i="17"/>
  <c r="FZ48" i="17"/>
  <c r="FZ46" i="17"/>
  <c r="FZ45" i="17"/>
  <c r="FZ43" i="17"/>
  <c r="FZ47" i="17"/>
  <c r="FZ41" i="17"/>
  <c r="FZ44" i="17"/>
  <c r="FZ42" i="17"/>
  <c r="FZ39" i="17"/>
  <c r="FZ37" i="17"/>
  <c r="FZ38" i="17"/>
  <c r="FZ30" i="17"/>
  <c r="FZ35" i="17"/>
  <c r="FZ33" i="17"/>
  <c r="FZ34" i="17"/>
  <c r="FZ36" i="17"/>
  <c r="FZ32" i="17"/>
  <c r="FZ29" i="17"/>
  <c r="FZ31" i="17"/>
  <c r="FZ23" i="17"/>
  <c r="FZ40" i="17"/>
  <c r="FZ26" i="17"/>
  <c r="FZ25" i="17"/>
  <c r="FZ27" i="17"/>
  <c r="FZ17" i="17"/>
  <c r="FZ22" i="17"/>
  <c r="FZ19" i="17"/>
  <c r="FZ28" i="17"/>
  <c r="FZ15" i="17"/>
  <c r="FZ13" i="17"/>
  <c r="FZ21" i="17"/>
  <c r="FZ20" i="17"/>
  <c r="FZ14" i="17"/>
  <c r="FZ18" i="17"/>
  <c r="FZ12" i="17"/>
  <c r="FZ11" i="17"/>
  <c r="FZ24" i="17"/>
  <c r="GA8" i="17"/>
  <c r="GA16" i="17" s="1"/>
  <c r="FZ10" i="17"/>
  <c r="GA49" i="17" l="1"/>
  <c r="GA48" i="17"/>
  <c r="GA46" i="17"/>
  <c r="GA50" i="17"/>
  <c r="GA45" i="17"/>
  <c r="GA38" i="17"/>
  <c r="GA43" i="17"/>
  <c r="GA47" i="17"/>
  <c r="GA41" i="17"/>
  <c r="GA44" i="17"/>
  <c r="GA42" i="17"/>
  <c r="GA40" i="17"/>
  <c r="GA37" i="17"/>
  <c r="GA35" i="17"/>
  <c r="GA33" i="17"/>
  <c r="GA34" i="17"/>
  <c r="GA36" i="17"/>
  <c r="GA32" i="17"/>
  <c r="GA29" i="17"/>
  <c r="GA31" i="17"/>
  <c r="GA27" i="17"/>
  <c r="GA39" i="17"/>
  <c r="GA21" i="17"/>
  <c r="GA17" i="17"/>
  <c r="GA20" i="17"/>
  <c r="GA30" i="17"/>
  <c r="GA22" i="17"/>
  <c r="GA19" i="17"/>
  <c r="GA23" i="17"/>
  <c r="GA25" i="17"/>
  <c r="GA28" i="17"/>
  <c r="GA15" i="17"/>
  <c r="GA13" i="17"/>
  <c r="GA18" i="17"/>
  <c r="GA14" i="17"/>
  <c r="GA12" i="17"/>
  <c r="GA24" i="17"/>
  <c r="GA11" i="17"/>
  <c r="GA26" i="17"/>
  <c r="GA10" i="17"/>
  <c r="GB8" i="17"/>
  <c r="GB16" i="17" s="1"/>
  <c r="GB49" i="17" l="1"/>
  <c r="GB50" i="17"/>
  <c r="GB48" i="17"/>
  <c r="GB46" i="17"/>
  <c r="GB43" i="17"/>
  <c r="GB47" i="17"/>
  <c r="GB44" i="17"/>
  <c r="GB42" i="17"/>
  <c r="GB45" i="17"/>
  <c r="GB40" i="17"/>
  <c r="GB41" i="17"/>
  <c r="GB38" i="17"/>
  <c r="GB35" i="17"/>
  <c r="GB33" i="17"/>
  <c r="GB34" i="17"/>
  <c r="GB36" i="17"/>
  <c r="GB32" i="17"/>
  <c r="GB27" i="17"/>
  <c r="GB30" i="17"/>
  <c r="GB29" i="17"/>
  <c r="GB37" i="17"/>
  <c r="GB31" i="17"/>
  <c r="GB39" i="17"/>
  <c r="GB21" i="17"/>
  <c r="GB20" i="17"/>
  <c r="GB22" i="17"/>
  <c r="GB17" i="17"/>
  <c r="GB19" i="17"/>
  <c r="GB24" i="17"/>
  <c r="GB15" i="17"/>
  <c r="GB25" i="17"/>
  <c r="GB28" i="17"/>
  <c r="GB13" i="17"/>
  <c r="GB23" i="17"/>
  <c r="GB14" i="17"/>
  <c r="GB18" i="17"/>
  <c r="GB26" i="17"/>
  <c r="GB11" i="17"/>
  <c r="GB12" i="17"/>
  <c r="GB10" i="17"/>
  <c r="GC8" i="17"/>
  <c r="GC16" i="17" s="1"/>
  <c r="GC49" i="17" l="1"/>
  <c r="GC48" i="17"/>
  <c r="GC50" i="17"/>
  <c r="GC43" i="17"/>
  <c r="GC46" i="17"/>
  <c r="GC44" i="17"/>
  <c r="GC47" i="17"/>
  <c r="GC41" i="17"/>
  <c r="GC45" i="17"/>
  <c r="GC38" i="17"/>
  <c r="GC35" i="17"/>
  <c r="GC40" i="17"/>
  <c r="GC42" i="17"/>
  <c r="GC33" i="17"/>
  <c r="GC34" i="17"/>
  <c r="GC36" i="17"/>
  <c r="GC32" i="17"/>
  <c r="GC39" i="17"/>
  <c r="GC30" i="17"/>
  <c r="GC29" i="17"/>
  <c r="GC37" i="17"/>
  <c r="GC24" i="17"/>
  <c r="GC31" i="17"/>
  <c r="GC23" i="17"/>
  <c r="GC20" i="17"/>
  <c r="GC22" i="17"/>
  <c r="GC28" i="17"/>
  <c r="GC27" i="17"/>
  <c r="GC17" i="17"/>
  <c r="GC19" i="17"/>
  <c r="GC25" i="17"/>
  <c r="GC13" i="17"/>
  <c r="GC15" i="17"/>
  <c r="GC12" i="17"/>
  <c r="GC11" i="17"/>
  <c r="GC26" i="17"/>
  <c r="GC14" i="17"/>
  <c r="GC18" i="17"/>
  <c r="GC21" i="17"/>
  <c r="GC10" i="17"/>
  <c r="GD8" i="17"/>
  <c r="GD16" i="17" s="1"/>
  <c r="GD49" i="17" l="1"/>
  <c r="GD48" i="17"/>
  <c r="GD46" i="17"/>
  <c r="GD50" i="17"/>
  <c r="GD47" i="17"/>
  <c r="GD45" i="17"/>
  <c r="GD43" i="17"/>
  <c r="GD40" i="17"/>
  <c r="GD41" i="17"/>
  <c r="GD44" i="17"/>
  <c r="GD38" i="17"/>
  <c r="GD35" i="17"/>
  <c r="GD42" i="17"/>
  <c r="GD33" i="17"/>
  <c r="GD34" i="17"/>
  <c r="GD36" i="17"/>
  <c r="GD32" i="17"/>
  <c r="GD27" i="17"/>
  <c r="GD39" i="17"/>
  <c r="GD37" i="17"/>
  <c r="GD31" i="17"/>
  <c r="GD29" i="17"/>
  <c r="GD28" i="17"/>
  <c r="GD20" i="17"/>
  <c r="GD22" i="17"/>
  <c r="GD30" i="17"/>
  <c r="GD17" i="17"/>
  <c r="GD19" i="17"/>
  <c r="GD24" i="17"/>
  <c r="GD26" i="17"/>
  <c r="GD18" i="17"/>
  <c r="GD25" i="17"/>
  <c r="GD13" i="17"/>
  <c r="GD12" i="17"/>
  <c r="GD15" i="17"/>
  <c r="GD23" i="17"/>
  <c r="GD11" i="17"/>
  <c r="GD14" i="17"/>
  <c r="GD21" i="17"/>
  <c r="GE8" i="17"/>
  <c r="GE16" i="17" s="1"/>
  <c r="GD10" i="17"/>
  <c r="GE48" i="17" l="1"/>
  <c r="GE49" i="17"/>
  <c r="GE46" i="17"/>
  <c r="GE50" i="17"/>
  <c r="GE47" i="17"/>
  <c r="GE43" i="17"/>
  <c r="GE45" i="17"/>
  <c r="GE44" i="17"/>
  <c r="GE40" i="17"/>
  <c r="GE41" i="17"/>
  <c r="GE38" i="17"/>
  <c r="GE35" i="17"/>
  <c r="GE42" i="17"/>
  <c r="GE36" i="17"/>
  <c r="GE33" i="17"/>
  <c r="GE34" i="17"/>
  <c r="GE32" i="17"/>
  <c r="GE39" i="17"/>
  <c r="GE37" i="17"/>
  <c r="GE31" i="17"/>
  <c r="GE29" i="17"/>
  <c r="GE27" i="17"/>
  <c r="GE30" i="17"/>
  <c r="GE22" i="17"/>
  <c r="GE28" i="17"/>
  <c r="GE17" i="17"/>
  <c r="GE19" i="17"/>
  <c r="GE24" i="17"/>
  <c r="GE26" i="17"/>
  <c r="GE18" i="17"/>
  <c r="GE13" i="17"/>
  <c r="GE15" i="17"/>
  <c r="GE23" i="17"/>
  <c r="GE12" i="17"/>
  <c r="GE21" i="17"/>
  <c r="GE14" i="17"/>
  <c r="GE11" i="17"/>
  <c r="GE20" i="17"/>
  <c r="GE25" i="17"/>
  <c r="GF8" i="17"/>
  <c r="GF16" i="17" s="1"/>
  <c r="GE10" i="17"/>
  <c r="GF48" i="17" l="1"/>
  <c r="GF46" i="17"/>
  <c r="GF50" i="17"/>
  <c r="GF47" i="17"/>
  <c r="GF49" i="17"/>
  <c r="GF44" i="17"/>
  <c r="GF45" i="17"/>
  <c r="GF41" i="17"/>
  <c r="GF37" i="17"/>
  <c r="GF40" i="17"/>
  <c r="GF39" i="17"/>
  <c r="GF42" i="17"/>
  <c r="GF43" i="17"/>
  <c r="GF38" i="17"/>
  <c r="GF35" i="17"/>
  <c r="GF36" i="17"/>
  <c r="GF34" i="17"/>
  <c r="GF32" i="17"/>
  <c r="GF29" i="17"/>
  <c r="GF31" i="17"/>
  <c r="GF27" i="17"/>
  <c r="GF25" i="17"/>
  <c r="GF20" i="17"/>
  <c r="GF23" i="17"/>
  <c r="GF24" i="17"/>
  <c r="GF33" i="17"/>
  <c r="GF19" i="17"/>
  <c r="GF30" i="17"/>
  <c r="GF26" i="17"/>
  <c r="GF22" i="17"/>
  <c r="GF21" i="17"/>
  <c r="GF15" i="17"/>
  <c r="GF28" i="17"/>
  <c r="GF12" i="17"/>
  <c r="GF14" i="17"/>
  <c r="GF18" i="17"/>
  <c r="GF17" i="17"/>
  <c r="GF13" i="17"/>
  <c r="GF11" i="17"/>
  <c r="GG8" i="17"/>
  <c r="GG16" i="17" s="1"/>
  <c r="GF10" i="17"/>
  <c r="GG48" i="17" l="1"/>
  <c r="GG49" i="17"/>
  <c r="GG46" i="17"/>
  <c r="GG47" i="17"/>
  <c r="GG44" i="17"/>
  <c r="GG45" i="17"/>
  <c r="GG40" i="17"/>
  <c r="GG42" i="17"/>
  <c r="GG41" i="17"/>
  <c r="GG43" i="17"/>
  <c r="GG50" i="17"/>
  <c r="GG38" i="17"/>
  <c r="GG35" i="17"/>
  <c r="GG36" i="17"/>
  <c r="GG32" i="17"/>
  <c r="GG26" i="17"/>
  <c r="GG39" i="17"/>
  <c r="GG37" i="17"/>
  <c r="GG30" i="17"/>
  <c r="GG29" i="17"/>
  <c r="GG28" i="17"/>
  <c r="GG34" i="17"/>
  <c r="GG31" i="17"/>
  <c r="GG27" i="17"/>
  <c r="GG33" i="17"/>
  <c r="GG20" i="17"/>
  <c r="GG22" i="17"/>
  <c r="GG23" i="17"/>
  <c r="GG19" i="17"/>
  <c r="GG24" i="17"/>
  <c r="GG21" i="17"/>
  <c r="GG12" i="17"/>
  <c r="GG14" i="17"/>
  <c r="GG18" i="17"/>
  <c r="GG17" i="17"/>
  <c r="GG13" i="17"/>
  <c r="GG15" i="17"/>
  <c r="GG11" i="17"/>
  <c r="GG25" i="17"/>
  <c r="GG10" i="17"/>
  <c r="GH8" i="17"/>
  <c r="GH16" i="17" s="1"/>
  <c r="GH48" i="17" l="1"/>
  <c r="GH47" i="17"/>
  <c r="GH49" i="17"/>
  <c r="GH43" i="17"/>
  <c r="GH44" i="17"/>
  <c r="GH45" i="17"/>
  <c r="GH46" i="17"/>
  <c r="GH50" i="17"/>
  <c r="GH40" i="17"/>
  <c r="GH42" i="17"/>
  <c r="GH41" i="17"/>
  <c r="GH38" i="17"/>
  <c r="GH35" i="17"/>
  <c r="GH36" i="17"/>
  <c r="GH32" i="17"/>
  <c r="GH39" i="17"/>
  <c r="GH37" i="17"/>
  <c r="GH30" i="17"/>
  <c r="GH29" i="17"/>
  <c r="GH34" i="17"/>
  <c r="GH31" i="17"/>
  <c r="GH23" i="17"/>
  <c r="GH27" i="17"/>
  <c r="GH22" i="17"/>
  <c r="GH25" i="17"/>
  <c r="GH33" i="17"/>
  <c r="GH28" i="17"/>
  <c r="GH26" i="17"/>
  <c r="GH24" i="17"/>
  <c r="GH12" i="17"/>
  <c r="GH21" i="17"/>
  <c r="GH11" i="17"/>
  <c r="GH18" i="17"/>
  <c r="GH14" i="17"/>
  <c r="GH17" i="17"/>
  <c r="GH13" i="17"/>
  <c r="GH15" i="17"/>
  <c r="GH20" i="17"/>
  <c r="GH19" i="17"/>
  <c r="GI8" i="17"/>
  <c r="GI16" i="17" s="1"/>
  <c r="GH10" i="17"/>
  <c r="GD7" i="17"/>
  <c r="GI48" i="17" l="1"/>
  <c r="GI46" i="17"/>
  <c r="GI45" i="17"/>
  <c r="GI47" i="17"/>
  <c r="GI49" i="17"/>
  <c r="GI44" i="17"/>
  <c r="GI50" i="17"/>
  <c r="GI42" i="17"/>
  <c r="GI40" i="17"/>
  <c r="GI41" i="17"/>
  <c r="GI43" i="17"/>
  <c r="GI38" i="17"/>
  <c r="GI35" i="17"/>
  <c r="GI34" i="17"/>
  <c r="GI39" i="17"/>
  <c r="GI36" i="17"/>
  <c r="GI32" i="17"/>
  <c r="GI26" i="17"/>
  <c r="GI37" i="17"/>
  <c r="GI30" i="17"/>
  <c r="GI29" i="17"/>
  <c r="GI31" i="17"/>
  <c r="GI27" i="17"/>
  <c r="GI25" i="17"/>
  <c r="GI33" i="17"/>
  <c r="GI22" i="17"/>
  <c r="GI19" i="17"/>
  <c r="GI23" i="17"/>
  <c r="GI24" i="17"/>
  <c r="GI15" i="17"/>
  <c r="GI28" i="17"/>
  <c r="GI12" i="17"/>
  <c r="GI21" i="17"/>
  <c r="GI11" i="17"/>
  <c r="GI20" i="17"/>
  <c r="GI14" i="17"/>
  <c r="GI18" i="17"/>
  <c r="GI13" i="17"/>
  <c r="GI17" i="17"/>
  <c r="GJ8" i="17"/>
  <c r="GJ16" i="17" s="1"/>
  <c r="GI10" i="17"/>
  <c r="GJ48" i="17" l="1"/>
  <c r="GJ47" i="17"/>
  <c r="GJ49" i="17"/>
  <c r="GJ44" i="17"/>
  <c r="GJ45" i="17"/>
  <c r="GJ46" i="17"/>
  <c r="GJ50" i="17"/>
  <c r="GJ42" i="17"/>
  <c r="GJ40" i="17"/>
  <c r="GJ41" i="17"/>
  <c r="GJ43" i="17"/>
  <c r="GJ34" i="17"/>
  <c r="GJ36" i="17"/>
  <c r="GJ39" i="17"/>
  <c r="GJ37" i="17"/>
  <c r="GJ32" i="17"/>
  <c r="GJ31" i="17"/>
  <c r="GJ30" i="17"/>
  <c r="GJ29" i="17"/>
  <c r="GJ27" i="17"/>
  <c r="GJ25" i="17"/>
  <c r="GJ33" i="17"/>
  <c r="GJ28" i="17"/>
  <c r="GJ38" i="17"/>
  <c r="GJ23" i="17"/>
  <c r="GJ26" i="17"/>
  <c r="GJ21" i="17"/>
  <c r="GJ35" i="17"/>
  <c r="GJ24" i="17"/>
  <c r="GJ22" i="17"/>
  <c r="GJ15" i="17"/>
  <c r="GJ18" i="17"/>
  <c r="GJ20" i="17"/>
  <c r="GJ12" i="17"/>
  <c r="GJ11" i="17"/>
  <c r="GJ14" i="17"/>
  <c r="GJ17" i="17"/>
  <c r="GJ13" i="17"/>
  <c r="GJ19" i="17"/>
  <c r="GK8" i="17"/>
  <c r="GK16" i="17" s="1"/>
  <c r="GJ10" i="17"/>
  <c r="GK45" i="17" l="1"/>
  <c r="GK47" i="17"/>
  <c r="GK49" i="17"/>
  <c r="GK44" i="17"/>
  <c r="GK46" i="17"/>
  <c r="GK50" i="17"/>
  <c r="GK40" i="17"/>
  <c r="GK48" i="17"/>
  <c r="GK39" i="17"/>
  <c r="GK42" i="17"/>
  <c r="GK41" i="17"/>
  <c r="GK43" i="17"/>
  <c r="GK37" i="17"/>
  <c r="GK34" i="17"/>
  <c r="GK36" i="17"/>
  <c r="GK30" i="17"/>
  <c r="GK29" i="17"/>
  <c r="GK31" i="17"/>
  <c r="GK27" i="17"/>
  <c r="GK33" i="17"/>
  <c r="GK28" i="17"/>
  <c r="GK19" i="17"/>
  <c r="GK23" i="17"/>
  <c r="GK26" i="17"/>
  <c r="GK21" i="17"/>
  <c r="GK25" i="17"/>
  <c r="GK32" i="17"/>
  <c r="GK35" i="17"/>
  <c r="GK24" i="17"/>
  <c r="GK22" i="17"/>
  <c r="GK15" i="17"/>
  <c r="GK18" i="17"/>
  <c r="GK20" i="17"/>
  <c r="GK38" i="17"/>
  <c r="GK11" i="17"/>
  <c r="GK14" i="17"/>
  <c r="GK17" i="17"/>
  <c r="GK13" i="17"/>
  <c r="GK12" i="17"/>
  <c r="GL8" i="17"/>
  <c r="GL16" i="17" s="1"/>
  <c r="GK10" i="17"/>
  <c r="GL48" i="17" l="1"/>
  <c r="GL47" i="17"/>
  <c r="GL49" i="17"/>
  <c r="GL46" i="17"/>
  <c r="GL45" i="17"/>
  <c r="GL50" i="17"/>
  <c r="GL42" i="17"/>
  <c r="GL44" i="17"/>
  <c r="GL41" i="17"/>
  <c r="GL43" i="17"/>
  <c r="GL38" i="17"/>
  <c r="GL34" i="17"/>
  <c r="GL36" i="17"/>
  <c r="GL40" i="17"/>
  <c r="GL37" i="17"/>
  <c r="GL31" i="17"/>
  <c r="GL39" i="17"/>
  <c r="GL30" i="17"/>
  <c r="GL29" i="17"/>
  <c r="GL25" i="17"/>
  <c r="GL33" i="17"/>
  <c r="GL28" i="17"/>
  <c r="GL32" i="17"/>
  <c r="GL26" i="17"/>
  <c r="GL19" i="17"/>
  <c r="GL23" i="17"/>
  <c r="GL35" i="17"/>
  <c r="GL24" i="17"/>
  <c r="GL27" i="17"/>
  <c r="GL22" i="17"/>
  <c r="GL15" i="17"/>
  <c r="GL18" i="17"/>
  <c r="GL11" i="17"/>
  <c r="GL21" i="17"/>
  <c r="GL14" i="17"/>
  <c r="GL20" i="17"/>
  <c r="GL17" i="17"/>
  <c r="GL13" i="17"/>
  <c r="GL12" i="17"/>
  <c r="GL10" i="17"/>
  <c r="GM8" i="17"/>
  <c r="GM16" i="17" s="1"/>
  <c r="GM47" i="17" l="1"/>
  <c r="GM49" i="17"/>
  <c r="GM42" i="17"/>
  <c r="GM46" i="17"/>
  <c r="GM45" i="17"/>
  <c r="GM50" i="17"/>
  <c r="GM48" i="17"/>
  <c r="GM44" i="17"/>
  <c r="GM41" i="17"/>
  <c r="GM43" i="17"/>
  <c r="GM38" i="17"/>
  <c r="GM39" i="17"/>
  <c r="GM34" i="17"/>
  <c r="GM36" i="17"/>
  <c r="GM31" i="17"/>
  <c r="GM40" i="17"/>
  <c r="GM37" i="17"/>
  <c r="GM33" i="17"/>
  <c r="GM30" i="17"/>
  <c r="GM29" i="17"/>
  <c r="GM25" i="17"/>
  <c r="GM28" i="17"/>
  <c r="GM32" i="17"/>
  <c r="GM23" i="17"/>
  <c r="GM35" i="17"/>
  <c r="GM24" i="17"/>
  <c r="GM22" i="17"/>
  <c r="GM15" i="17"/>
  <c r="GM27" i="17"/>
  <c r="GM26" i="17"/>
  <c r="GM18" i="17"/>
  <c r="GM17" i="17"/>
  <c r="GM11" i="17"/>
  <c r="GM21" i="17"/>
  <c r="GM14" i="17"/>
  <c r="GM20" i="17"/>
  <c r="GM13" i="17"/>
  <c r="GM12" i="17"/>
  <c r="GM19" i="17"/>
  <c r="GN8" i="17"/>
  <c r="GN16" i="17" s="1"/>
  <c r="GM10" i="17"/>
  <c r="GN47" i="17" l="1"/>
  <c r="GN50" i="17"/>
  <c r="GN49" i="17"/>
  <c r="GN46" i="17"/>
  <c r="GN45" i="17"/>
  <c r="GN48" i="17"/>
  <c r="GN42" i="17"/>
  <c r="GN44" i="17"/>
  <c r="GN43" i="17"/>
  <c r="GN38" i="17"/>
  <c r="GN41" i="17"/>
  <c r="GN39" i="17"/>
  <c r="GN40" i="17"/>
  <c r="GN34" i="17"/>
  <c r="GN36" i="17"/>
  <c r="GN31" i="17"/>
  <c r="GN37" i="17"/>
  <c r="GN33" i="17"/>
  <c r="GN30" i="17"/>
  <c r="GN29" i="17"/>
  <c r="GN28" i="17"/>
  <c r="GN25" i="17"/>
  <c r="GN32" i="17"/>
  <c r="GN26" i="17"/>
  <c r="GN35" i="17"/>
  <c r="GN24" i="17"/>
  <c r="GN27" i="17"/>
  <c r="GN18" i="17"/>
  <c r="GN21" i="17"/>
  <c r="GN17" i="17"/>
  <c r="GN22" i="17"/>
  <c r="GN11" i="17"/>
  <c r="GN14" i="17"/>
  <c r="GN23" i="17"/>
  <c r="GN20" i="17"/>
  <c r="GN13" i="17"/>
  <c r="GN12" i="17"/>
  <c r="GN15" i="17"/>
  <c r="GN19" i="17"/>
  <c r="GN10" i="17"/>
  <c r="GO8" i="17"/>
  <c r="GO16" i="17" s="1"/>
  <c r="GO50" i="17" l="1"/>
  <c r="GO49" i="17"/>
  <c r="GO48" i="17"/>
  <c r="GO47" i="17"/>
  <c r="GO42" i="17"/>
  <c r="GO44" i="17"/>
  <c r="GO46" i="17"/>
  <c r="GO43" i="17"/>
  <c r="GO37" i="17"/>
  <c r="GO45" i="17"/>
  <c r="GO38" i="17"/>
  <c r="GO41" i="17"/>
  <c r="GO39" i="17"/>
  <c r="GO40" i="17"/>
  <c r="GO36" i="17"/>
  <c r="GO31" i="17"/>
  <c r="GO28" i="17"/>
  <c r="GO34" i="17"/>
  <c r="GO33" i="17"/>
  <c r="GO25" i="17"/>
  <c r="GO32" i="17"/>
  <c r="GO26" i="17"/>
  <c r="GO24" i="17"/>
  <c r="GO35" i="17"/>
  <c r="GO27" i="17"/>
  <c r="GO18" i="17"/>
  <c r="GO30" i="17"/>
  <c r="GO29" i="17"/>
  <c r="GO14" i="17"/>
  <c r="GO21" i="17"/>
  <c r="GO23" i="17"/>
  <c r="GO11" i="17"/>
  <c r="GO20" i="17"/>
  <c r="GO17" i="17"/>
  <c r="GO22" i="17"/>
  <c r="GO19" i="17"/>
  <c r="GO12" i="17"/>
  <c r="GO13" i="17"/>
  <c r="GO15" i="17"/>
  <c r="GO7" i="17"/>
  <c r="GP8" i="17"/>
  <c r="GP16" i="17" s="1"/>
  <c r="GO10" i="17"/>
  <c r="GP50" i="17" l="1"/>
  <c r="GP47" i="17"/>
  <c r="GP44" i="17"/>
  <c r="GP49" i="17"/>
  <c r="GP48" i="17"/>
  <c r="GP39" i="17"/>
  <c r="GP42" i="17"/>
  <c r="GP46" i="17"/>
  <c r="GP38" i="17"/>
  <c r="GP43" i="17"/>
  <c r="GP45" i="17"/>
  <c r="GP41" i="17"/>
  <c r="GP40" i="17"/>
  <c r="GP36" i="17"/>
  <c r="GP37" i="17"/>
  <c r="GP28" i="17"/>
  <c r="GP31" i="17"/>
  <c r="GP34" i="17"/>
  <c r="GP33" i="17"/>
  <c r="GP32" i="17"/>
  <c r="GP26" i="17"/>
  <c r="GP30" i="17"/>
  <c r="GP18" i="17"/>
  <c r="GP35" i="17"/>
  <c r="GP24" i="17"/>
  <c r="GP21" i="17"/>
  <c r="GP25" i="17"/>
  <c r="GP20" i="17"/>
  <c r="GP27" i="17"/>
  <c r="GP29" i="17"/>
  <c r="GP14" i="17"/>
  <c r="GP23" i="17"/>
  <c r="GP22" i="17"/>
  <c r="GP19" i="17"/>
  <c r="GP15" i="17"/>
  <c r="GP13" i="17"/>
  <c r="GP17" i="17"/>
  <c r="GP12" i="17"/>
  <c r="GP11" i="17"/>
  <c r="GQ8" i="17"/>
  <c r="GQ16" i="17" s="1"/>
  <c r="GP10" i="17"/>
  <c r="GQ50" i="17" l="1"/>
  <c r="GQ47" i="17"/>
  <c r="GQ49" i="17"/>
  <c r="GQ48" i="17"/>
  <c r="GQ42" i="17"/>
  <c r="GQ46" i="17"/>
  <c r="GQ44" i="17"/>
  <c r="GQ43" i="17"/>
  <c r="GQ45" i="17"/>
  <c r="GQ38" i="17"/>
  <c r="GQ41" i="17"/>
  <c r="GQ40" i="17"/>
  <c r="GQ39" i="17"/>
  <c r="GQ36" i="17"/>
  <c r="GQ37" i="17"/>
  <c r="GQ35" i="17"/>
  <c r="GQ30" i="17"/>
  <c r="GQ28" i="17"/>
  <c r="GQ24" i="17"/>
  <c r="GQ31" i="17"/>
  <c r="GQ34" i="17"/>
  <c r="GQ33" i="17"/>
  <c r="GQ32" i="17"/>
  <c r="GQ21" i="17"/>
  <c r="GQ27" i="17"/>
  <c r="GQ22" i="17"/>
  <c r="GQ29" i="17"/>
  <c r="GQ18" i="17"/>
  <c r="GQ26" i="17"/>
  <c r="GQ23" i="17"/>
  <c r="GQ20" i="17"/>
  <c r="GQ14" i="17"/>
  <c r="GQ19" i="17"/>
  <c r="GQ13" i="17"/>
  <c r="GQ17" i="17"/>
  <c r="GQ12" i="17"/>
  <c r="GQ15" i="17"/>
  <c r="GQ11" i="17"/>
  <c r="GQ25" i="17"/>
  <c r="GR8" i="17"/>
  <c r="GR16" i="17" s="1"/>
  <c r="GQ10" i="17"/>
  <c r="GR50" i="17" l="1"/>
  <c r="GR47" i="17"/>
  <c r="GR41" i="17"/>
  <c r="GR49" i="17"/>
  <c r="GR48" i="17"/>
  <c r="GR42" i="17"/>
  <c r="GR46" i="17"/>
  <c r="GR44" i="17"/>
  <c r="GR43" i="17"/>
  <c r="GR45" i="17"/>
  <c r="GR38" i="17"/>
  <c r="GR36" i="17"/>
  <c r="GR40" i="17"/>
  <c r="GR39" i="17"/>
  <c r="GR37" i="17"/>
  <c r="GR35" i="17"/>
  <c r="GR30" i="17"/>
  <c r="GR33" i="17"/>
  <c r="GR32" i="17"/>
  <c r="GR28" i="17"/>
  <c r="GR31" i="17"/>
  <c r="GR34" i="17"/>
  <c r="GR26" i="17"/>
  <c r="GR24" i="17"/>
  <c r="GR21" i="17"/>
  <c r="GR27" i="17"/>
  <c r="GR29" i="17"/>
  <c r="GR22" i="17"/>
  <c r="GR14" i="17"/>
  <c r="GR23" i="17"/>
  <c r="GR20" i="17"/>
  <c r="GR25" i="17"/>
  <c r="GR19" i="17"/>
  <c r="GR17" i="17"/>
  <c r="GR13" i="17"/>
  <c r="GR18" i="17"/>
  <c r="GR12" i="17"/>
  <c r="GR15" i="17"/>
  <c r="GR11" i="17"/>
  <c r="GS8" i="17"/>
  <c r="GS16" i="17" s="1"/>
  <c r="GR10" i="17"/>
  <c r="GS50" i="17" l="1"/>
  <c r="GS47" i="17"/>
  <c r="GS49" i="17"/>
  <c r="GS48" i="17"/>
  <c r="GS46" i="17"/>
  <c r="GS44" i="17"/>
  <c r="GS43" i="17"/>
  <c r="GS41" i="17"/>
  <c r="GS45" i="17"/>
  <c r="GS42" i="17"/>
  <c r="GS40" i="17"/>
  <c r="GS39" i="17"/>
  <c r="GS37" i="17"/>
  <c r="GS30" i="17"/>
  <c r="GS33" i="17"/>
  <c r="GS32" i="17"/>
  <c r="GS35" i="17"/>
  <c r="GS28" i="17"/>
  <c r="GS31" i="17"/>
  <c r="GS34" i="17"/>
  <c r="GS27" i="17"/>
  <c r="GS38" i="17"/>
  <c r="GS26" i="17"/>
  <c r="GS24" i="17"/>
  <c r="GS21" i="17"/>
  <c r="GS29" i="17"/>
  <c r="GS23" i="17"/>
  <c r="GS20" i="17"/>
  <c r="GS36" i="17"/>
  <c r="GS25" i="17"/>
  <c r="GS19" i="17"/>
  <c r="GS14" i="17"/>
  <c r="GS17" i="17"/>
  <c r="GS13" i="17"/>
  <c r="GS22" i="17"/>
  <c r="GS12" i="17"/>
  <c r="GS15" i="17"/>
  <c r="GS11" i="17"/>
  <c r="GS18" i="17"/>
  <c r="GT8" i="17"/>
  <c r="GT16" i="17" s="1"/>
  <c r="GS10" i="17"/>
  <c r="GT49" i="17" l="1"/>
  <c r="GT50" i="17"/>
  <c r="GT48" i="17"/>
  <c r="GT46" i="17"/>
  <c r="GT44" i="17"/>
  <c r="GT47" i="17"/>
  <c r="GT43" i="17"/>
  <c r="GT41" i="17"/>
  <c r="GT38" i="17"/>
  <c r="GT45" i="17"/>
  <c r="GT42" i="17"/>
  <c r="GT40" i="17"/>
  <c r="GT39" i="17"/>
  <c r="GT37" i="17"/>
  <c r="GT30" i="17"/>
  <c r="GT33" i="17"/>
  <c r="GT35" i="17"/>
  <c r="GT34" i="17"/>
  <c r="GT31" i="17"/>
  <c r="GT32" i="17"/>
  <c r="GT26" i="17"/>
  <c r="GT28" i="17"/>
  <c r="GT23" i="17"/>
  <c r="GT24" i="17"/>
  <c r="GT29" i="17"/>
  <c r="GT27" i="17"/>
  <c r="GT20" i="17"/>
  <c r="GT21" i="17"/>
  <c r="GT17" i="17"/>
  <c r="GT36" i="17"/>
  <c r="GT13" i="17"/>
  <c r="GT15" i="17"/>
  <c r="GT14" i="17"/>
  <c r="GT18" i="17"/>
  <c r="GT11" i="17"/>
  <c r="GT12" i="17"/>
  <c r="GT22" i="17"/>
  <c r="GT19" i="17"/>
  <c r="GT25" i="17"/>
  <c r="GU8" i="17"/>
  <c r="GU16" i="17" s="1"/>
  <c r="GT10" i="17"/>
  <c r="GU49" i="17" l="1"/>
  <c r="GU47" i="17"/>
  <c r="GU50" i="17"/>
  <c r="GU48" i="17"/>
  <c r="GU38" i="17"/>
  <c r="GU43" i="17"/>
  <c r="GU41" i="17"/>
  <c r="GU45" i="17"/>
  <c r="GU42" i="17"/>
  <c r="GU40" i="17"/>
  <c r="GU39" i="17"/>
  <c r="GU46" i="17"/>
  <c r="GU37" i="17"/>
  <c r="GU44" i="17"/>
  <c r="GU33" i="17"/>
  <c r="GU34" i="17"/>
  <c r="GU31" i="17"/>
  <c r="GU32" i="17"/>
  <c r="GU35" i="17"/>
  <c r="GU28" i="17"/>
  <c r="GU30" i="17"/>
  <c r="GU27" i="17"/>
  <c r="GU24" i="17"/>
  <c r="GU21" i="17"/>
  <c r="GU17" i="17"/>
  <c r="GU29" i="17"/>
  <c r="GU36" i="17"/>
  <c r="GU25" i="17"/>
  <c r="GU20" i="17"/>
  <c r="GU26" i="17"/>
  <c r="GU23" i="17"/>
  <c r="GU13" i="17"/>
  <c r="GU18" i="17"/>
  <c r="GU15" i="17"/>
  <c r="GU14" i="17"/>
  <c r="GU12" i="17"/>
  <c r="GU22" i="17"/>
  <c r="GU11" i="17"/>
  <c r="GU19" i="17"/>
  <c r="GU10" i="17"/>
  <c r="GV8" i="17"/>
  <c r="GV16" i="17" s="1"/>
  <c r="GV49" i="17" l="1"/>
  <c r="GV50" i="17"/>
  <c r="GV48" i="17"/>
  <c r="GV46" i="17"/>
  <c r="GV47" i="17"/>
  <c r="GV43" i="17"/>
  <c r="GV41" i="17"/>
  <c r="GV45" i="17"/>
  <c r="GV42" i="17"/>
  <c r="GV37" i="17"/>
  <c r="GV44" i="17"/>
  <c r="GV35" i="17"/>
  <c r="GV33" i="17"/>
  <c r="GV40" i="17"/>
  <c r="GV39" i="17"/>
  <c r="GV34" i="17"/>
  <c r="GV27" i="17"/>
  <c r="GV38" i="17"/>
  <c r="GV29" i="17"/>
  <c r="GV28" i="17"/>
  <c r="GV32" i="17"/>
  <c r="GV30" i="17"/>
  <c r="GV24" i="17"/>
  <c r="GV21" i="17"/>
  <c r="GV36" i="17"/>
  <c r="GV25" i="17"/>
  <c r="GV20" i="17"/>
  <c r="GV23" i="17"/>
  <c r="GV26" i="17"/>
  <c r="GV17" i="17"/>
  <c r="GV31" i="17"/>
  <c r="GV15" i="17"/>
  <c r="GV13" i="17"/>
  <c r="GV18" i="17"/>
  <c r="GV22" i="17"/>
  <c r="GV19" i="17"/>
  <c r="GV11" i="17"/>
  <c r="GV14" i="17"/>
  <c r="GV12" i="17"/>
  <c r="GW8" i="17"/>
  <c r="GW16" i="17" s="1"/>
  <c r="GV10" i="17"/>
  <c r="GW49" i="17" l="1"/>
  <c r="GW50" i="17"/>
  <c r="GW48" i="17"/>
  <c r="GW46" i="17"/>
  <c r="GW43" i="17"/>
  <c r="GW45" i="17"/>
  <c r="GW42" i="17"/>
  <c r="GW41" i="17"/>
  <c r="GW44" i="17"/>
  <c r="GW37" i="17"/>
  <c r="GW47" i="17"/>
  <c r="GW35" i="17"/>
  <c r="GW33" i="17"/>
  <c r="GW32" i="17"/>
  <c r="GW34" i="17"/>
  <c r="GW39" i="17"/>
  <c r="GW38" i="17"/>
  <c r="GW29" i="17"/>
  <c r="GW40" i="17"/>
  <c r="GW30" i="17"/>
  <c r="GW23" i="17"/>
  <c r="GW27" i="17"/>
  <c r="GW36" i="17"/>
  <c r="GW25" i="17"/>
  <c r="GW20" i="17"/>
  <c r="GW26" i="17"/>
  <c r="GW22" i="17"/>
  <c r="GW24" i="17"/>
  <c r="GW21" i="17"/>
  <c r="GW17" i="17"/>
  <c r="GW31" i="17"/>
  <c r="GW28" i="17"/>
  <c r="GW13" i="17"/>
  <c r="GW18" i="17"/>
  <c r="GW19" i="17"/>
  <c r="GW12" i="17"/>
  <c r="GW11" i="17"/>
  <c r="GW14" i="17"/>
  <c r="GW15" i="17"/>
  <c r="GW10" i="17"/>
  <c r="GX8" i="17"/>
  <c r="GX16" i="17" s="1"/>
  <c r="GX49" i="17" l="1"/>
  <c r="GX50" i="17"/>
  <c r="GX46" i="17"/>
  <c r="GX48" i="17"/>
  <c r="GX44" i="17"/>
  <c r="GX43" i="17"/>
  <c r="GX41" i="17"/>
  <c r="GX45" i="17"/>
  <c r="GX37" i="17"/>
  <c r="GX47" i="17"/>
  <c r="GX35" i="17"/>
  <c r="GX42" i="17"/>
  <c r="GX40" i="17"/>
  <c r="GX39" i="17"/>
  <c r="GX33" i="17"/>
  <c r="GX32" i="17"/>
  <c r="GX34" i="17"/>
  <c r="GX27" i="17"/>
  <c r="GX38" i="17"/>
  <c r="GX24" i="17"/>
  <c r="GX30" i="17"/>
  <c r="GX29" i="17"/>
  <c r="GX36" i="17"/>
  <c r="GX25" i="17"/>
  <c r="GX20" i="17"/>
  <c r="GX26" i="17"/>
  <c r="GX22" i="17"/>
  <c r="GX31" i="17"/>
  <c r="GX23" i="17"/>
  <c r="GX21" i="17"/>
  <c r="GX17" i="17"/>
  <c r="GX19" i="17"/>
  <c r="GX28" i="17"/>
  <c r="GX13" i="17"/>
  <c r="GX18" i="17"/>
  <c r="GX12" i="17"/>
  <c r="GX11" i="17"/>
  <c r="GX15" i="17"/>
  <c r="GX14" i="17"/>
  <c r="GY8" i="17"/>
  <c r="GY16" i="17" s="1"/>
  <c r="GX10" i="17"/>
  <c r="GY48" i="17" l="1"/>
  <c r="GY50" i="17"/>
  <c r="GY46" i="17"/>
  <c r="GY49" i="17"/>
  <c r="GY43" i="17"/>
  <c r="GY47" i="17"/>
  <c r="GY45" i="17"/>
  <c r="GY41" i="17"/>
  <c r="GY44" i="17"/>
  <c r="GY35" i="17"/>
  <c r="GY42" i="17"/>
  <c r="GY40" i="17"/>
  <c r="GY39" i="17"/>
  <c r="GY33" i="17"/>
  <c r="GY32" i="17"/>
  <c r="GY34" i="17"/>
  <c r="GY37" i="17"/>
  <c r="GY38" i="17"/>
  <c r="GY30" i="17"/>
  <c r="GY29" i="17"/>
  <c r="GY36" i="17"/>
  <c r="GY27" i="17"/>
  <c r="GY25" i="17"/>
  <c r="GY26" i="17"/>
  <c r="GY22" i="17"/>
  <c r="GY31" i="17"/>
  <c r="GY28" i="17"/>
  <c r="GY23" i="17"/>
  <c r="GY21" i="17"/>
  <c r="GY17" i="17"/>
  <c r="GY20" i="17"/>
  <c r="GY19" i="17"/>
  <c r="GY18" i="17"/>
  <c r="GY24" i="17"/>
  <c r="GY13" i="17"/>
  <c r="GY12" i="17"/>
  <c r="GY15" i="17"/>
  <c r="GY11" i="17"/>
  <c r="GY14" i="17"/>
  <c r="GZ8" i="17"/>
  <c r="GZ16" i="17" s="1"/>
  <c r="GY10" i="17"/>
  <c r="GZ48" i="17" l="1"/>
  <c r="GZ46" i="17"/>
  <c r="GZ49" i="17"/>
  <c r="GZ50" i="17"/>
  <c r="GZ47" i="17"/>
  <c r="GZ45" i="17"/>
  <c r="GZ37" i="17"/>
  <c r="GZ43" i="17"/>
  <c r="GZ40" i="17"/>
  <c r="GZ41" i="17"/>
  <c r="GZ44" i="17"/>
  <c r="GZ35" i="17"/>
  <c r="GZ42" i="17"/>
  <c r="GZ39" i="17"/>
  <c r="GZ38" i="17"/>
  <c r="GZ36" i="17"/>
  <c r="GZ32" i="17"/>
  <c r="GZ34" i="17"/>
  <c r="GZ30" i="17"/>
  <c r="GZ33" i="17"/>
  <c r="GZ27" i="17"/>
  <c r="GZ29" i="17"/>
  <c r="GZ25" i="17"/>
  <c r="GZ20" i="17"/>
  <c r="GZ26" i="17"/>
  <c r="GZ22" i="17"/>
  <c r="GZ31" i="17"/>
  <c r="GZ28" i="17"/>
  <c r="GZ21" i="17"/>
  <c r="GZ17" i="17"/>
  <c r="GZ19" i="17"/>
  <c r="GZ18" i="17"/>
  <c r="GZ23" i="17"/>
  <c r="GZ12" i="17"/>
  <c r="GZ15" i="17"/>
  <c r="GZ24" i="17"/>
  <c r="GZ13" i="17"/>
  <c r="GZ11" i="17"/>
  <c r="GZ14" i="17"/>
  <c r="HA8" i="17"/>
  <c r="HA16" i="17" s="1"/>
  <c r="GZ10" i="17"/>
  <c r="HA48" i="17" l="1"/>
  <c r="HA50" i="17"/>
  <c r="HA46" i="17"/>
  <c r="HA49" i="17"/>
  <c r="HA43" i="17"/>
  <c r="HA44" i="17"/>
  <c r="HA47" i="17"/>
  <c r="HA45" i="17"/>
  <c r="HA41" i="17"/>
  <c r="HA39" i="17"/>
  <c r="HA35" i="17"/>
  <c r="HA42" i="17"/>
  <c r="HA40" i="17"/>
  <c r="HA38" i="17"/>
  <c r="HA36" i="17"/>
  <c r="HA32" i="17"/>
  <c r="HA34" i="17"/>
  <c r="HA37" i="17"/>
  <c r="HA26" i="17"/>
  <c r="HA29" i="17"/>
  <c r="HA30" i="17"/>
  <c r="HA28" i="17"/>
  <c r="HA33" i="17"/>
  <c r="HA25" i="17"/>
  <c r="HA20" i="17"/>
  <c r="HA27" i="17"/>
  <c r="HA31" i="17"/>
  <c r="HA19" i="17"/>
  <c r="HA22" i="17"/>
  <c r="HA21" i="17"/>
  <c r="HA23" i="17"/>
  <c r="HA18" i="17"/>
  <c r="HA12" i="17"/>
  <c r="HA17" i="17"/>
  <c r="HA15" i="17"/>
  <c r="HA24" i="17"/>
  <c r="HA14" i="17"/>
  <c r="HA13" i="17"/>
  <c r="HA11" i="17"/>
  <c r="HA10" i="17"/>
  <c r="HB8" i="17"/>
  <c r="HB16" i="17" s="1"/>
  <c r="HB48" i="17" l="1"/>
  <c r="HB49" i="17"/>
  <c r="HB46" i="17"/>
  <c r="HB43" i="17"/>
  <c r="HB50" i="17"/>
  <c r="HB44" i="17"/>
  <c r="HB47" i="17"/>
  <c r="HB42" i="17"/>
  <c r="HB45" i="17"/>
  <c r="HB40" i="17"/>
  <c r="HB39" i="17"/>
  <c r="HB35" i="17"/>
  <c r="HB32" i="17"/>
  <c r="HB34" i="17"/>
  <c r="HB37" i="17"/>
  <c r="HB38" i="17"/>
  <c r="HB36" i="17"/>
  <c r="HB29" i="17"/>
  <c r="HB33" i="17"/>
  <c r="HB41" i="17"/>
  <c r="HB23" i="17"/>
  <c r="HB30" i="17"/>
  <c r="HB22" i="17"/>
  <c r="HB27" i="17"/>
  <c r="HB25" i="17"/>
  <c r="HB31" i="17"/>
  <c r="HB26" i="17"/>
  <c r="HB28" i="17"/>
  <c r="HB20" i="17"/>
  <c r="HB19" i="17"/>
  <c r="HB21" i="17"/>
  <c r="HB18" i="17"/>
  <c r="HB12" i="17"/>
  <c r="HB17" i="17"/>
  <c r="HB15" i="17"/>
  <c r="HB11" i="17"/>
  <c r="HB24" i="17"/>
  <c r="HB14" i="17"/>
  <c r="HB13" i="17"/>
  <c r="HC8" i="17"/>
  <c r="HC16" i="17" s="1"/>
  <c r="HB10" i="17"/>
  <c r="HC48" i="17" l="1"/>
  <c r="HC46" i="17"/>
  <c r="HC49" i="17"/>
  <c r="HC45" i="17"/>
  <c r="HC50" i="17"/>
  <c r="HC44" i="17"/>
  <c r="HC47" i="17"/>
  <c r="HC43" i="17"/>
  <c r="HC40" i="17"/>
  <c r="HC42" i="17"/>
  <c r="HC35" i="17"/>
  <c r="HC39" i="17"/>
  <c r="HC34" i="17"/>
  <c r="HC32" i="17"/>
  <c r="HC37" i="17"/>
  <c r="HC38" i="17"/>
  <c r="HC36" i="17"/>
  <c r="HC26" i="17"/>
  <c r="HC29" i="17"/>
  <c r="HC33" i="17"/>
  <c r="HC31" i="17"/>
  <c r="HC30" i="17"/>
  <c r="HC41" i="17"/>
  <c r="HC27" i="17"/>
  <c r="HC25" i="17"/>
  <c r="HC22" i="17"/>
  <c r="HC28" i="17"/>
  <c r="HC19" i="17"/>
  <c r="HC20" i="17"/>
  <c r="HC15" i="17"/>
  <c r="HC12" i="17"/>
  <c r="HC11" i="17"/>
  <c r="HC23" i="17"/>
  <c r="HC21" i="17"/>
  <c r="HC18" i="17"/>
  <c r="HC17" i="17"/>
  <c r="HC13" i="17"/>
  <c r="HC14" i="17"/>
  <c r="HC24" i="17"/>
  <c r="HD8" i="17"/>
  <c r="HD16" i="17" s="1"/>
  <c r="HC10" i="17"/>
  <c r="HD49" i="17" l="1"/>
  <c r="HD48" i="17"/>
  <c r="HD46" i="17"/>
  <c r="HD44" i="17"/>
  <c r="HD47" i="17"/>
  <c r="HD45" i="17"/>
  <c r="HD43" i="17"/>
  <c r="HD40" i="17"/>
  <c r="HD50" i="17"/>
  <c r="HD42" i="17"/>
  <c r="HD39" i="17"/>
  <c r="HD34" i="17"/>
  <c r="HD32" i="17"/>
  <c r="HD37" i="17"/>
  <c r="HD31" i="17"/>
  <c r="HD41" i="17"/>
  <c r="HD38" i="17"/>
  <c r="HD29" i="17"/>
  <c r="HD33" i="17"/>
  <c r="HD35" i="17"/>
  <c r="HD36" i="17"/>
  <c r="HD30" i="17"/>
  <c r="HD27" i="17"/>
  <c r="HD25" i="17"/>
  <c r="HD22" i="17"/>
  <c r="HD26" i="17"/>
  <c r="HD28" i="17"/>
  <c r="HD23" i="17"/>
  <c r="HD21" i="17"/>
  <c r="HD19" i="17"/>
  <c r="HD15" i="17"/>
  <c r="HD20" i="17"/>
  <c r="HD18" i="17"/>
  <c r="HD12" i="17"/>
  <c r="HD17" i="17"/>
  <c r="HD11" i="17"/>
  <c r="HD14" i="17"/>
  <c r="HD13" i="17"/>
  <c r="HD24" i="17"/>
  <c r="HE8" i="17"/>
  <c r="HE16" i="17" s="1"/>
  <c r="HD10" i="17"/>
  <c r="HE48" i="17" l="1"/>
  <c r="HE45" i="17"/>
  <c r="HE46" i="17"/>
  <c r="HE50" i="17"/>
  <c r="HE47" i="17"/>
  <c r="HE44" i="17"/>
  <c r="HE49" i="17"/>
  <c r="HE40" i="17"/>
  <c r="HE39" i="17"/>
  <c r="HE42" i="17"/>
  <c r="HE43" i="17"/>
  <c r="HE34" i="17"/>
  <c r="HE38" i="17"/>
  <c r="HE36" i="17"/>
  <c r="HE37" i="17"/>
  <c r="HE31" i="17"/>
  <c r="HE41" i="17"/>
  <c r="HE29" i="17"/>
  <c r="HE33" i="17"/>
  <c r="HE30" i="17"/>
  <c r="HE32" i="17"/>
  <c r="HE27" i="17"/>
  <c r="HE25" i="17"/>
  <c r="HE26" i="17"/>
  <c r="HE35" i="17"/>
  <c r="HE28" i="17"/>
  <c r="HE19" i="17"/>
  <c r="HE23" i="17"/>
  <c r="HE21" i="17"/>
  <c r="HE24" i="17"/>
  <c r="HE15" i="17"/>
  <c r="HE18" i="17"/>
  <c r="HE22" i="17"/>
  <c r="HE17" i="17"/>
  <c r="HE20" i="17"/>
  <c r="HE11" i="17"/>
  <c r="HE12" i="17"/>
  <c r="HE13" i="17"/>
  <c r="HE14" i="17"/>
  <c r="HF8" i="17"/>
  <c r="HF16" i="17" s="1"/>
  <c r="HE10" i="17"/>
  <c r="HF49" i="17" l="1"/>
  <c r="HF48" i="17"/>
  <c r="HF46" i="17"/>
  <c r="HF50" i="17"/>
  <c r="HF47" i="17"/>
  <c r="HF44" i="17"/>
  <c r="HF45" i="17"/>
  <c r="HF42" i="17"/>
  <c r="HF40" i="17"/>
  <c r="HF43" i="17"/>
  <c r="HF37" i="17"/>
  <c r="HF39" i="17"/>
  <c r="HF34" i="17"/>
  <c r="HF38" i="17"/>
  <c r="HF36" i="17"/>
  <c r="HF31" i="17"/>
  <c r="HF41" i="17"/>
  <c r="HF35" i="17"/>
  <c r="HF29" i="17"/>
  <c r="HF25" i="17"/>
  <c r="HF33" i="17"/>
  <c r="HF30" i="17"/>
  <c r="HF32" i="17"/>
  <c r="HF27" i="17"/>
  <c r="HF28" i="17"/>
  <c r="HF26" i="17"/>
  <c r="HF19" i="17"/>
  <c r="HF23" i="17"/>
  <c r="HF24" i="17"/>
  <c r="HF15" i="17"/>
  <c r="HF18" i="17"/>
  <c r="HF21" i="17"/>
  <c r="HF17" i="17"/>
  <c r="HF20" i="17"/>
  <c r="HF11" i="17"/>
  <c r="HF22" i="17"/>
  <c r="HF14" i="17"/>
  <c r="HF12" i="17"/>
  <c r="HF13" i="17"/>
  <c r="HG8" i="17"/>
  <c r="HG16" i="17" s="1"/>
  <c r="HF10" i="17"/>
  <c r="HG47" i="17" l="1"/>
  <c r="HG48" i="17"/>
  <c r="HG50" i="17"/>
  <c r="HG42" i="17"/>
  <c r="HG49" i="17"/>
  <c r="HG45" i="17"/>
  <c r="HG40" i="17"/>
  <c r="HG46" i="17"/>
  <c r="HG38" i="17"/>
  <c r="HG39" i="17"/>
  <c r="HG44" i="17"/>
  <c r="HG34" i="17"/>
  <c r="HG36" i="17"/>
  <c r="HG31" i="17"/>
  <c r="HG37" i="17"/>
  <c r="HG41" i="17"/>
  <c r="HG35" i="17"/>
  <c r="HG33" i="17"/>
  <c r="HG29" i="17"/>
  <c r="HG30" i="17"/>
  <c r="HG32" i="17"/>
  <c r="HG27" i="17"/>
  <c r="HG43" i="17"/>
  <c r="HG28" i="17"/>
  <c r="HG23" i="17"/>
  <c r="HG26" i="17"/>
  <c r="HG25" i="17"/>
  <c r="HG15" i="17"/>
  <c r="HG19" i="17"/>
  <c r="HG18" i="17"/>
  <c r="HG20" i="17"/>
  <c r="HG11" i="17"/>
  <c r="HG22" i="17"/>
  <c r="HG14" i="17"/>
  <c r="HG24" i="17"/>
  <c r="HG13" i="17"/>
  <c r="HG12" i="17"/>
  <c r="HG17" i="17"/>
  <c r="HG21" i="17"/>
  <c r="HH8" i="17"/>
  <c r="HH16" i="17" s="1"/>
  <c r="HG10" i="17"/>
  <c r="HH47" i="17" l="1"/>
  <c r="HH48" i="17"/>
  <c r="HH50" i="17"/>
  <c r="HH49" i="17"/>
  <c r="HH45" i="17"/>
  <c r="HH42" i="17"/>
  <c r="HH40" i="17"/>
  <c r="HH41" i="17"/>
  <c r="HH46" i="17"/>
  <c r="HH38" i="17"/>
  <c r="HH44" i="17"/>
  <c r="HH34" i="17"/>
  <c r="HH39" i="17"/>
  <c r="HH36" i="17"/>
  <c r="HH37" i="17"/>
  <c r="HH31" i="17"/>
  <c r="HH35" i="17"/>
  <c r="HH33" i="17"/>
  <c r="HH29" i="17"/>
  <c r="HH30" i="17"/>
  <c r="HH28" i="17"/>
  <c r="HH32" i="17"/>
  <c r="HH27" i="17"/>
  <c r="HH25" i="17"/>
  <c r="HH26" i="17"/>
  <c r="HH43" i="17"/>
  <c r="HH23" i="17"/>
  <c r="HH19" i="17"/>
  <c r="HH18" i="17"/>
  <c r="HH24" i="17"/>
  <c r="HH17" i="17"/>
  <c r="HH11" i="17"/>
  <c r="HH15" i="17"/>
  <c r="HH22" i="17"/>
  <c r="HH14" i="17"/>
  <c r="HH13" i="17"/>
  <c r="HH12" i="17"/>
  <c r="HH21" i="17"/>
  <c r="HH20" i="17"/>
  <c r="HI8" i="17"/>
  <c r="HI16" i="17" s="1"/>
  <c r="HH10" i="17"/>
  <c r="HI50" i="17" l="1"/>
  <c r="HI48" i="17"/>
  <c r="HI47" i="17"/>
  <c r="HI49" i="17"/>
  <c r="HI45" i="17"/>
  <c r="HI42" i="17"/>
  <c r="HI41" i="17"/>
  <c r="HI44" i="17"/>
  <c r="HI38" i="17"/>
  <c r="HI39" i="17"/>
  <c r="HI36" i="17"/>
  <c r="HI40" i="17"/>
  <c r="HI37" i="17"/>
  <c r="HI31" i="17"/>
  <c r="HI34" i="17"/>
  <c r="HI35" i="17"/>
  <c r="HI33" i="17"/>
  <c r="HI30" i="17"/>
  <c r="HI28" i="17"/>
  <c r="HI32" i="17"/>
  <c r="HI43" i="17"/>
  <c r="HI46" i="17"/>
  <c r="HI25" i="17"/>
  <c r="HI29" i="17"/>
  <c r="HI27" i="17"/>
  <c r="HI23" i="17"/>
  <c r="HI18" i="17"/>
  <c r="HI14" i="17"/>
  <c r="HI24" i="17"/>
  <c r="HI17" i="17"/>
  <c r="HI26" i="17"/>
  <c r="HI11" i="17"/>
  <c r="HI15" i="17"/>
  <c r="HI22" i="17"/>
  <c r="HI19" i="17"/>
  <c r="HI21" i="17"/>
  <c r="HI20" i="17"/>
  <c r="HI13" i="17"/>
  <c r="HI12" i="17"/>
  <c r="HI10" i="17"/>
  <c r="HJ8" i="17"/>
  <c r="HJ16" i="17" s="1"/>
  <c r="HJ50" i="17" l="1"/>
  <c r="HJ44" i="17"/>
  <c r="HJ48" i="17"/>
  <c r="HJ47" i="17"/>
  <c r="HJ45" i="17"/>
  <c r="HJ39" i="17"/>
  <c r="HJ42" i="17"/>
  <c r="HJ38" i="17"/>
  <c r="HJ41" i="17"/>
  <c r="HJ37" i="17"/>
  <c r="HJ49" i="17"/>
  <c r="HJ36" i="17"/>
  <c r="HJ40" i="17"/>
  <c r="HJ34" i="17"/>
  <c r="HJ35" i="17"/>
  <c r="HJ33" i="17"/>
  <c r="HJ30" i="17"/>
  <c r="HJ28" i="17"/>
  <c r="HJ32" i="17"/>
  <c r="HJ43" i="17"/>
  <c r="HJ31" i="17"/>
  <c r="HJ46" i="17"/>
  <c r="HJ25" i="17"/>
  <c r="HJ26" i="17"/>
  <c r="HJ29" i="17"/>
  <c r="HJ24" i="17"/>
  <c r="HJ23" i="17"/>
  <c r="HJ18" i="17"/>
  <c r="HJ21" i="17"/>
  <c r="HJ20" i="17"/>
  <c r="HJ27" i="17"/>
  <c r="HJ14" i="17"/>
  <c r="HJ22" i="17"/>
  <c r="HJ15" i="17"/>
  <c r="HJ19" i="17"/>
  <c r="HJ17" i="17"/>
  <c r="HJ11" i="17"/>
  <c r="HJ13" i="17"/>
  <c r="HJ12" i="17"/>
  <c r="HK8" i="17"/>
  <c r="HK16" i="17" s="1"/>
  <c r="HJ10" i="17"/>
  <c r="HK50" i="17" l="1"/>
  <c r="HK48" i="17"/>
  <c r="HK47" i="17"/>
  <c r="HK46" i="17"/>
  <c r="HK42" i="17"/>
  <c r="HK45" i="17"/>
  <c r="HK41" i="17"/>
  <c r="HK38" i="17"/>
  <c r="HK49" i="17"/>
  <c r="HK44" i="17"/>
  <c r="HK40" i="17"/>
  <c r="HK39" i="17"/>
  <c r="HK36" i="17"/>
  <c r="HK35" i="17"/>
  <c r="HK34" i="17"/>
  <c r="HK37" i="17"/>
  <c r="HK30" i="17"/>
  <c r="HK33" i="17"/>
  <c r="HK28" i="17"/>
  <c r="HK24" i="17"/>
  <c r="HK32" i="17"/>
  <c r="HK43" i="17"/>
  <c r="HK26" i="17"/>
  <c r="HK31" i="17"/>
  <c r="HK21" i="17"/>
  <c r="HK29" i="17"/>
  <c r="HK18" i="17"/>
  <c r="HK22" i="17"/>
  <c r="HK27" i="17"/>
  <c r="HK23" i="17"/>
  <c r="HK15" i="17"/>
  <c r="HK19" i="17"/>
  <c r="HK14" i="17"/>
  <c r="HK11" i="17"/>
  <c r="HK25" i="17"/>
  <c r="HK17" i="17"/>
  <c r="HK12" i="17"/>
  <c r="HK20" i="17"/>
  <c r="HK13" i="17"/>
  <c r="HK10" i="17"/>
  <c r="HL8" i="17"/>
  <c r="HL16" i="17" s="1"/>
  <c r="HL50" i="17" l="1"/>
  <c r="HL47" i="17"/>
  <c r="HL48" i="17"/>
  <c r="HL41" i="17"/>
  <c r="HL46" i="17"/>
  <c r="HL42" i="17"/>
  <c r="HL45" i="17"/>
  <c r="HL49" i="17"/>
  <c r="HL36" i="17"/>
  <c r="HL38" i="17"/>
  <c r="HL44" i="17"/>
  <c r="HL39" i="17"/>
  <c r="HL40" i="17"/>
  <c r="HL35" i="17"/>
  <c r="HL34" i="17"/>
  <c r="HL37" i="17"/>
  <c r="HL30" i="17"/>
  <c r="HL33" i="17"/>
  <c r="HL32" i="17"/>
  <c r="HL28" i="17"/>
  <c r="HL43" i="17"/>
  <c r="HL26" i="17"/>
  <c r="HL29" i="17"/>
  <c r="HL31" i="17"/>
  <c r="HL21" i="17"/>
  <c r="HL22" i="17"/>
  <c r="HL18" i="17"/>
  <c r="HL14" i="17"/>
  <c r="HL20" i="17"/>
  <c r="HL19" i="17"/>
  <c r="HL24" i="17"/>
  <c r="HL13" i="17"/>
  <c r="HL12" i="17"/>
  <c r="HL11" i="17"/>
  <c r="HL17" i="17"/>
  <c r="HL15" i="17"/>
  <c r="HL23" i="17"/>
  <c r="HL25" i="17"/>
  <c r="HL27" i="17"/>
  <c r="HI7" i="17"/>
  <c r="HL10" i="17"/>
  <c r="HM8" i="17"/>
  <c r="HM16" i="17" s="1"/>
  <c r="HM50" i="17" l="1"/>
  <c r="HM47" i="17"/>
  <c r="HM48" i="17"/>
  <c r="HM46" i="17"/>
  <c r="HM42" i="17"/>
  <c r="HM45" i="17"/>
  <c r="HM41" i="17"/>
  <c r="HM43" i="17"/>
  <c r="HM38" i="17"/>
  <c r="HM49" i="17"/>
  <c r="HM44" i="17"/>
  <c r="HM39" i="17"/>
  <c r="HM36" i="17"/>
  <c r="HM40" i="17"/>
  <c r="HM37" i="17"/>
  <c r="HM30" i="17"/>
  <c r="HM35" i="17"/>
  <c r="HM33" i="17"/>
  <c r="HM32" i="17"/>
  <c r="HM28" i="17"/>
  <c r="HM27" i="17"/>
  <c r="HM29" i="17"/>
  <c r="HM24" i="17"/>
  <c r="HM31" i="17"/>
  <c r="HM21" i="17"/>
  <c r="HM22" i="17"/>
  <c r="HM34" i="17"/>
  <c r="HM20" i="17"/>
  <c r="HM19" i="17"/>
  <c r="HM14" i="17"/>
  <c r="HM13" i="17"/>
  <c r="HM12" i="17"/>
  <c r="HM26" i="17"/>
  <c r="HM17" i="17"/>
  <c r="HM11" i="17"/>
  <c r="HM18" i="17"/>
  <c r="HM15" i="17"/>
  <c r="HM23" i="17"/>
  <c r="HM25" i="17"/>
  <c r="HN8" i="17"/>
  <c r="HN16" i="17" s="1"/>
  <c r="HM10" i="17"/>
  <c r="HN49" i="17" l="1"/>
  <c r="HN47" i="17"/>
  <c r="HN50" i="17"/>
  <c r="HN48" i="17"/>
  <c r="HN46" i="17"/>
  <c r="HN42" i="17"/>
  <c r="HN45" i="17"/>
  <c r="HN44" i="17"/>
  <c r="HN41" i="17"/>
  <c r="HN38" i="17"/>
  <c r="HN39" i="17"/>
  <c r="HN40" i="17"/>
  <c r="HN37" i="17"/>
  <c r="HN30" i="17"/>
  <c r="HN35" i="17"/>
  <c r="HN33" i="17"/>
  <c r="HN32" i="17"/>
  <c r="HN43" i="17"/>
  <c r="HN31" i="17"/>
  <c r="HN36" i="17"/>
  <c r="HN26" i="17"/>
  <c r="HN29" i="17"/>
  <c r="HN24" i="17"/>
  <c r="HN23" i="17"/>
  <c r="HN28" i="17"/>
  <c r="HN22" i="17"/>
  <c r="HN25" i="17"/>
  <c r="HN34" i="17"/>
  <c r="HN21" i="17"/>
  <c r="HN19" i="17"/>
  <c r="HN14" i="17"/>
  <c r="HN13" i="17"/>
  <c r="HN18" i="17"/>
  <c r="HN15" i="17"/>
  <c r="HN20" i="17"/>
  <c r="HN17" i="17"/>
  <c r="HN12" i="17"/>
  <c r="HN11" i="17"/>
  <c r="HN27" i="17"/>
  <c r="HO8" i="17"/>
  <c r="HO16" i="17" s="1"/>
  <c r="HN10" i="17"/>
  <c r="HO49" i="17" l="1"/>
  <c r="HO47" i="17"/>
  <c r="HO50" i="17"/>
  <c r="HO48" i="17"/>
  <c r="HO46" i="17"/>
  <c r="HO38" i="17"/>
  <c r="HO45" i="17"/>
  <c r="HO44" i="17"/>
  <c r="HO41" i="17"/>
  <c r="HO39" i="17"/>
  <c r="HO43" i="17"/>
  <c r="HO40" i="17"/>
  <c r="HO42" i="17"/>
  <c r="HO37" i="17"/>
  <c r="HO35" i="17"/>
  <c r="HO33" i="17"/>
  <c r="HO32" i="17"/>
  <c r="HO30" i="17"/>
  <c r="HO31" i="17"/>
  <c r="HO26" i="17"/>
  <c r="HO29" i="17"/>
  <c r="HO28" i="17"/>
  <c r="HO36" i="17"/>
  <c r="HO21" i="17"/>
  <c r="HO17" i="17"/>
  <c r="HO34" i="17"/>
  <c r="HO24" i="17"/>
  <c r="HO20" i="17"/>
  <c r="HO22" i="17"/>
  <c r="HO25" i="17"/>
  <c r="HO14" i="17"/>
  <c r="HO13" i="17"/>
  <c r="HO27" i="17"/>
  <c r="HO18" i="17"/>
  <c r="HO15" i="17"/>
  <c r="HO23" i="17"/>
  <c r="HO19" i="17"/>
  <c r="HO12" i="17"/>
  <c r="HO11" i="17"/>
  <c r="HP8" i="17"/>
  <c r="HP16" i="17" s="1"/>
  <c r="HO10" i="17"/>
  <c r="HP49" i="17" l="1"/>
  <c r="HP50" i="17"/>
  <c r="HP47" i="17"/>
  <c r="HP48" i="17"/>
  <c r="HP46" i="17"/>
  <c r="HP45" i="17"/>
  <c r="HP44" i="17"/>
  <c r="HP41" i="17"/>
  <c r="HP43" i="17"/>
  <c r="HP38" i="17"/>
  <c r="HP39" i="17"/>
  <c r="HP40" i="17"/>
  <c r="HP42" i="17"/>
  <c r="HP37" i="17"/>
  <c r="HP35" i="17"/>
  <c r="HP33" i="17"/>
  <c r="HP36" i="17"/>
  <c r="HP32" i="17"/>
  <c r="HP30" i="17"/>
  <c r="HP27" i="17"/>
  <c r="HP31" i="17"/>
  <c r="HP29" i="17"/>
  <c r="HP26" i="17"/>
  <c r="HP21" i="17"/>
  <c r="HP34" i="17"/>
  <c r="HP24" i="17"/>
  <c r="HP20" i="17"/>
  <c r="HP22" i="17"/>
  <c r="HP25" i="17"/>
  <c r="HP17" i="17"/>
  <c r="HP15" i="17"/>
  <c r="HP23" i="17"/>
  <c r="HP19" i="17"/>
  <c r="HP14" i="17"/>
  <c r="HP28" i="17"/>
  <c r="HP13" i="17"/>
  <c r="HP18" i="17"/>
  <c r="HP12" i="17"/>
  <c r="HP11" i="17"/>
  <c r="HP10" i="17"/>
  <c r="HQ8" i="17"/>
  <c r="HQ16" i="17" s="1"/>
  <c r="HQ49" i="17" l="1"/>
  <c r="HQ47" i="17"/>
  <c r="HQ50" i="17"/>
  <c r="HQ48" i="17"/>
  <c r="HQ46" i="17"/>
  <c r="HQ43" i="17"/>
  <c r="HQ45" i="17"/>
  <c r="HQ44" i="17"/>
  <c r="HQ41" i="17"/>
  <c r="HQ38" i="17"/>
  <c r="HQ39" i="17"/>
  <c r="HQ40" i="17"/>
  <c r="HQ42" i="17"/>
  <c r="HQ37" i="17"/>
  <c r="HQ35" i="17"/>
  <c r="HQ33" i="17"/>
  <c r="HQ36" i="17"/>
  <c r="HQ32" i="17"/>
  <c r="HQ31" i="17"/>
  <c r="HQ29" i="17"/>
  <c r="HQ23" i="17"/>
  <c r="HQ28" i="17"/>
  <c r="HQ34" i="17"/>
  <c r="HQ24" i="17"/>
  <c r="HQ20" i="17"/>
  <c r="HQ25" i="17"/>
  <c r="HQ30" i="17"/>
  <c r="HQ22" i="17"/>
  <c r="HQ17" i="17"/>
  <c r="HQ21" i="17"/>
  <c r="HQ19" i="17"/>
  <c r="HQ13" i="17"/>
  <c r="HQ12" i="17"/>
  <c r="HQ27" i="17"/>
  <c r="HQ26" i="17"/>
  <c r="HQ11" i="17"/>
  <c r="HQ15" i="17"/>
  <c r="HQ14" i="17"/>
  <c r="HQ18" i="17"/>
  <c r="HR8" i="17"/>
  <c r="HR16" i="17" s="1"/>
  <c r="HQ10" i="17"/>
  <c r="HR49" i="17" l="1"/>
  <c r="HR46" i="17"/>
  <c r="HR50" i="17"/>
  <c r="HR47" i="17"/>
  <c r="HR48" i="17"/>
  <c r="HR44" i="17"/>
  <c r="HR43" i="17"/>
  <c r="HR41" i="17"/>
  <c r="HR45" i="17"/>
  <c r="HR39" i="17"/>
  <c r="HR40" i="17"/>
  <c r="HR42" i="17"/>
  <c r="HR37" i="17"/>
  <c r="HR38" i="17"/>
  <c r="HR35" i="17"/>
  <c r="HR33" i="17"/>
  <c r="HR36" i="17"/>
  <c r="HR32" i="17"/>
  <c r="HR27" i="17"/>
  <c r="HR31" i="17"/>
  <c r="HR29" i="17"/>
  <c r="HR28" i="17"/>
  <c r="HR34" i="17"/>
  <c r="HR24" i="17"/>
  <c r="HR20" i="17"/>
  <c r="HR22" i="17"/>
  <c r="HR25" i="17"/>
  <c r="HR30" i="17"/>
  <c r="HR17" i="17"/>
  <c r="HR23" i="17"/>
  <c r="HR13" i="17"/>
  <c r="HR12" i="17"/>
  <c r="HR26" i="17"/>
  <c r="HR11" i="17"/>
  <c r="HR21" i="17"/>
  <c r="HR19" i="17"/>
  <c r="HR14" i="17"/>
  <c r="HR15" i="17"/>
  <c r="HR18" i="17"/>
  <c r="HR10" i="17"/>
  <c r="HS8" i="17"/>
  <c r="HS16" i="17" s="1"/>
  <c r="HS48" i="17" l="1"/>
  <c r="HS46" i="17"/>
  <c r="HS50" i="17"/>
  <c r="HS47" i="17"/>
  <c r="HS49" i="17"/>
  <c r="HS43" i="17"/>
  <c r="HS44" i="17"/>
  <c r="HS41" i="17"/>
  <c r="HS39" i="17"/>
  <c r="HS40" i="17"/>
  <c r="HS42" i="17"/>
  <c r="HS37" i="17"/>
  <c r="HS38" i="17"/>
  <c r="HS35" i="17"/>
  <c r="HS33" i="17"/>
  <c r="HS36" i="17"/>
  <c r="HS32" i="17"/>
  <c r="HS31" i="17"/>
  <c r="HS45" i="17"/>
  <c r="HS24" i="17"/>
  <c r="HS29" i="17"/>
  <c r="HS28" i="17"/>
  <c r="HS34" i="17"/>
  <c r="HS22" i="17"/>
  <c r="HS30" i="17"/>
  <c r="HS17" i="17"/>
  <c r="HS25" i="17"/>
  <c r="HS13" i="17"/>
  <c r="HS12" i="17"/>
  <c r="HS27" i="17"/>
  <c r="HS23" i="17"/>
  <c r="HS21" i="17"/>
  <c r="HS19" i="17"/>
  <c r="HS14" i="17"/>
  <c r="HS26" i="17"/>
  <c r="HS20" i="17"/>
  <c r="HS18" i="17"/>
  <c r="HS15" i="17"/>
  <c r="HS11" i="17"/>
  <c r="HS7" i="17"/>
  <c r="HT8" i="17"/>
  <c r="HT16" i="17" s="1"/>
  <c r="HS10" i="17"/>
  <c r="HT48" i="17" l="1"/>
  <c r="HT46" i="17"/>
  <c r="HT50" i="17"/>
  <c r="HT47" i="17"/>
  <c r="HT49" i="17"/>
  <c r="HT37" i="17"/>
  <c r="HT44" i="17"/>
  <c r="HT40" i="17"/>
  <c r="HT43" i="17"/>
  <c r="HT41" i="17"/>
  <c r="HT42" i="17"/>
  <c r="HT38" i="17"/>
  <c r="HT35" i="17"/>
  <c r="HT36" i="17"/>
  <c r="HT32" i="17"/>
  <c r="HT34" i="17"/>
  <c r="HT39" i="17"/>
  <c r="HT31" i="17"/>
  <c r="HT29" i="17"/>
  <c r="HT45" i="17"/>
  <c r="HT28" i="17"/>
  <c r="HT27" i="17"/>
  <c r="HT20" i="17"/>
  <c r="HT24" i="17"/>
  <c r="HT22" i="17"/>
  <c r="HT30" i="17"/>
  <c r="HT23" i="17"/>
  <c r="HT17" i="17"/>
  <c r="HT25" i="17"/>
  <c r="HT18" i="17"/>
  <c r="HT12" i="17"/>
  <c r="HT15" i="17"/>
  <c r="HT14" i="17"/>
  <c r="HT21" i="17"/>
  <c r="HT19" i="17"/>
  <c r="HT33" i="17"/>
  <c r="HT13" i="17"/>
  <c r="HT26" i="17"/>
  <c r="HT11" i="17"/>
  <c r="HU8" i="17"/>
  <c r="HU16" i="17" s="1"/>
  <c r="HT10" i="17"/>
  <c r="HU48" i="17" l="1"/>
  <c r="HU46" i="17"/>
  <c r="HU50" i="17"/>
  <c r="HU49" i="17"/>
  <c r="HU43" i="17"/>
  <c r="HU47" i="17"/>
  <c r="HU44" i="17"/>
  <c r="HU42" i="17"/>
  <c r="HU40" i="17"/>
  <c r="HU37" i="17"/>
  <c r="HU38" i="17"/>
  <c r="HU35" i="17"/>
  <c r="HU36" i="17"/>
  <c r="HU41" i="17"/>
  <c r="HU32" i="17"/>
  <c r="HU45" i="17"/>
  <c r="HU34" i="17"/>
  <c r="HU39" i="17"/>
  <c r="HU31" i="17"/>
  <c r="HU26" i="17"/>
  <c r="HU29" i="17"/>
  <c r="HU28" i="17"/>
  <c r="HU20" i="17"/>
  <c r="HU24" i="17"/>
  <c r="HU22" i="17"/>
  <c r="HU30" i="17"/>
  <c r="HU19" i="17"/>
  <c r="HU23" i="17"/>
  <c r="HU27" i="17"/>
  <c r="HU17" i="17"/>
  <c r="HU25" i="17"/>
  <c r="HU18" i="17"/>
  <c r="HU12" i="17"/>
  <c r="HU15" i="17"/>
  <c r="HU21" i="17"/>
  <c r="HU33" i="17"/>
  <c r="HU14" i="17"/>
  <c r="HU13" i="17"/>
  <c r="HU11" i="17"/>
  <c r="HU10" i="17"/>
  <c r="HV8" i="17"/>
  <c r="HV16" i="17" s="1"/>
  <c r="HV48" i="17" l="1"/>
  <c r="HV50" i="17"/>
  <c r="HV49" i="17"/>
  <c r="HV43" i="17"/>
  <c r="HV47" i="17"/>
  <c r="HV46" i="17"/>
  <c r="HV44" i="17"/>
  <c r="HV42" i="17"/>
  <c r="HV45" i="17"/>
  <c r="HV41" i="17"/>
  <c r="HV40" i="17"/>
  <c r="HV37" i="17"/>
  <c r="HV38" i="17"/>
  <c r="HV35" i="17"/>
  <c r="HV36" i="17"/>
  <c r="HV32" i="17"/>
  <c r="HV39" i="17"/>
  <c r="HV29" i="17"/>
  <c r="HV34" i="17"/>
  <c r="HV23" i="17"/>
  <c r="HV28" i="17"/>
  <c r="HV22" i="17"/>
  <c r="HV25" i="17"/>
  <c r="HV24" i="17"/>
  <c r="HV30" i="17"/>
  <c r="HV27" i="17"/>
  <c r="HV26" i="17"/>
  <c r="HV31" i="17"/>
  <c r="HV21" i="17"/>
  <c r="HV12" i="17"/>
  <c r="HV11" i="17"/>
  <c r="HV33" i="17"/>
  <c r="HV15" i="17"/>
  <c r="HV18" i="17"/>
  <c r="HV19" i="17"/>
  <c r="HV14" i="17"/>
  <c r="HV13" i="17"/>
  <c r="HV20" i="17"/>
  <c r="HV17" i="17"/>
  <c r="HV10" i="17"/>
  <c r="HW8" i="17"/>
  <c r="HW16" i="17" s="1"/>
  <c r="HW48" i="17" l="1"/>
  <c r="HW46" i="17"/>
  <c r="HW50" i="17"/>
  <c r="HW49" i="17"/>
  <c r="HW45" i="17"/>
  <c r="HW47" i="17"/>
  <c r="HW44" i="17"/>
  <c r="HW43" i="17"/>
  <c r="HW39" i="17"/>
  <c r="HW42" i="17"/>
  <c r="HW40" i="17"/>
  <c r="HW41" i="17"/>
  <c r="HW38" i="17"/>
  <c r="HW35" i="17"/>
  <c r="HW34" i="17"/>
  <c r="HW32" i="17"/>
  <c r="HW36" i="17"/>
  <c r="HW26" i="17"/>
  <c r="HW29" i="17"/>
  <c r="HW28" i="17"/>
  <c r="HW31" i="17"/>
  <c r="HW27" i="17"/>
  <c r="HW30" i="17"/>
  <c r="HW19" i="17"/>
  <c r="HW24" i="17"/>
  <c r="HW25" i="17"/>
  <c r="HW22" i="17"/>
  <c r="HW37" i="17"/>
  <c r="HW15" i="17"/>
  <c r="HW21" i="17"/>
  <c r="HW33" i="17"/>
  <c r="HW12" i="17"/>
  <c r="HW11" i="17"/>
  <c r="HW18" i="17"/>
  <c r="HW17" i="17"/>
  <c r="HW13" i="17"/>
  <c r="HW23" i="17"/>
  <c r="HW14" i="17"/>
  <c r="HW20" i="17"/>
  <c r="HW10" i="17"/>
  <c r="HX8" i="17"/>
  <c r="HX16" i="17" s="1"/>
  <c r="HX50" i="17" l="1"/>
  <c r="HX49" i="17"/>
  <c r="HX46" i="17"/>
  <c r="HX44" i="17"/>
  <c r="HX45" i="17"/>
  <c r="HX48" i="17"/>
  <c r="HX43" i="17"/>
  <c r="HX39" i="17"/>
  <c r="HX42" i="17"/>
  <c r="HX47" i="17"/>
  <c r="HX40" i="17"/>
  <c r="HX41" i="17"/>
  <c r="HX34" i="17"/>
  <c r="HX32" i="17"/>
  <c r="HX36" i="17"/>
  <c r="HX31" i="17"/>
  <c r="HX38" i="17"/>
  <c r="HX29" i="17"/>
  <c r="HX30" i="17"/>
  <c r="HX28" i="17"/>
  <c r="HX25" i="17"/>
  <c r="HX35" i="17"/>
  <c r="HX22" i="17"/>
  <c r="HX26" i="17"/>
  <c r="HX21" i="17"/>
  <c r="HX37" i="17"/>
  <c r="HX15" i="17"/>
  <c r="HX33" i="17"/>
  <c r="HX20" i="17"/>
  <c r="HX19" i="17"/>
  <c r="HX12" i="17"/>
  <c r="HX24" i="17"/>
  <c r="HX11" i="17"/>
  <c r="HX18" i="17"/>
  <c r="HX17" i="17"/>
  <c r="HX14" i="17"/>
  <c r="HX13" i="17"/>
  <c r="HX23" i="17"/>
  <c r="HX27" i="17"/>
  <c r="HY8" i="17"/>
  <c r="HY16" i="17" s="1"/>
  <c r="HX10" i="17"/>
  <c r="HY45" i="17" l="1"/>
  <c r="HY49" i="17"/>
  <c r="HY50" i="17"/>
  <c r="HY44" i="17"/>
  <c r="HY48" i="17"/>
  <c r="HY40" i="17"/>
  <c r="HY43" i="17"/>
  <c r="HY39" i="17"/>
  <c r="HY42" i="17"/>
  <c r="HY47" i="17"/>
  <c r="HY34" i="17"/>
  <c r="HY41" i="17"/>
  <c r="HY36" i="17"/>
  <c r="HY31" i="17"/>
  <c r="HY38" i="17"/>
  <c r="HY29" i="17"/>
  <c r="HY46" i="17"/>
  <c r="HY30" i="17"/>
  <c r="HY25" i="17"/>
  <c r="HY27" i="17"/>
  <c r="HY35" i="17"/>
  <c r="HY22" i="17"/>
  <c r="HY19" i="17"/>
  <c r="HY37" i="17"/>
  <c r="HY21" i="17"/>
  <c r="HY15" i="17"/>
  <c r="HY33" i="17"/>
  <c r="HY20" i="17"/>
  <c r="HY28" i="17"/>
  <c r="HY11" i="17"/>
  <c r="HY24" i="17"/>
  <c r="HY26" i="17"/>
  <c r="HY17" i="17"/>
  <c r="HY14" i="17"/>
  <c r="HY23" i="17"/>
  <c r="HY13" i="17"/>
  <c r="HY12" i="17"/>
  <c r="HY32" i="17"/>
  <c r="HY18" i="17"/>
  <c r="HY10" i="17"/>
  <c r="HZ8" i="17"/>
  <c r="HZ16" i="17" s="1"/>
  <c r="HZ50" i="17" l="1"/>
  <c r="HZ49" i="17"/>
  <c r="HZ45" i="17"/>
  <c r="HZ46" i="17"/>
  <c r="HZ44" i="17"/>
  <c r="HZ43" i="17"/>
  <c r="HZ42" i="17"/>
  <c r="HZ47" i="17"/>
  <c r="HZ48" i="17"/>
  <c r="HZ40" i="17"/>
  <c r="HZ34" i="17"/>
  <c r="HZ36" i="17"/>
  <c r="HZ41" i="17"/>
  <c r="HZ31" i="17"/>
  <c r="HZ39" i="17"/>
  <c r="HZ38" i="17"/>
  <c r="HZ29" i="17"/>
  <c r="HZ25" i="17"/>
  <c r="HZ35" i="17"/>
  <c r="HZ27" i="17"/>
  <c r="HZ19" i="17"/>
  <c r="HZ30" i="17"/>
  <c r="HZ37" i="17"/>
  <c r="HZ33" i="17"/>
  <c r="HZ15" i="17"/>
  <c r="HZ21" i="17"/>
  <c r="HZ20" i="17"/>
  <c r="HZ23" i="17"/>
  <c r="HZ18" i="17"/>
  <c r="HZ26" i="17"/>
  <c r="HZ22" i="17"/>
  <c r="HZ24" i="17"/>
  <c r="HZ11" i="17"/>
  <c r="HZ28" i="17"/>
  <c r="HZ14" i="17"/>
  <c r="HZ13" i="17"/>
  <c r="HZ12" i="17"/>
  <c r="HZ32" i="17"/>
  <c r="HZ17" i="17"/>
  <c r="IA8" i="17"/>
  <c r="IA16" i="17" s="1"/>
  <c r="HZ10" i="17"/>
  <c r="IA47" i="17" l="1"/>
  <c r="IA49" i="17"/>
  <c r="IA46" i="17"/>
  <c r="IA44" i="17"/>
  <c r="IA42" i="17"/>
  <c r="IA45" i="17"/>
  <c r="IA43" i="17"/>
  <c r="IA40" i="17"/>
  <c r="IA50" i="17"/>
  <c r="IA37" i="17"/>
  <c r="IA34" i="17"/>
  <c r="IA36" i="17"/>
  <c r="IA41" i="17"/>
  <c r="IA31" i="17"/>
  <c r="IA39" i="17"/>
  <c r="IA38" i="17"/>
  <c r="IA33" i="17"/>
  <c r="IA48" i="17"/>
  <c r="IA29" i="17"/>
  <c r="IA35" i="17"/>
  <c r="IA27" i="17"/>
  <c r="IA25" i="17"/>
  <c r="IA30" i="17"/>
  <c r="IA26" i="17"/>
  <c r="IA23" i="17"/>
  <c r="IA15" i="17"/>
  <c r="IA21" i="17"/>
  <c r="IA20" i="17"/>
  <c r="IA19" i="17"/>
  <c r="IA18" i="17"/>
  <c r="IA28" i="17"/>
  <c r="IA24" i="17"/>
  <c r="IA22" i="17"/>
  <c r="IA11" i="17"/>
  <c r="IA13" i="17"/>
  <c r="IA14" i="17"/>
  <c r="IA12" i="17"/>
  <c r="IA32" i="17"/>
  <c r="IA17" i="17"/>
  <c r="IA10" i="17"/>
  <c r="IB8" i="17"/>
  <c r="IB16" i="17" s="1"/>
  <c r="IB47" i="17" l="1"/>
  <c r="IB49" i="17"/>
  <c r="IB46" i="17"/>
  <c r="IB45" i="17"/>
  <c r="IB43" i="17"/>
  <c r="IB44" i="17"/>
  <c r="IB42" i="17"/>
  <c r="IB40" i="17"/>
  <c r="IB50" i="17"/>
  <c r="IB41" i="17"/>
  <c r="IB34" i="17"/>
  <c r="IB36" i="17"/>
  <c r="IB31" i="17"/>
  <c r="IB39" i="17"/>
  <c r="IB38" i="17"/>
  <c r="IB33" i="17"/>
  <c r="IB48" i="17"/>
  <c r="IB29" i="17"/>
  <c r="IB35" i="17"/>
  <c r="IB28" i="17"/>
  <c r="IB27" i="17"/>
  <c r="IB30" i="17"/>
  <c r="IB37" i="17"/>
  <c r="IB23" i="17"/>
  <c r="IB25" i="17"/>
  <c r="IB21" i="17"/>
  <c r="IB20" i="17"/>
  <c r="IB19" i="17"/>
  <c r="IB18" i="17"/>
  <c r="IB24" i="17"/>
  <c r="IB32" i="17"/>
  <c r="IB26" i="17"/>
  <c r="IB22" i="17"/>
  <c r="IB11" i="17"/>
  <c r="IB17" i="17"/>
  <c r="IB13" i="17"/>
  <c r="IB12" i="17"/>
  <c r="IB14" i="17"/>
  <c r="IB15" i="17"/>
  <c r="IB10" i="17"/>
  <c r="IC8" i="17"/>
  <c r="IC16" i="17" s="1"/>
  <c r="IC50" i="17" l="1"/>
  <c r="IC49" i="17"/>
  <c r="IC48" i="17"/>
  <c r="IC46" i="17"/>
  <c r="IC45" i="17"/>
  <c r="IC44" i="17"/>
  <c r="IC42" i="17"/>
  <c r="IC40" i="17"/>
  <c r="IC47" i="17"/>
  <c r="IC41" i="17"/>
  <c r="IC43" i="17"/>
  <c r="IC36" i="17"/>
  <c r="IC31" i="17"/>
  <c r="IC39" i="17"/>
  <c r="IC38" i="17"/>
  <c r="IC35" i="17"/>
  <c r="IC28" i="17"/>
  <c r="IC30" i="17"/>
  <c r="IC34" i="17"/>
  <c r="IC33" i="17"/>
  <c r="IC27" i="17"/>
  <c r="IC25" i="17"/>
  <c r="IC37" i="17"/>
  <c r="IC23" i="17"/>
  <c r="IC21" i="17"/>
  <c r="IC20" i="17"/>
  <c r="IC19" i="17"/>
  <c r="IC18" i="17"/>
  <c r="IC14" i="17"/>
  <c r="IC24" i="17"/>
  <c r="IC32" i="17"/>
  <c r="IC17" i="17"/>
  <c r="IC29" i="17"/>
  <c r="IC22" i="17"/>
  <c r="IC11" i="17"/>
  <c r="IC26" i="17"/>
  <c r="IC12" i="17"/>
  <c r="IC13" i="17"/>
  <c r="IC15" i="17"/>
  <c r="IC10" i="17"/>
  <c r="ID8" i="17"/>
  <c r="ID16" i="17" s="1"/>
  <c r="ID50" i="17" l="1"/>
  <c r="ID48" i="17"/>
  <c r="ID44" i="17"/>
  <c r="ID46" i="17"/>
  <c r="ID49" i="17"/>
  <c r="ID45" i="17"/>
  <c r="ID39" i="17"/>
  <c r="ID38" i="17"/>
  <c r="ID42" i="17"/>
  <c r="ID40" i="17"/>
  <c r="ID47" i="17"/>
  <c r="ID43" i="17"/>
  <c r="ID41" i="17"/>
  <c r="ID36" i="17"/>
  <c r="ID35" i="17"/>
  <c r="ID28" i="17"/>
  <c r="ID30" i="17"/>
  <c r="ID33" i="17"/>
  <c r="ID27" i="17"/>
  <c r="ID25" i="17"/>
  <c r="ID31" i="17"/>
  <c r="ID26" i="17"/>
  <c r="ID34" i="17"/>
  <c r="ID18" i="17"/>
  <c r="ID37" i="17"/>
  <c r="ID23" i="17"/>
  <c r="ID21" i="17"/>
  <c r="ID20" i="17"/>
  <c r="ID24" i="17"/>
  <c r="ID19" i="17"/>
  <c r="ID14" i="17"/>
  <c r="ID32" i="17"/>
  <c r="ID17" i="17"/>
  <c r="ID29" i="17"/>
  <c r="ID15" i="17"/>
  <c r="ID13" i="17"/>
  <c r="ID22" i="17"/>
  <c r="ID12" i="17"/>
  <c r="ID11" i="17"/>
  <c r="IE8" i="17"/>
  <c r="IE16" i="17" s="1"/>
  <c r="ID10" i="17"/>
  <c r="IE50" i="17" l="1"/>
  <c r="IE49" i="17"/>
  <c r="IE48" i="17"/>
  <c r="IE46" i="17"/>
  <c r="IE45" i="17"/>
  <c r="IE42" i="17"/>
  <c r="IE40" i="17"/>
  <c r="IE47" i="17"/>
  <c r="IE43" i="17"/>
  <c r="IE44" i="17"/>
  <c r="IE37" i="17"/>
  <c r="IE41" i="17"/>
  <c r="IE38" i="17"/>
  <c r="IE39" i="17"/>
  <c r="IE36" i="17"/>
  <c r="IE35" i="17"/>
  <c r="IE30" i="17"/>
  <c r="IE34" i="17"/>
  <c r="IE28" i="17"/>
  <c r="IE24" i="17"/>
  <c r="IE27" i="17"/>
  <c r="IE25" i="17"/>
  <c r="IE31" i="17"/>
  <c r="IE23" i="17"/>
  <c r="IE21" i="17"/>
  <c r="IE26" i="17"/>
  <c r="IE33" i="17"/>
  <c r="IE32" i="17"/>
  <c r="IE20" i="17"/>
  <c r="IE19" i="17"/>
  <c r="IE14" i="17"/>
  <c r="IE18" i="17"/>
  <c r="IE17" i="17"/>
  <c r="IE15" i="17"/>
  <c r="IE13" i="17"/>
  <c r="IE22" i="17"/>
  <c r="IE12" i="17"/>
  <c r="IE11" i="17"/>
  <c r="IE29" i="17"/>
  <c r="IE10" i="17"/>
  <c r="IF8" i="17"/>
  <c r="IF16" i="17" s="1"/>
  <c r="IF50" i="17" l="1"/>
  <c r="IF48" i="17"/>
  <c r="IF49" i="17"/>
  <c r="IF41" i="17"/>
  <c r="IF45" i="17"/>
  <c r="IF42" i="17"/>
  <c r="IF47" i="17"/>
  <c r="IF43" i="17"/>
  <c r="IF44" i="17"/>
  <c r="IF46" i="17"/>
  <c r="IF36" i="17"/>
  <c r="IF38" i="17"/>
  <c r="IF39" i="17"/>
  <c r="IF35" i="17"/>
  <c r="IF37" i="17"/>
  <c r="IF30" i="17"/>
  <c r="IF34" i="17"/>
  <c r="IF33" i="17"/>
  <c r="IF32" i="17"/>
  <c r="IF28" i="17"/>
  <c r="IF40" i="17"/>
  <c r="IF31" i="17"/>
  <c r="IF26" i="17"/>
  <c r="IF24" i="17"/>
  <c r="IF23" i="17"/>
  <c r="IF21" i="17"/>
  <c r="IF25" i="17"/>
  <c r="IF19" i="17"/>
  <c r="IF14" i="17"/>
  <c r="IF18" i="17"/>
  <c r="IF27" i="17"/>
  <c r="IF20" i="17"/>
  <c r="IF17" i="17"/>
  <c r="IF15" i="17"/>
  <c r="IF13" i="17"/>
  <c r="IF12" i="17"/>
  <c r="IF22" i="17"/>
  <c r="IF29" i="17"/>
  <c r="IF11" i="17"/>
  <c r="IG8" i="17"/>
  <c r="IG16" i="17" s="1"/>
  <c r="IF10" i="17"/>
  <c r="IG50" i="17" l="1"/>
  <c r="IG48" i="17"/>
  <c r="IG49" i="17"/>
  <c r="IG45" i="17"/>
  <c r="IG42" i="17"/>
  <c r="IG47" i="17"/>
  <c r="IG43" i="17"/>
  <c r="IG44" i="17"/>
  <c r="IG46" i="17"/>
  <c r="IG41" i="17"/>
  <c r="IG38" i="17"/>
  <c r="IG36" i="17"/>
  <c r="IG37" i="17"/>
  <c r="IG39" i="17"/>
  <c r="IG30" i="17"/>
  <c r="IG34" i="17"/>
  <c r="IG33" i="17"/>
  <c r="IG32" i="17"/>
  <c r="IG35" i="17"/>
  <c r="IG28" i="17"/>
  <c r="IG27" i="17"/>
  <c r="IG31" i="17"/>
  <c r="IG26" i="17"/>
  <c r="IG23" i="17"/>
  <c r="IG21" i="17"/>
  <c r="IG25" i="17"/>
  <c r="IG40" i="17"/>
  <c r="IG24" i="17"/>
  <c r="IG22" i="17"/>
  <c r="IG18" i="17"/>
  <c r="IG17" i="17"/>
  <c r="IG15" i="17"/>
  <c r="IG13" i="17"/>
  <c r="IG14" i="17"/>
  <c r="IG12" i="17"/>
  <c r="IG20" i="17"/>
  <c r="IG11" i="17"/>
  <c r="IG19" i="17"/>
  <c r="IG29" i="17"/>
  <c r="IH8" i="17"/>
  <c r="IH16" i="17" s="1"/>
  <c r="IG10" i="17"/>
  <c r="IH49" i="17" l="1"/>
  <c r="IH48" i="17"/>
  <c r="IH47" i="17"/>
  <c r="IH42" i="17"/>
  <c r="IH43" i="17"/>
  <c r="IH50" i="17"/>
  <c r="IH44" i="17"/>
  <c r="IH46" i="17"/>
  <c r="IH41" i="17"/>
  <c r="IH38" i="17"/>
  <c r="IH36" i="17"/>
  <c r="IH39" i="17"/>
  <c r="IH30" i="17"/>
  <c r="IH34" i="17"/>
  <c r="IH33" i="17"/>
  <c r="IH45" i="17"/>
  <c r="IH40" i="17"/>
  <c r="IH35" i="17"/>
  <c r="IH37" i="17"/>
  <c r="IH32" i="17"/>
  <c r="IH31" i="17"/>
  <c r="IH26" i="17"/>
  <c r="IH24" i="17"/>
  <c r="IH23" i="17"/>
  <c r="IH25" i="17"/>
  <c r="IH22" i="17"/>
  <c r="IH21" i="17"/>
  <c r="IH28" i="17"/>
  <c r="IH27" i="17"/>
  <c r="IH17" i="17"/>
  <c r="IH15" i="17"/>
  <c r="IH13" i="17"/>
  <c r="IH14" i="17"/>
  <c r="IH20" i="17"/>
  <c r="IH11" i="17"/>
  <c r="IH19" i="17"/>
  <c r="IH12" i="17"/>
  <c r="IH29" i="17"/>
  <c r="IH18" i="17"/>
  <c r="II8" i="17"/>
  <c r="II16" i="17" s="1"/>
  <c r="IH10" i="17"/>
  <c r="II49" i="17" l="1"/>
  <c r="II47" i="17"/>
  <c r="II38" i="17"/>
  <c r="II42" i="17"/>
  <c r="II41" i="17"/>
  <c r="II43" i="17"/>
  <c r="II50" i="17"/>
  <c r="II44" i="17"/>
  <c r="II46" i="17"/>
  <c r="II39" i="17"/>
  <c r="II34" i="17"/>
  <c r="II33" i="17"/>
  <c r="II45" i="17"/>
  <c r="II40" i="17"/>
  <c r="II48" i="17"/>
  <c r="II37" i="17"/>
  <c r="II35" i="17"/>
  <c r="II30" i="17"/>
  <c r="II32" i="17"/>
  <c r="II31" i="17"/>
  <c r="II24" i="17"/>
  <c r="II36" i="17"/>
  <c r="II21" i="17"/>
  <c r="II17" i="17"/>
  <c r="II25" i="17"/>
  <c r="II26" i="17"/>
  <c r="II20" i="17"/>
  <c r="II29" i="17"/>
  <c r="II13" i="17"/>
  <c r="II28" i="17"/>
  <c r="II23" i="17"/>
  <c r="II27" i="17"/>
  <c r="II22" i="17"/>
  <c r="II15" i="17"/>
  <c r="II14" i="17"/>
  <c r="II18" i="17"/>
  <c r="II19" i="17"/>
  <c r="II12" i="17"/>
  <c r="II11" i="17"/>
  <c r="IJ8" i="17"/>
  <c r="IJ16" i="17" s="1"/>
  <c r="II10" i="17"/>
  <c r="IJ49" i="17" l="1"/>
  <c r="IJ48" i="17"/>
  <c r="IJ47" i="17"/>
  <c r="IJ42" i="17"/>
  <c r="IJ41" i="17"/>
  <c r="IJ43" i="17"/>
  <c r="IJ50" i="17"/>
  <c r="IJ44" i="17"/>
  <c r="IJ46" i="17"/>
  <c r="IJ38" i="17"/>
  <c r="IJ39" i="17"/>
  <c r="IJ35" i="17"/>
  <c r="IJ34" i="17"/>
  <c r="IJ33" i="17"/>
  <c r="IJ45" i="17"/>
  <c r="IJ40" i="17"/>
  <c r="IJ27" i="17"/>
  <c r="IJ30" i="17"/>
  <c r="IJ31" i="17"/>
  <c r="IJ37" i="17"/>
  <c r="IJ29" i="17"/>
  <c r="IJ26" i="17"/>
  <c r="IJ36" i="17"/>
  <c r="IJ21" i="17"/>
  <c r="IJ25" i="17"/>
  <c r="IJ20" i="17"/>
  <c r="IJ32" i="17"/>
  <c r="IJ28" i="17"/>
  <c r="IJ24" i="17"/>
  <c r="IJ23" i="17"/>
  <c r="IJ22" i="17"/>
  <c r="IJ15" i="17"/>
  <c r="IJ17" i="17"/>
  <c r="IJ14" i="17"/>
  <c r="IJ13" i="17"/>
  <c r="IJ18" i="17"/>
  <c r="IJ19" i="17"/>
  <c r="IJ12" i="17"/>
  <c r="IJ11" i="17"/>
  <c r="IK8" i="17"/>
  <c r="IK16" i="17" s="1"/>
  <c r="IJ10" i="17"/>
  <c r="IK49" i="17" l="1"/>
  <c r="IK47" i="17"/>
  <c r="IK48" i="17"/>
  <c r="IK43" i="17"/>
  <c r="IK41" i="17"/>
  <c r="IK50" i="17"/>
  <c r="IK46" i="17"/>
  <c r="IK40" i="17"/>
  <c r="IK44" i="17"/>
  <c r="IK42" i="17"/>
  <c r="IK38" i="17"/>
  <c r="IK39" i="17"/>
  <c r="IK35" i="17"/>
  <c r="IK37" i="17"/>
  <c r="IK34" i="17"/>
  <c r="IK33" i="17"/>
  <c r="IK45" i="17"/>
  <c r="IK32" i="17"/>
  <c r="IK30" i="17"/>
  <c r="IK36" i="17"/>
  <c r="IK29" i="17"/>
  <c r="IK26" i="17"/>
  <c r="IK31" i="17"/>
  <c r="IK23" i="17"/>
  <c r="IK25" i="17"/>
  <c r="IK20" i="17"/>
  <c r="IK27" i="17"/>
  <c r="IK28" i="17"/>
  <c r="IK13" i="17"/>
  <c r="IK24" i="17"/>
  <c r="IK17" i="17"/>
  <c r="IK21" i="17"/>
  <c r="IK15" i="17"/>
  <c r="IK14" i="17"/>
  <c r="IK18" i="17"/>
  <c r="IK12" i="17"/>
  <c r="IK19" i="17"/>
  <c r="IK11" i="17"/>
  <c r="IK22" i="17"/>
  <c r="IL8" i="17"/>
  <c r="IL16" i="17" s="1"/>
  <c r="IK10" i="17"/>
  <c r="IL49" i="17" l="1"/>
  <c r="IL46" i="17"/>
  <c r="IL48" i="17"/>
  <c r="IL47" i="17"/>
  <c r="IL41" i="17"/>
  <c r="IL50" i="17"/>
  <c r="IL44" i="17"/>
  <c r="IL43" i="17"/>
  <c r="IL42" i="17"/>
  <c r="IL45" i="17"/>
  <c r="IL38" i="17"/>
  <c r="IL39" i="17"/>
  <c r="IL35" i="17"/>
  <c r="IL37" i="17"/>
  <c r="IL34" i="17"/>
  <c r="IL33" i="17"/>
  <c r="IL40" i="17"/>
  <c r="IL32" i="17"/>
  <c r="IL27" i="17"/>
  <c r="IL30" i="17"/>
  <c r="IL36" i="17"/>
  <c r="IL26" i="17"/>
  <c r="IL31" i="17"/>
  <c r="IL20" i="17"/>
  <c r="IL29" i="17"/>
  <c r="IL25" i="17"/>
  <c r="IL24" i="17"/>
  <c r="IL28" i="17"/>
  <c r="IL23" i="17"/>
  <c r="IL17" i="17"/>
  <c r="IL15" i="17"/>
  <c r="IL14" i="17"/>
  <c r="IL13" i="17"/>
  <c r="IL12" i="17"/>
  <c r="IL18" i="17"/>
  <c r="IL11" i="17"/>
  <c r="IL21" i="17"/>
  <c r="IL22" i="17"/>
  <c r="IL19" i="17"/>
  <c r="IL10" i="17"/>
  <c r="IM8" i="17"/>
  <c r="IM16" i="17" s="1"/>
  <c r="IM48" i="17" l="1"/>
  <c r="IM47" i="17"/>
  <c r="IM46" i="17"/>
  <c r="IM49" i="17"/>
  <c r="IM43" i="17"/>
  <c r="IM41" i="17"/>
  <c r="IM50" i="17"/>
  <c r="IM42" i="17"/>
  <c r="IM38" i="17"/>
  <c r="IM44" i="17"/>
  <c r="IM39" i="17"/>
  <c r="IM45" i="17"/>
  <c r="IM35" i="17"/>
  <c r="IM37" i="17"/>
  <c r="IM33" i="17"/>
  <c r="IM40" i="17"/>
  <c r="IM32" i="17"/>
  <c r="IM30" i="17"/>
  <c r="IM36" i="17"/>
  <c r="IM31" i="17"/>
  <c r="IM34" i="17"/>
  <c r="IM29" i="17"/>
  <c r="IM28" i="17"/>
  <c r="IM26" i="17"/>
  <c r="IM27" i="17"/>
  <c r="IM22" i="17"/>
  <c r="IM24" i="17"/>
  <c r="IM23" i="17"/>
  <c r="IM17" i="17"/>
  <c r="IM25" i="17"/>
  <c r="IM14" i="17"/>
  <c r="IM13" i="17"/>
  <c r="IM18" i="17"/>
  <c r="IM12" i="17"/>
  <c r="IM20" i="17"/>
  <c r="IM21" i="17"/>
  <c r="IM11" i="17"/>
  <c r="IM19" i="17"/>
  <c r="IM15" i="17"/>
  <c r="IN8" i="17"/>
  <c r="IN16" i="17" s="1"/>
  <c r="IM10" i="17"/>
  <c r="IN48" i="17" l="1"/>
  <c r="IN46" i="17"/>
  <c r="IN49" i="17"/>
  <c r="IN47" i="17"/>
  <c r="IN44" i="17"/>
  <c r="IN37" i="17"/>
  <c r="IN41" i="17"/>
  <c r="IN50" i="17"/>
  <c r="IN40" i="17"/>
  <c r="IN38" i="17"/>
  <c r="IN39" i="17"/>
  <c r="IN42" i="17"/>
  <c r="IN45" i="17"/>
  <c r="IN35" i="17"/>
  <c r="IN43" i="17"/>
  <c r="IN32" i="17"/>
  <c r="IN30" i="17"/>
  <c r="IN36" i="17"/>
  <c r="IN31" i="17"/>
  <c r="IN24" i="17"/>
  <c r="IN33" i="17"/>
  <c r="IN34" i="17"/>
  <c r="IN20" i="17"/>
  <c r="IN26" i="17"/>
  <c r="IN27" i="17"/>
  <c r="IN22" i="17"/>
  <c r="IN23" i="17"/>
  <c r="IN28" i="17"/>
  <c r="IN17" i="17"/>
  <c r="IN19" i="17"/>
  <c r="IN14" i="17"/>
  <c r="IN13" i="17"/>
  <c r="IN18" i="17"/>
  <c r="IN12" i="17"/>
  <c r="IN21" i="17"/>
  <c r="IN25" i="17"/>
  <c r="IN11" i="17"/>
  <c r="IN29" i="17"/>
  <c r="IN15" i="17"/>
  <c r="IN10" i="17"/>
  <c r="IO8" i="17"/>
  <c r="IO16" i="17" s="1"/>
  <c r="IO48" i="17" l="1"/>
  <c r="IO46" i="17"/>
  <c r="IO47" i="17"/>
  <c r="IO43" i="17"/>
  <c r="IO41" i="17"/>
  <c r="IO50" i="17"/>
  <c r="IO45" i="17"/>
  <c r="IO39" i="17"/>
  <c r="IO49" i="17"/>
  <c r="IO44" i="17"/>
  <c r="IO42" i="17"/>
  <c r="IO40" i="17"/>
  <c r="IO35" i="17"/>
  <c r="IO37" i="17"/>
  <c r="IO38" i="17"/>
  <c r="IO32" i="17"/>
  <c r="IO26" i="17"/>
  <c r="IO36" i="17"/>
  <c r="IO31" i="17"/>
  <c r="IO34" i="17"/>
  <c r="IO29" i="17"/>
  <c r="IO28" i="17"/>
  <c r="IO20" i="17"/>
  <c r="IO27" i="17"/>
  <c r="IO22" i="17"/>
  <c r="IO19" i="17"/>
  <c r="IO24" i="17"/>
  <c r="IO30" i="17"/>
  <c r="IO23" i="17"/>
  <c r="IO17" i="17"/>
  <c r="IO33" i="17"/>
  <c r="IO18" i="17"/>
  <c r="IO13" i="17"/>
  <c r="IO12" i="17"/>
  <c r="IO25" i="17"/>
  <c r="IO15" i="17"/>
  <c r="IO14" i="17"/>
  <c r="IO11" i="17"/>
  <c r="IO21" i="17"/>
  <c r="IO10" i="17"/>
  <c r="IP8" i="17"/>
  <c r="IP16" i="17" s="1"/>
  <c r="IP48" i="17" l="1"/>
  <c r="IP47" i="17"/>
  <c r="IP43" i="17"/>
  <c r="IP42" i="17"/>
  <c r="IP44" i="17"/>
  <c r="IP50" i="17"/>
  <c r="IP41" i="17"/>
  <c r="IP40" i="17"/>
  <c r="IP46" i="17"/>
  <c r="IP45" i="17"/>
  <c r="IP39" i="17"/>
  <c r="IP49" i="17"/>
  <c r="IP35" i="17"/>
  <c r="IP37" i="17"/>
  <c r="IP38" i="17"/>
  <c r="IP36" i="17"/>
  <c r="IP32" i="17"/>
  <c r="IP31" i="17"/>
  <c r="IP34" i="17"/>
  <c r="IP29" i="17"/>
  <c r="IP33" i="17"/>
  <c r="IP23" i="17"/>
  <c r="IP22" i="17"/>
  <c r="IP30" i="17"/>
  <c r="IP27" i="17"/>
  <c r="IP26" i="17"/>
  <c r="IP24" i="17"/>
  <c r="IP17" i="17"/>
  <c r="IP28" i="17"/>
  <c r="IP19" i="17"/>
  <c r="IP18" i="17"/>
  <c r="IP11" i="17"/>
  <c r="IP12" i="17"/>
  <c r="IP25" i="17"/>
  <c r="IP14" i="17"/>
  <c r="IP13" i="17"/>
  <c r="IP21" i="17"/>
  <c r="IP20" i="17"/>
  <c r="IP15" i="17"/>
  <c r="IM7" i="17"/>
  <c r="IQ8" i="17"/>
  <c r="IQ16" i="17" s="1"/>
  <c r="IP10" i="17"/>
  <c r="IQ48" i="17" l="1"/>
  <c r="IQ46" i="17"/>
  <c r="IQ50" i="17"/>
  <c r="IQ47" i="17"/>
  <c r="IQ44" i="17"/>
  <c r="IQ41" i="17"/>
  <c r="IQ45" i="17"/>
  <c r="IQ49" i="17"/>
  <c r="IQ39" i="17"/>
  <c r="IQ42" i="17"/>
  <c r="IQ40" i="17"/>
  <c r="IQ35" i="17"/>
  <c r="IQ37" i="17"/>
  <c r="IQ34" i="17"/>
  <c r="IQ43" i="17"/>
  <c r="IQ38" i="17"/>
  <c r="IQ36" i="17"/>
  <c r="IQ32" i="17"/>
  <c r="IQ26" i="17"/>
  <c r="IQ31" i="17"/>
  <c r="IQ29" i="17"/>
  <c r="IQ33" i="17"/>
  <c r="IQ30" i="17"/>
  <c r="IQ28" i="17"/>
  <c r="IQ25" i="17"/>
  <c r="IQ27" i="17"/>
  <c r="IQ22" i="17"/>
  <c r="IQ19" i="17"/>
  <c r="IQ24" i="17"/>
  <c r="IQ15" i="17"/>
  <c r="IQ23" i="17"/>
  <c r="IQ12" i="17"/>
  <c r="IQ18" i="17"/>
  <c r="IQ17" i="17"/>
  <c r="IQ11" i="17"/>
  <c r="IQ21" i="17"/>
  <c r="IQ14" i="17"/>
  <c r="IQ13" i="17"/>
  <c r="IQ20" i="17"/>
  <c r="IQ10" i="17"/>
  <c r="IR8" i="17"/>
  <c r="IR16" i="17" s="1"/>
  <c r="IR50" i="17" l="1"/>
  <c r="IR45" i="17"/>
  <c r="IR47" i="17"/>
  <c r="IR48" i="17"/>
  <c r="IR44" i="17"/>
  <c r="IR46" i="17"/>
  <c r="IR43" i="17"/>
  <c r="IR49" i="17"/>
  <c r="IR42" i="17"/>
  <c r="IR41" i="17"/>
  <c r="IR37" i="17"/>
  <c r="IR34" i="17"/>
  <c r="IR40" i="17"/>
  <c r="IR32" i="17"/>
  <c r="IR39" i="17"/>
  <c r="IR38" i="17"/>
  <c r="IR31" i="17"/>
  <c r="IR36" i="17"/>
  <c r="IR35" i="17"/>
  <c r="IR29" i="17"/>
  <c r="IR33" i="17"/>
  <c r="IR30" i="17"/>
  <c r="IR27" i="17"/>
  <c r="IR26" i="17"/>
  <c r="IR24" i="17"/>
  <c r="IR23" i="17"/>
  <c r="IR21" i="17"/>
  <c r="IR28" i="17"/>
  <c r="IR15" i="17"/>
  <c r="IR18" i="17"/>
  <c r="IR17" i="17"/>
  <c r="IR12" i="17"/>
  <c r="IR11" i="17"/>
  <c r="IR20" i="17"/>
  <c r="IR19" i="17"/>
  <c r="IR14" i="17"/>
  <c r="IR13" i="17"/>
  <c r="IR22" i="17"/>
  <c r="IR25" i="17"/>
  <c r="IS8" i="17"/>
  <c r="IS16" i="17" s="1"/>
  <c r="IR10" i="17"/>
  <c r="IS45" i="17" l="1"/>
  <c r="IS50" i="17"/>
  <c r="IS47" i="17"/>
  <c r="IS48" i="17"/>
  <c r="IS44" i="17"/>
  <c r="IS40" i="17"/>
  <c r="IS46" i="17"/>
  <c r="IS39" i="17"/>
  <c r="IS43" i="17"/>
  <c r="IS49" i="17"/>
  <c r="IS41" i="17"/>
  <c r="IS42" i="17"/>
  <c r="IS37" i="17"/>
  <c r="IS34" i="17"/>
  <c r="IS38" i="17"/>
  <c r="IS31" i="17"/>
  <c r="IS36" i="17"/>
  <c r="IS35" i="17"/>
  <c r="IS29" i="17"/>
  <c r="IS33" i="17"/>
  <c r="IS30" i="17"/>
  <c r="IS28" i="17"/>
  <c r="IS25" i="17"/>
  <c r="IS32" i="17"/>
  <c r="IS27" i="17"/>
  <c r="IS26" i="17"/>
  <c r="IS22" i="17"/>
  <c r="IS19" i="17"/>
  <c r="IS24" i="17"/>
  <c r="IS23" i="17"/>
  <c r="IS21" i="17"/>
  <c r="IS15" i="17"/>
  <c r="IS20" i="17"/>
  <c r="IS11" i="17"/>
  <c r="IS13" i="17"/>
  <c r="IS12" i="17"/>
  <c r="IS17" i="17"/>
  <c r="IS14" i="17"/>
  <c r="IS18" i="17"/>
  <c r="IT8" i="17"/>
  <c r="IT16" i="17" s="1"/>
  <c r="IS10" i="17"/>
  <c r="IT50" i="17" l="1"/>
  <c r="IT47" i="17"/>
  <c r="IT48" i="17"/>
  <c r="IT44" i="17"/>
  <c r="IT46" i="17"/>
  <c r="IT45" i="17"/>
  <c r="IT43" i="17"/>
  <c r="IT39" i="17"/>
  <c r="IT49" i="17"/>
  <c r="IT41" i="17"/>
  <c r="IT34" i="17"/>
  <c r="IT40" i="17"/>
  <c r="IT38" i="17"/>
  <c r="IT31" i="17"/>
  <c r="IT35" i="17"/>
  <c r="IT36" i="17"/>
  <c r="IT29" i="17"/>
  <c r="IT25" i="17"/>
  <c r="IT33" i="17"/>
  <c r="IT37" i="17"/>
  <c r="IT30" i="17"/>
  <c r="IT28" i="17"/>
  <c r="IT27" i="17"/>
  <c r="IT22" i="17"/>
  <c r="IT19" i="17"/>
  <c r="IT24" i="17"/>
  <c r="IT26" i="17"/>
  <c r="IT42" i="17"/>
  <c r="IT15" i="17"/>
  <c r="IT32" i="17"/>
  <c r="IT20" i="17"/>
  <c r="IT21" i="17"/>
  <c r="IT11" i="17"/>
  <c r="IT23" i="17"/>
  <c r="IT12" i="17"/>
  <c r="IT18" i="17"/>
  <c r="IT14" i="17"/>
  <c r="IT17" i="17"/>
  <c r="IT13" i="17"/>
  <c r="IT10" i="17"/>
  <c r="IU8" i="17"/>
  <c r="IU16" i="17" s="1"/>
  <c r="IU47" i="17" l="1"/>
  <c r="IU50" i="17"/>
  <c r="IU45" i="17"/>
  <c r="IU48" i="17"/>
  <c r="IU42" i="17"/>
  <c r="IU44" i="17"/>
  <c r="IU46" i="17"/>
  <c r="IU39" i="17"/>
  <c r="IU43" i="17"/>
  <c r="IU49" i="17"/>
  <c r="IU41" i="17"/>
  <c r="IU34" i="17"/>
  <c r="IU38" i="17"/>
  <c r="IU36" i="17"/>
  <c r="IU40" i="17"/>
  <c r="IU31" i="17"/>
  <c r="IU35" i="17"/>
  <c r="IU33" i="17"/>
  <c r="IU29" i="17"/>
  <c r="IU32" i="17"/>
  <c r="IU30" i="17"/>
  <c r="IU28" i="17"/>
  <c r="IU25" i="17"/>
  <c r="IU24" i="17"/>
  <c r="IU37" i="17"/>
  <c r="IU27" i="17"/>
  <c r="IU15" i="17"/>
  <c r="IU18" i="17"/>
  <c r="IU21" i="17"/>
  <c r="IU11" i="17"/>
  <c r="IU26" i="17"/>
  <c r="IU20" i="17"/>
  <c r="IU19" i="17"/>
  <c r="IU23" i="17"/>
  <c r="IU22" i="17"/>
  <c r="IU12" i="17"/>
  <c r="IU17" i="17"/>
  <c r="IU13" i="17"/>
  <c r="IU14" i="17"/>
  <c r="IV8" i="17"/>
  <c r="IV16" i="17" s="1"/>
  <c r="IU10" i="17"/>
  <c r="IV47" i="17" l="1"/>
  <c r="IV50" i="17"/>
  <c r="IV49" i="17"/>
  <c r="IV48" i="17"/>
  <c r="IV44" i="17"/>
  <c r="IV46" i="17"/>
  <c r="IV45" i="17"/>
  <c r="IV43" i="17"/>
  <c r="IV39" i="17"/>
  <c r="IV41" i="17"/>
  <c r="IV37" i="17"/>
  <c r="IV40" i="17"/>
  <c r="IV34" i="17"/>
  <c r="IV38" i="17"/>
  <c r="IV36" i="17"/>
  <c r="IV31" i="17"/>
  <c r="IV35" i="17"/>
  <c r="IV33" i="17"/>
  <c r="IV29" i="17"/>
  <c r="IV25" i="17"/>
  <c r="IV28" i="17"/>
  <c r="IV32" i="17"/>
  <c r="IV30" i="17"/>
  <c r="IV27" i="17"/>
  <c r="IV24" i="17"/>
  <c r="IV42" i="17"/>
  <c r="IV18" i="17"/>
  <c r="IV22" i="17"/>
  <c r="IV11" i="17"/>
  <c r="IV26" i="17"/>
  <c r="IV20" i="17"/>
  <c r="IV19" i="17"/>
  <c r="IV21" i="17"/>
  <c r="IV23" i="17"/>
  <c r="IV14" i="17"/>
  <c r="IV12" i="17"/>
  <c r="IV15" i="17"/>
  <c r="IV17" i="17"/>
  <c r="IV13" i="17"/>
  <c r="IW8" i="17"/>
  <c r="IW16" i="17" s="1"/>
  <c r="IV10" i="17"/>
  <c r="IW50" i="17" l="1"/>
  <c r="IW49" i="17"/>
  <c r="IW47" i="17"/>
  <c r="IW48" i="17"/>
  <c r="IW46" i="17"/>
  <c r="IW45" i="17"/>
  <c r="IW43" i="17"/>
  <c r="IW41" i="17"/>
  <c r="IW44" i="17"/>
  <c r="IW40" i="17"/>
  <c r="IW38" i="17"/>
  <c r="IW36" i="17"/>
  <c r="IW39" i="17"/>
  <c r="IW31" i="17"/>
  <c r="IW35" i="17"/>
  <c r="IW37" i="17"/>
  <c r="IW33" i="17"/>
  <c r="IW28" i="17"/>
  <c r="IW34" i="17"/>
  <c r="IW32" i="17"/>
  <c r="IW30" i="17"/>
  <c r="IW25" i="17"/>
  <c r="IW27" i="17"/>
  <c r="IW26" i="17"/>
  <c r="IW42" i="17"/>
  <c r="IW14" i="17"/>
  <c r="IW18" i="17"/>
  <c r="IW22" i="17"/>
  <c r="IW29" i="17"/>
  <c r="IW24" i="17"/>
  <c r="IW11" i="17"/>
  <c r="IW20" i="17"/>
  <c r="IW19" i="17"/>
  <c r="IW21" i="17"/>
  <c r="IW13" i="17"/>
  <c r="IW23" i="17"/>
  <c r="IW15" i="17"/>
  <c r="IW17" i="17"/>
  <c r="IW12" i="17"/>
  <c r="IX8" i="17"/>
  <c r="IX16" i="17" s="1"/>
  <c r="IW10" i="17"/>
  <c r="IW7" i="17"/>
  <c r="IX50" i="17" l="1"/>
  <c r="IX49" i="17"/>
  <c r="IX48" i="17"/>
  <c r="IX44" i="17"/>
  <c r="IX46" i="17"/>
  <c r="IX45" i="17"/>
  <c r="IX39" i="17"/>
  <c r="IX43" i="17"/>
  <c r="IX38" i="17"/>
  <c r="IX42" i="17"/>
  <c r="IX41" i="17"/>
  <c r="IX40" i="17"/>
  <c r="IX47" i="17"/>
  <c r="IX36" i="17"/>
  <c r="IX35" i="17"/>
  <c r="IX37" i="17"/>
  <c r="IX33" i="17"/>
  <c r="IX31" i="17"/>
  <c r="IX28" i="17"/>
  <c r="IX34" i="17"/>
  <c r="IX32" i="17"/>
  <c r="IX30" i="17"/>
  <c r="IX27" i="17"/>
  <c r="IX29" i="17"/>
  <c r="IX18" i="17"/>
  <c r="IX23" i="17"/>
  <c r="IX21" i="17"/>
  <c r="IX20" i="17"/>
  <c r="IX14" i="17"/>
  <c r="IX22" i="17"/>
  <c r="IX19" i="17"/>
  <c r="IX17" i="17"/>
  <c r="IX24" i="17"/>
  <c r="IX26" i="17"/>
  <c r="IX13" i="17"/>
  <c r="IX11" i="17"/>
  <c r="IX25" i="17"/>
  <c r="IX15" i="17"/>
  <c r="IX12" i="17"/>
  <c r="IY8" i="17"/>
  <c r="IY16" i="17" s="1"/>
  <c r="IX10" i="17"/>
  <c r="IY50" i="17" l="1"/>
  <c r="IY49" i="17"/>
  <c r="IY46" i="17"/>
  <c r="IY45" i="17"/>
  <c r="IY43" i="17"/>
  <c r="IY42" i="17"/>
  <c r="IY47" i="17"/>
  <c r="IY44" i="17"/>
  <c r="IY41" i="17"/>
  <c r="IY40" i="17"/>
  <c r="IY36" i="17"/>
  <c r="IY38" i="17"/>
  <c r="IY39" i="17"/>
  <c r="IY35" i="17"/>
  <c r="IY30" i="17"/>
  <c r="IY37" i="17"/>
  <c r="IY48" i="17"/>
  <c r="IY33" i="17"/>
  <c r="IY31" i="17"/>
  <c r="IY28" i="17"/>
  <c r="IY24" i="17"/>
  <c r="IY34" i="17"/>
  <c r="IY32" i="17"/>
  <c r="IY25" i="17"/>
  <c r="IY27" i="17"/>
  <c r="IY29" i="17"/>
  <c r="IY23" i="17"/>
  <c r="IY21" i="17"/>
  <c r="IY14" i="17"/>
  <c r="IY22" i="17"/>
  <c r="IY18" i="17"/>
  <c r="IY19" i="17"/>
  <c r="IY26" i="17"/>
  <c r="IY17" i="17"/>
  <c r="IY20" i="17"/>
  <c r="IY15" i="17"/>
  <c r="IY11" i="17"/>
  <c r="IY12" i="17"/>
  <c r="IY13" i="17"/>
  <c r="IZ8" i="17"/>
  <c r="IZ16" i="17" s="1"/>
  <c r="IY10" i="17"/>
  <c r="IZ50" i="17" l="1"/>
  <c r="IZ49" i="17"/>
  <c r="IZ46" i="17"/>
  <c r="IZ41" i="17"/>
  <c r="IZ45" i="17"/>
  <c r="IZ43" i="17"/>
  <c r="IZ42" i="17"/>
  <c r="IZ47" i="17"/>
  <c r="IZ44" i="17"/>
  <c r="IZ40" i="17"/>
  <c r="IZ48" i="17"/>
  <c r="IZ37" i="17"/>
  <c r="IZ36" i="17"/>
  <c r="IZ38" i="17"/>
  <c r="IZ39" i="17"/>
  <c r="IZ35" i="17"/>
  <c r="IZ30" i="17"/>
  <c r="IZ33" i="17"/>
  <c r="IZ34" i="17"/>
  <c r="IZ32" i="17"/>
  <c r="IZ31" i="17"/>
  <c r="IZ28" i="17"/>
  <c r="IZ25" i="17"/>
  <c r="IZ27" i="17"/>
  <c r="IZ29" i="17"/>
  <c r="IZ26" i="17"/>
  <c r="IZ23" i="17"/>
  <c r="IZ21" i="17"/>
  <c r="IZ14" i="17"/>
  <c r="IZ22" i="17"/>
  <c r="IZ18" i="17"/>
  <c r="IZ19" i="17"/>
  <c r="IZ20" i="17"/>
  <c r="IZ24" i="17"/>
  <c r="IZ15" i="17"/>
  <c r="IZ12" i="17"/>
  <c r="IZ11" i="17"/>
  <c r="IZ17" i="17"/>
  <c r="IZ13" i="17"/>
  <c r="IZ10" i="17"/>
  <c r="JA8" i="17"/>
  <c r="JA16" i="17" s="1"/>
  <c r="JA50" i="17" l="1"/>
  <c r="JA49" i="17"/>
  <c r="JA46" i="17"/>
  <c r="JA45" i="17"/>
  <c r="JA47" i="17"/>
  <c r="JA42" i="17"/>
  <c r="JA44" i="17"/>
  <c r="JA40" i="17"/>
  <c r="JA41" i="17"/>
  <c r="JA38" i="17"/>
  <c r="JA36" i="17"/>
  <c r="JA39" i="17"/>
  <c r="JA30" i="17"/>
  <c r="JA35" i="17"/>
  <c r="JA37" i="17"/>
  <c r="JA48" i="17"/>
  <c r="JA33" i="17"/>
  <c r="JA34" i="17"/>
  <c r="JA32" i="17"/>
  <c r="JA43" i="17"/>
  <c r="JA31" i="17"/>
  <c r="JA28" i="17"/>
  <c r="JA27" i="17"/>
  <c r="JA25" i="17"/>
  <c r="JA29" i="17"/>
  <c r="JA24" i="17"/>
  <c r="JA23" i="17"/>
  <c r="JA21" i="17"/>
  <c r="JA22" i="17"/>
  <c r="JA18" i="17"/>
  <c r="JA19" i="17"/>
  <c r="JA26" i="17"/>
  <c r="JA20" i="17"/>
  <c r="JA15" i="17"/>
  <c r="JA14" i="17"/>
  <c r="JA12" i="17"/>
  <c r="JA11" i="17"/>
  <c r="JA17" i="17"/>
  <c r="JA13" i="17"/>
  <c r="JA10" i="17"/>
  <c r="JB8" i="17"/>
  <c r="JB16" i="17" s="1"/>
  <c r="JB49" i="17" l="1"/>
  <c r="JB50" i="17"/>
  <c r="JB48" i="17"/>
  <c r="JB46" i="17"/>
  <c r="JB45" i="17"/>
  <c r="JB47" i="17"/>
  <c r="JB42" i="17"/>
  <c r="JB44" i="17"/>
  <c r="JB40" i="17"/>
  <c r="JB43" i="17"/>
  <c r="JB38" i="17"/>
  <c r="JB36" i="17"/>
  <c r="JB39" i="17"/>
  <c r="JB30" i="17"/>
  <c r="JB41" i="17"/>
  <c r="JB35" i="17"/>
  <c r="JB37" i="17"/>
  <c r="JB33" i="17"/>
  <c r="JB34" i="17"/>
  <c r="JB32" i="17"/>
  <c r="JB27" i="17"/>
  <c r="JB28" i="17"/>
  <c r="JB29" i="17"/>
  <c r="JB26" i="17"/>
  <c r="JB23" i="17"/>
  <c r="JB25" i="17"/>
  <c r="JB22" i="17"/>
  <c r="JB18" i="17"/>
  <c r="JB19" i="17"/>
  <c r="JB20" i="17"/>
  <c r="JB24" i="17"/>
  <c r="JB21" i="17"/>
  <c r="JB31" i="17"/>
  <c r="JB13" i="17"/>
  <c r="JB14" i="17"/>
  <c r="JB17" i="17"/>
  <c r="JB15" i="17"/>
  <c r="JB11" i="17"/>
  <c r="JB12" i="17"/>
  <c r="JC8" i="17"/>
  <c r="JC16" i="17" s="1"/>
  <c r="JB10" i="17"/>
  <c r="JC49" i="17" l="1"/>
  <c r="JC48" i="17"/>
  <c r="JC46" i="17"/>
  <c r="JC50" i="17"/>
  <c r="JC45" i="17"/>
  <c r="JC47" i="17"/>
  <c r="JC38" i="17"/>
  <c r="JC42" i="17"/>
  <c r="JC44" i="17"/>
  <c r="JC40" i="17"/>
  <c r="JC43" i="17"/>
  <c r="JC36" i="17"/>
  <c r="JC39" i="17"/>
  <c r="JC37" i="17"/>
  <c r="JC41" i="17"/>
  <c r="JC35" i="17"/>
  <c r="JC33" i="17"/>
  <c r="JC34" i="17"/>
  <c r="JC32" i="17"/>
  <c r="JC27" i="17"/>
  <c r="JC30" i="17"/>
  <c r="JC28" i="17"/>
  <c r="JC29" i="17"/>
  <c r="JC26" i="17"/>
  <c r="JC24" i="17"/>
  <c r="JC21" i="17"/>
  <c r="JC17" i="17"/>
  <c r="JC23" i="17"/>
  <c r="JC20" i="17"/>
  <c r="JC25" i="17"/>
  <c r="JC22" i="17"/>
  <c r="JC19" i="17"/>
  <c r="JC13" i="17"/>
  <c r="JC31" i="17"/>
  <c r="JC15" i="17"/>
  <c r="JC18" i="17"/>
  <c r="JC12" i="17"/>
  <c r="JC11" i="17"/>
  <c r="JC14" i="17"/>
  <c r="JC10" i="17"/>
  <c r="JD8" i="17"/>
  <c r="JD16" i="17" s="1"/>
  <c r="JD49" i="17" l="1"/>
  <c r="JD50" i="17"/>
  <c r="JD48" i="17"/>
  <c r="JD47" i="17"/>
  <c r="JD46" i="17"/>
  <c r="JD45" i="17"/>
  <c r="JD42" i="17"/>
  <c r="JD44" i="17"/>
  <c r="JD41" i="17"/>
  <c r="JD40" i="17"/>
  <c r="JD43" i="17"/>
  <c r="JD38" i="17"/>
  <c r="JD39" i="17"/>
  <c r="JD35" i="17"/>
  <c r="JD37" i="17"/>
  <c r="JD34" i="17"/>
  <c r="JD33" i="17"/>
  <c r="JD32" i="17"/>
  <c r="JD36" i="17"/>
  <c r="JD27" i="17"/>
  <c r="JD29" i="17"/>
  <c r="JD30" i="17"/>
  <c r="JD28" i="17"/>
  <c r="JD26" i="17"/>
  <c r="JD24" i="17"/>
  <c r="JD21" i="17"/>
  <c r="JD23" i="17"/>
  <c r="JD20" i="17"/>
  <c r="JD22" i="17"/>
  <c r="JD19" i="17"/>
  <c r="JD15" i="17"/>
  <c r="JD31" i="17"/>
  <c r="JD13" i="17"/>
  <c r="JD25" i="17"/>
  <c r="JD17" i="17"/>
  <c r="JD18" i="17"/>
  <c r="JD14" i="17"/>
  <c r="JD12" i="17"/>
  <c r="JD11" i="17"/>
  <c r="JE8" i="17"/>
  <c r="JE16" i="17" s="1"/>
  <c r="JD10" i="17"/>
  <c r="JD7" i="17"/>
  <c r="JE49" i="17" l="1"/>
  <c r="JE48" i="17"/>
  <c r="JE47" i="17"/>
  <c r="JE50" i="17"/>
  <c r="JE46" i="17"/>
  <c r="JE43" i="17"/>
  <c r="JE42" i="17"/>
  <c r="JE44" i="17"/>
  <c r="JE45" i="17"/>
  <c r="JE41" i="17"/>
  <c r="JE40" i="17"/>
  <c r="JE35" i="17"/>
  <c r="JE38" i="17"/>
  <c r="JE39" i="17"/>
  <c r="JE37" i="17"/>
  <c r="JE33" i="17"/>
  <c r="JE32" i="17"/>
  <c r="JE36" i="17"/>
  <c r="JE34" i="17"/>
  <c r="JE30" i="17"/>
  <c r="JE29" i="17"/>
  <c r="JE28" i="17"/>
  <c r="JE23" i="17"/>
  <c r="JE20" i="17"/>
  <c r="JE13" i="17"/>
  <c r="JE26" i="17"/>
  <c r="JE31" i="17"/>
  <c r="JE25" i="17"/>
  <c r="JE22" i="17"/>
  <c r="JE21" i="17"/>
  <c r="JE19" i="17"/>
  <c r="JE15" i="17"/>
  <c r="JE14" i="17"/>
  <c r="JE12" i="17"/>
  <c r="JE17" i="17"/>
  <c r="JE11" i="17"/>
  <c r="JE27" i="17"/>
  <c r="JE18" i="17"/>
  <c r="JE24" i="17"/>
  <c r="JE10" i="17"/>
  <c r="JF8" i="17"/>
  <c r="JF16" i="17" s="1"/>
  <c r="JF49" i="17" l="1"/>
  <c r="JF48" i="17"/>
  <c r="JF47" i="17"/>
  <c r="JF46" i="17"/>
  <c r="JF50" i="17"/>
  <c r="JF42" i="17"/>
  <c r="JF44" i="17"/>
  <c r="JF45" i="17"/>
  <c r="JF41" i="17"/>
  <c r="JF40" i="17"/>
  <c r="JF43" i="17"/>
  <c r="JF38" i="17"/>
  <c r="JF39" i="17"/>
  <c r="JF35" i="17"/>
  <c r="JF37" i="17"/>
  <c r="JF33" i="17"/>
  <c r="JF32" i="17"/>
  <c r="JF36" i="17"/>
  <c r="JF34" i="17"/>
  <c r="JF27" i="17"/>
  <c r="JF30" i="17"/>
  <c r="JF29" i="17"/>
  <c r="JF26" i="17"/>
  <c r="JF23" i="17"/>
  <c r="JF20" i="17"/>
  <c r="JF28" i="17"/>
  <c r="JF31" i="17"/>
  <c r="JF17" i="17"/>
  <c r="JF21" i="17"/>
  <c r="JF25" i="17"/>
  <c r="JF19" i="17"/>
  <c r="JF13" i="17"/>
  <c r="JF15" i="17"/>
  <c r="JF14" i="17"/>
  <c r="JF12" i="17"/>
  <c r="JF11" i="17"/>
  <c r="JF22" i="17"/>
  <c r="JF18" i="17"/>
  <c r="JF24" i="17"/>
  <c r="JG8" i="17"/>
  <c r="JG16" i="17" s="1"/>
  <c r="JF10" i="17"/>
  <c r="JG48" i="17" l="1"/>
  <c r="JG49" i="17"/>
  <c r="JG47" i="17"/>
  <c r="JG46" i="17"/>
  <c r="JG50" i="17"/>
  <c r="JG43" i="17"/>
  <c r="JG44" i="17"/>
  <c r="JG45" i="17"/>
  <c r="JG41" i="17"/>
  <c r="JG40" i="17"/>
  <c r="JG38" i="17"/>
  <c r="JG39" i="17"/>
  <c r="JG35" i="17"/>
  <c r="JG37" i="17"/>
  <c r="JG33" i="17"/>
  <c r="JG32" i="17"/>
  <c r="JG36" i="17"/>
  <c r="JG34" i="17"/>
  <c r="JG30" i="17"/>
  <c r="JG29" i="17"/>
  <c r="JG26" i="17"/>
  <c r="JG42" i="17"/>
  <c r="JG28" i="17"/>
  <c r="JG24" i="17"/>
  <c r="JG20" i="17"/>
  <c r="JG31" i="17"/>
  <c r="JG17" i="17"/>
  <c r="JG21" i="17"/>
  <c r="JG19" i="17"/>
  <c r="JG13" i="17"/>
  <c r="JG15" i="17"/>
  <c r="JG14" i="17"/>
  <c r="JG12" i="17"/>
  <c r="JG25" i="17"/>
  <c r="JG27" i="17"/>
  <c r="JG22" i="17"/>
  <c r="JG23" i="17"/>
  <c r="JG18" i="17"/>
  <c r="JG11" i="17"/>
  <c r="JG10" i="17"/>
  <c r="JH8" i="17"/>
  <c r="JH16" i="17" s="1"/>
  <c r="JH48" i="17" l="1"/>
  <c r="JH46" i="17"/>
  <c r="JH50" i="17"/>
  <c r="JH47" i="17"/>
  <c r="JH49" i="17"/>
  <c r="JH37" i="17"/>
  <c r="JH45" i="17"/>
  <c r="JH41" i="17"/>
  <c r="JH40" i="17"/>
  <c r="JH44" i="17"/>
  <c r="JH38" i="17"/>
  <c r="JH43" i="17"/>
  <c r="JH39" i="17"/>
  <c r="JH35" i="17"/>
  <c r="JH32" i="17"/>
  <c r="JH36" i="17"/>
  <c r="JH34" i="17"/>
  <c r="JH30" i="17"/>
  <c r="JH29" i="17"/>
  <c r="JH26" i="17"/>
  <c r="JH20" i="17"/>
  <c r="JH42" i="17"/>
  <c r="JH28" i="17"/>
  <c r="JH25" i="17"/>
  <c r="JH22" i="17"/>
  <c r="JH24" i="17"/>
  <c r="JH31" i="17"/>
  <c r="JH33" i="17"/>
  <c r="JH17" i="17"/>
  <c r="JH21" i="17"/>
  <c r="JH19" i="17"/>
  <c r="JH13" i="17"/>
  <c r="JH15" i="17"/>
  <c r="JH14" i="17"/>
  <c r="JH12" i="17"/>
  <c r="JH27" i="17"/>
  <c r="JH23" i="17"/>
  <c r="JH18" i="17"/>
  <c r="JH11" i="17"/>
  <c r="JI8" i="17"/>
  <c r="JI16" i="17" s="1"/>
  <c r="JH10" i="17"/>
  <c r="JI48" i="17" l="1"/>
  <c r="JI49" i="17"/>
  <c r="JI47" i="17"/>
  <c r="JI46" i="17"/>
  <c r="JI50" i="17"/>
  <c r="JI43" i="17"/>
  <c r="JI44" i="17"/>
  <c r="JI45" i="17"/>
  <c r="JI41" i="17"/>
  <c r="JI38" i="17"/>
  <c r="JI40" i="17"/>
  <c r="JI39" i="17"/>
  <c r="JI35" i="17"/>
  <c r="JI37" i="17"/>
  <c r="JI34" i="17"/>
  <c r="JI32" i="17"/>
  <c r="JI36" i="17"/>
  <c r="JI26" i="17"/>
  <c r="JI30" i="17"/>
  <c r="JI29" i="17"/>
  <c r="JI31" i="17"/>
  <c r="JI28" i="17"/>
  <c r="JI24" i="17"/>
  <c r="JI33" i="17"/>
  <c r="JI20" i="17"/>
  <c r="JI42" i="17"/>
  <c r="JI25" i="17"/>
  <c r="JI22" i="17"/>
  <c r="JI19" i="17"/>
  <c r="JI17" i="17"/>
  <c r="JI21" i="17"/>
  <c r="JI27" i="17"/>
  <c r="JI23" i="17"/>
  <c r="JI13" i="17"/>
  <c r="JI15" i="17"/>
  <c r="JI14" i="17"/>
  <c r="JI12" i="17"/>
  <c r="JI18" i="17"/>
  <c r="JI11" i="17"/>
  <c r="JI10" i="17"/>
  <c r="JJ8" i="17"/>
  <c r="JJ16" i="17" s="1"/>
  <c r="JJ48" i="17" l="1"/>
  <c r="JJ50" i="17"/>
  <c r="JJ43" i="17"/>
  <c r="JJ46" i="17"/>
  <c r="JJ47" i="17"/>
  <c r="JJ42" i="17"/>
  <c r="JJ49" i="17"/>
  <c r="JJ44" i="17"/>
  <c r="JJ41" i="17"/>
  <c r="JJ40" i="17"/>
  <c r="JJ38" i="17"/>
  <c r="JJ39" i="17"/>
  <c r="JJ35" i="17"/>
  <c r="JJ37" i="17"/>
  <c r="JJ34" i="17"/>
  <c r="JJ45" i="17"/>
  <c r="JJ32" i="17"/>
  <c r="JJ36" i="17"/>
  <c r="JJ30" i="17"/>
  <c r="JJ29" i="17"/>
  <c r="JJ31" i="17"/>
  <c r="JJ23" i="17"/>
  <c r="JJ22" i="17"/>
  <c r="JJ33" i="17"/>
  <c r="JJ25" i="17"/>
  <c r="JJ28" i="17"/>
  <c r="JJ26" i="17"/>
  <c r="JJ17" i="17"/>
  <c r="JJ21" i="17"/>
  <c r="JJ20" i="17"/>
  <c r="JJ27" i="17"/>
  <c r="JJ18" i="17"/>
  <c r="JJ13" i="17"/>
  <c r="JJ15" i="17"/>
  <c r="JJ14" i="17"/>
  <c r="JJ12" i="17"/>
  <c r="JJ11" i="17"/>
  <c r="JJ24" i="17"/>
  <c r="JJ19" i="17"/>
  <c r="JK8" i="17"/>
  <c r="JK16" i="17" s="1"/>
  <c r="JJ10" i="17"/>
  <c r="JK48" i="17" l="1"/>
  <c r="JK46" i="17"/>
  <c r="JK50" i="17"/>
  <c r="JK47" i="17"/>
  <c r="JK49" i="17"/>
  <c r="JK44" i="17"/>
  <c r="JK41" i="17"/>
  <c r="JK45" i="17"/>
  <c r="JK43" i="17"/>
  <c r="JK40" i="17"/>
  <c r="JK38" i="17"/>
  <c r="JK39" i="17"/>
  <c r="JK35" i="17"/>
  <c r="JK37" i="17"/>
  <c r="JK34" i="17"/>
  <c r="JK36" i="17"/>
  <c r="JK32" i="17"/>
  <c r="JK26" i="17"/>
  <c r="JK30" i="17"/>
  <c r="JK29" i="17"/>
  <c r="JK33" i="17"/>
  <c r="JK42" i="17"/>
  <c r="JK28" i="17"/>
  <c r="JK19" i="17"/>
  <c r="JK25" i="17"/>
  <c r="JK22" i="17"/>
  <c r="JK31" i="17"/>
  <c r="JK17" i="17"/>
  <c r="JK21" i="17"/>
  <c r="JK20" i="17"/>
  <c r="JK27" i="17"/>
  <c r="JK15" i="17"/>
  <c r="JK23" i="17"/>
  <c r="JK18" i="17"/>
  <c r="JK24" i="17"/>
  <c r="JK13" i="17"/>
  <c r="JK14" i="17"/>
  <c r="JK12" i="17"/>
  <c r="JK11" i="17"/>
  <c r="JL8" i="17"/>
  <c r="JL16" i="17" s="1"/>
  <c r="JK10" i="17"/>
  <c r="JL48" i="17" l="1"/>
  <c r="JL50" i="17"/>
  <c r="JL47" i="17"/>
  <c r="JL46" i="17"/>
  <c r="JL49" i="17"/>
  <c r="JL44" i="17"/>
  <c r="JL41" i="17"/>
  <c r="JL45" i="17"/>
  <c r="JL42" i="17"/>
  <c r="JL43" i="17"/>
  <c r="JL39" i="17"/>
  <c r="JL35" i="17"/>
  <c r="JL38" i="17"/>
  <c r="JL37" i="17"/>
  <c r="JL34" i="17"/>
  <c r="JL36" i="17"/>
  <c r="JL32" i="17"/>
  <c r="JL40" i="17"/>
  <c r="JL31" i="17"/>
  <c r="JL30" i="17"/>
  <c r="JL29" i="17"/>
  <c r="JL33" i="17"/>
  <c r="JL28" i="17"/>
  <c r="JL25" i="17"/>
  <c r="JL22" i="17"/>
  <c r="JL26" i="17"/>
  <c r="JL27" i="17"/>
  <c r="JL21" i="17"/>
  <c r="JL20" i="17"/>
  <c r="JL15" i="17"/>
  <c r="JL24" i="17"/>
  <c r="JL14" i="17"/>
  <c r="JL12" i="17"/>
  <c r="JL11" i="17"/>
  <c r="JL23" i="17"/>
  <c r="JL18" i="17"/>
  <c r="JL19" i="17"/>
  <c r="JL17" i="17"/>
  <c r="JL13" i="17"/>
  <c r="JM8" i="17"/>
  <c r="JM16" i="17" s="1"/>
  <c r="JL10" i="17"/>
  <c r="JM45" i="17" l="1"/>
  <c r="JM49" i="17"/>
  <c r="JM47" i="17"/>
  <c r="JM46" i="17"/>
  <c r="JM44" i="17"/>
  <c r="JM50" i="17"/>
  <c r="JM40" i="17"/>
  <c r="JM39" i="17"/>
  <c r="JM42" i="17"/>
  <c r="JM43" i="17"/>
  <c r="JM38" i="17"/>
  <c r="JM37" i="17"/>
  <c r="JM34" i="17"/>
  <c r="JM41" i="17"/>
  <c r="JM36" i="17"/>
  <c r="JM48" i="17"/>
  <c r="JM31" i="17"/>
  <c r="JM29" i="17"/>
  <c r="JM33" i="17"/>
  <c r="JM25" i="17"/>
  <c r="JM28" i="17"/>
  <c r="JM19" i="17"/>
  <c r="JM27" i="17"/>
  <c r="JM21" i="17"/>
  <c r="JM35" i="17"/>
  <c r="JM32" i="17"/>
  <c r="JM15" i="17"/>
  <c r="JM26" i="17"/>
  <c r="JM30" i="17"/>
  <c r="JM20" i="17"/>
  <c r="JM11" i="17"/>
  <c r="JM23" i="17"/>
  <c r="JM22" i="17"/>
  <c r="JM12" i="17"/>
  <c r="JM18" i="17"/>
  <c r="JM17" i="17"/>
  <c r="JM24" i="17"/>
  <c r="JM13" i="17"/>
  <c r="JM14" i="17"/>
  <c r="JN8" i="17"/>
  <c r="JN16" i="17" s="1"/>
  <c r="JM10" i="17"/>
  <c r="JN48" i="17" l="1"/>
  <c r="JN45" i="17"/>
  <c r="JN49" i="17"/>
  <c r="JN47" i="17"/>
  <c r="JN46" i="17"/>
  <c r="JN44" i="17"/>
  <c r="JN50" i="17"/>
  <c r="JN42" i="17"/>
  <c r="JN43" i="17"/>
  <c r="JN39" i="17"/>
  <c r="JN37" i="17"/>
  <c r="JN34" i="17"/>
  <c r="JN41" i="17"/>
  <c r="JN40" i="17"/>
  <c r="JN36" i="17"/>
  <c r="JN31" i="17"/>
  <c r="JN29" i="17"/>
  <c r="JN25" i="17"/>
  <c r="JN33" i="17"/>
  <c r="JN35" i="17"/>
  <c r="JN32" i="17"/>
  <c r="JN27" i="17"/>
  <c r="JN19" i="17"/>
  <c r="JN22" i="17"/>
  <c r="JN24" i="17"/>
  <c r="JN28" i="17"/>
  <c r="JN21" i="17"/>
  <c r="JN15" i="17"/>
  <c r="JN26" i="17"/>
  <c r="JN38" i="17"/>
  <c r="JN30" i="17"/>
  <c r="JN20" i="17"/>
  <c r="JN11" i="17"/>
  <c r="JN23" i="17"/>
  <c r="JN17" i="17"/>
  <c r="JN18" i="17"/>
  <c r="JN13" i="17"/>
  <c r="JN12" i="17"/>
  <c r="JN14" i="17"/>
  <c r="JO8" i="17"/>
  <c r="JO16" i="17" s="1"/>
  <c r="JN10" i="17"/>
  <c r="JO47" i="17" l="1"/>
  <c r="JO49" i="17"/>
  <c r="JO42" i="17"/>
  <c r="JO44" i="17"/>
  <c r="JO50" i="17"/>
  <c r="JO48" i="17"/>
  <c r="JO46" i="17"/>
  <c r="JO39" i="17"/>
  <c r="JO45" i="17"/>
  <c r="JO43" i="17"/>
  <c r="JO37" i="17"/>
  <c r="JO34" i="17"/>
  <c r="JO41" i="17"/>
  <c r="JO40" i="17"/>
  <c r="JO36" i="17"/>
  <c r="JO31" i="17"/>
  <c r="JO33" i="17"/>
  <c r="JO29" i="17"/>
  <c r="JO35" i="17"/>
  <c r="JO32" i="17"/>
  <c r="JO38" i="17"/>
  <c r="JO28" i="17"/>
  <c r="JO22" i="17"/>
  <c r="JO25" i="17"/>
  <c r="JO24" i="17"/>
  <c r="JO23" i="17"/>
  <c r="JO15" i="17"/>
  <c r="JO26" i="17"/>
  <c r="JO27" i="17"/>
  <c r="JO21" i="17"/>
  <c r="JO30" i="17"/>
  <c r="JO20" i="17"/>
  <c r="JO11" i="17"/>
  <c r="JO17" i="17"/>
  <c r="JO18" i="17"/>
  <c r="JO19" i="17"/>
  <c r="JO13" i="17"/>
  <c r="JO12" i="17"/>
  <c r="JO14" i="17"/>
  <c r="JP8" i="17"/>
  <c r="JP16" i="17" s="1"/>
  <c r="JO10" i="17"/>
  <c r="JP47" i="17" l="1"/>
  <c r="JP50" i="17"/>
  <c r="JP45" i="17"/>
  <c r="JP49" i="17"/>
  <c r="JP44" i="17"/>
  <c r="JP48" i="17"/>
  <c r="JP46" i="17"/>
  <c r="JP43" i="17"/>
  <c r="JP42" i="17"/>
  <c r="JP39" i="17"/>
  <c r="JP36" i="17"/>
  <c r="JP37" i="17"/>
  <c r="JP34" i="17"/>
  <c r="JP41" i="17"/>
  <c r="JP33" i="17"/>
  <c r="JP40" i="17"/>
  <c r="JP31" i="17"/>
  <c r="JP29" i="17"/>
  <c r="JP25" i="17"/>
  <c r="JP28" i="17"/>
  <c r="JP35" i="17"/>
  <c r="JP32" i="17"/>
  <c r="JP38" i="17"/>
  <c r="JP24" i="17"/>
  <c r="JP23" i="17"/>
  <c r="JP26" i="17"/>
  <c r="JP27" i="17"/>
  <c r="JP18" i="17"/>
  <c r="JP19" i="17"/>
  <c r="JP30" i="17"/>
  <c r="JP20" i="17"/>
  <c r="JP15" i="17"/>
  <c r="JP11" i="17"/>
  <c r="JP21" i="17"/>
  <c r="JP17" i="17"/>
  <c r="JP22" i="17"/>
  <c r="JP12" i="17"/>
  <c r="JP13" i="17"/>
  <c r="JP14" i="17"/>
  <c r="JQ8" i="17"/>
  <c r="JQ16" i="17" s="1"/>
  <c r="JP10" i="17"/>
  <c r="JQ50" i="17" l="1"/>
  <c r="JQ49" i="17"/>
  <c r="JQ47" i="17"/>
  <c r="JQ44" i="17"/>
  <c r="JQ48" i="17"/>
  <c r="JQ46" i="17"/>
  <c r="JQ43" i="17"/>
  <c r="JQ42" i="17"/>
  <c r="JQ45" i="17"/>
  <c r="JQ39" i="17"/>
  <c r="JQ37" i="17"/>
  <c r="JQ41" i="17"/>
  <c r="JQ40" i="17"/>
  <c r="JQ36" i="17"/>
  <c r="JQ31" i="17"/>
  <c r="JQ34" i="17"/>
  <c r="JQ33" i="17"/>
  <c r="JQ28" i="17"/>
  <c r="JQ35" i="17"/>
  <c r="JQ32" i="17"/>
  <c r="JQ38" i="17"/>
  <c r="JQ25" i="17"/>
  <c r="JQ27" i="17"/>
  <c r="JQ24" i="17"/>
  <c r="JQ26" i="17"/>
  <c r="JQ14" i="17"/>
  <c r="JQ18" i="17"/>
  <c r="JQ29" i="17"/>
  <c r="JQ19" i="17"/>
  <c r="JQ15" i="17"/>
  <c r="JQ11" i="17"/>
  <c r="JQ21" i="17"/>
  <c r="JQ23" i="17"/>
  <c r="JQ17" i="17"/>
  <c r="JQ30" i="17"/>
  <c r="JQ20" i="17"/>
  <c r="JQ13" i="17"/>
  <c r="JQ12" i="17"/>
  <c r="JQ22" i="17"/>
  <c r="JQ10" i="17"/>
  <c r="JR8" i="17"/>
  <c r="JR16" i="17" s="1"/>
  <c r="JR50" i="17" l="1"/>
  <c r="JR44" i="17"/>
  <c r="JR49" i="17"/>
  <c r="JR47" i="17"/>
  <c r="JR48" i="17"/>
  <c r="JR46" i="17"/>
  <c r="JR39" i="17"/>
  <c r="JR38" i="17"/>
  <c r="JR43" i="17"/>
  <c r="JR42" i="17"/>
  <c r="JR45" i="17"/>
  <c r="JR41" i="17"/>
  <c r="JR40" i="17"/>
  <c r="JR36" i="17"/>
  <c r="JR34" i="17"/>
  <c r="JR28" i="17"/>
  <c r="JR33" i="17"/>
  <c r="JR35" i="17"/>
  <c r="JR32" i="17"/>
  <c r="JR25" i="17"/>
  <c r="JR37" i="17"/>
  <c r="JR31" i="17"/>
  <c r="JR18" i="17"/>
  <c r="JR24" i="17"/>
  <c r="JR26" i="17"/>
  <c r="JR21" i="17"/>
  <c r="JR20" i="17"/>
  <c r="JR27" i="17"/>
  <c r="JR14" i="17"/>
  <c r="JR23" i="17"/>
  <c r="JR29" i="17"/>
  <c r="JR17" i="17"/>
  <c r="JR22" i="17"/>
  <c r="JR30" i="17"/>
  <c r="JR15" i="17"/>
  <c r="JR13" i="17"/>
  <c r="JR12" i="17"/>
  <c r="JR11" i="17"/>
  <c r="JR19" i="17"/>
  <c r="JS8" i="17"/>
  <c r="JS16" i="17" s="1"/>
  <c r="JR10" i="17"/>
  <c r="JS50" i="17" l="1"/>
  <c r="JS49" i="17"/>
  <c r="JS47" i="17"/>
  <c r="JS48" i="17"/>
  <c r="JS45" i="17"/>
  <c r="JS43" i="17"/>
  <c r="JS42" i="17"/>
  <c r="JS46" i="17"/>
  <c r="JS39" i="17"/>
  <c r="JS44" i="17"/>
  <c r="JS41" i="17"/>
  <c r="JS40" i="17"/>
  <c r="JS36" i="17"/>
  <c r="JS34" i="17"/>
  <c r="JS30" i="17"/>
  <c r="JS28" i="17"/>
  <c r="JS24" i="17"/>
  <c r="JS33" i="17"/>
  <c r="JS35" i="17"/>
  <c r="JS32" i="17"/>
  <c r="JS25" i="17"/>
  <c r="JS38" i="17"/>
  <c r="JS27" i="17"/>
  <c r="JS26" i="17"/>
  <c r="JS37" i="17"/>
  <c r="JS21" i="17"/>
  <c r="JS29" i="17"/>
  <c r="JS14" i="17"/>
  <c r="JS31" i="17"/>
  <c r="JS18" i="17"/>
  <c r="JS23" i="17"/>
  <c r="JS22" i="17"/>
  <c r="JS17" i="17"/>
  <c r="JS13" i="17"/>
  <c r="JS15" i="17"/>
  <c r="JS20" i="17"/>
  <c r="JS12" i="17"/>
  <c r="JS11" i="17"/>
  <c r="JS19" i="17"/>
  <c r="JT8" i="17"/>
  <c r="JT16" i="17" s="1"/>
  <c r="JS10" i="17"/>
  <c r="JT50" i="17" l="1"/>
  <c r="JT46" i="17"/>
  <c r="JT49" i="17"/>
  <c r="JT47" i="17"/>
  <c r="JT41" i="17"/>
  <c r="JT48" i="17"/>
  <c r="JT45" i="17"/>
  <c r="JT43" i="17"/>
  <c r="JT42" i="17"/>
  <c r="JT39" i="17"/>
  <c r="JT36" i="17"/>
  <c r="JT40" i="17"/>
  <c r="JT35" i="17"/>
  <c r="JT34" i="17"/>
  <c r="JT30" i="17"/>
  <c r="JT32" i="17"/>
  <c r="JT28" i="17"/>
  <c r="JT37" i="17"/>
  <c r="JT31" i="17"/>
  <c r="JT33" i="17"/>
  <c r="JT38" i="17"/>
  <c r="JT27" i="17"/>
  <c r="JT44" i="17"/>
  <c r="JT25" i="17"/>
  <c r="JT24" i="17"/>
  <c r="JT26" i="17"/>
  <c r="JT21" i="17"/>
  <c r="JT29" i="17"/>
  <c r="JT14" i="17"/>
  <c r="JT18" i="17"/>
  <c r="JT23" i="17"/>
  <c r="JT22" i="17"/>
  <c r="JT17" i="17"/>
  <c r="JT13" i="17"/>
  <c r="JT12" i="17"/>
  <c r="JT15" i="17"/>
  <c r="JT20" i="17"/>
  <c r="JT11" i="17"/>
  <c r="JT19" i="17"/>
  <c r="JR7" i="17"/>
  <c r="JT10" i="17"/>
  <c r="JU8" i="17"/>
  <c r="JU16" i="17" s="1"/>
  <c r="JU50" i="17" l="1"/>
  <c r="JU49" i="17"/>
  <c r="JU47" i="17"/>
  <c r="JU48" i="17"/>
  <c r="JU45" i="17"/>
  <c r="JU43" i="17"/>
  <c r="JU42" i="17"/>
  <c r="JU46" i="17"/>
  <c r="JU39" i="17"/>
  <c r="JU37" i="17"/>
  <c r="JU40" i="17"/>
  <c r="JU33" i="17"/>
  <c r="JU41" i="17"/>
  <c r="JU36" i="17"/>
  <c r="JU35" i="17"/>
  <c r="JU34" i="17"/>
  <c r="JU30" i="17"/>
  <c r="JU32" i="17"/>
  <c r="JU28" i="17"/>
  <c r="JU27" i="17"/>
  <c r="JU31" i="17"/>
  <c r="JU25" i="17"/>
  <c r="JU38" i="17"/>
  <c r="JU44" i="17"/>
  <c r="JU24" i="17"/>
  <c r="JU26" i="17"/>
  <c r="JU21" i="17"/>
  <c r="JU29" i="17"/>
  <c r="JU23" i="17"/>
  <c r="JU18" i="17"/>
  <c r="JU20" i="17"/>
  <c r="JU17" i="17"/>
  <c r="JU22" i="17"/>
  <c r="JU12" i="17"/>
  <c r="JU14" i="17"/>
  <c r="JU15" i="17"/>
  <c r="JU11" i="17"/>
  <c r="JU13" i="17"/>
  <c r="JU19" i="17"/>
  <c r="JU10" i="17"/>
  <c r="JV8" i="17"/>
  <c r="JV16" i="17" s="1"/>
  <c r="JV49" i="17" l="1"/>
  <c r="JV50" i="17"/>
  <c r="JV47" i="17"/>
  <c r="JV48" i="17"/>
  <c r="JV45" i="17"/>
  <c r="JV43" i="17"/>
  <c r="JV42" i="17"/>
  <c r="JV46" i="17"/>
  <c r="JV41" i="17"/>
  <c r="JV40" i="17"/>
  <c r="JV36" i="17"/>
  <c r="JV38" i="17"/>
  <c r="JV30" i="17"/>
  <c r="JV33" i="17"/>
  <c r="JV35" i="17"/>
  <c r="JV31" i="17"/>
  <c r="JV37" i="17"/>
  <c r="JV32" i="17"/>
  <c r="JV25" i="17"/>
  <c r="JV27" i="17"/>
  <c r="JV44" i="17"/>
  <c r="JV26" i="17"/>
  <c r="JV24" i="17"/>
  <c r="JV23" i="17"/>
  <c r="JV29" i="17"/>
  <c r="JV39" i="17"/>
  <c r="JV34" i="17"/>
  <c r="JV18" i="17"/>
  <c r="JV19" i="17"/>
  <c r="JV20" i="17"/>
  <c r="JV28" i="17"/>
  <c r="JV21" i="17"/>
  <c r="JV17" i="17"/>
  <c r="JV22" i="17"/>
  <c r="JV15" i="17"/>
  <c r="JV14" i="17"/>
  <c r="JV13" i="17"/>
  <c r="JV11" i="17"/>
  <c r="JV12" i="17"/>
  <c r="JV10" i="17"/>
  <c r="JW8" i="17"/>
  <c r="JW16" i="17" s="1"/>
  <c r="JW49" i="17" l="1"/>
  <c r="JW50" i="17"/>
  <c r="JW47" i="17"/>
  <c r="JW48" i="17"/>
  <c r="JW45" i="17"/>
  <c r="JW38" i="17"/>
  <c r="JW43" i="17"/>
  <c r="JW42" i="17"/>
  <c r="JW40" i="17"/>
  <c r="JW41" i="17"/>
  <c r="JW44" i="17"/>
  <c r="JW36" i="17"/>
  <c r="JW33" i="17"/>
  <c r="JW35" i="17"/>
  <c r="JW31" i="17"/>
  <c r="JW37" i="17"/>
  <c r="JW46" i="17"/>
  <c r="JW32" i="17"/>
  <c r="JW25" i="17"/>
  <c r="JW27" i="17"/>
  <c r="JW39" i="17"/>
  <c r="JW34" i="17"/>
  <c r="JW21" i="17"/>
  <c r="JW17" i="17"/>
  <c r="JW29" i="17"/>
  <c r="JW26" i="17"/>
  <c r="JW23" i="17"/>
  <c r="JW20" i="17"/>
  <c r="JW30" i="17"/>
  <c r="JW22" i="17"/>
  <c r="JW24" i="17"/>
  <c r="JW18" i="17"/>
  <c r="JW13" i="17"/>
  <c r="JW19" i="17"/>
  <c r="JW15" i="17"/>
  <c r="JW28" i="17"/>
  <c r="JW12" i="17"/>
  <c r="JW14" i="17"/>
  <c r="JW11" i="17"/>
  <c r="JX8" i="17"/>
  <c r="JX16" i="17" s="1"/>
  <c r="JW10" i="17"/>
  <c r="JX49" i="17" l="1"/>
  <c r="JX50" i="17"/>
  <c r="JX47" i="17"/>
  <c r="JX48" i="17"/>
  <c r="JX45" i="17"/>
  <c r="JX43" i="17"/>
  <c r="JX42" i="17"/>
  <c r="JX40" i="17"/>
  <c r="JX41" i="17"/>
  <c r="JX36" i="17"/>
  <c r="JX38" i="17"/>
  <c r="JX34" i="17"/>
  <c r="JX33" i="17"/>
  <c r="JX27" i="17"/>
  <c r="JX31" i="17"/>
  <c r="JX37" i="17"/>
  <c r="JX46" i="17"/>
  <c r="JX35" i="17"/>
  <c r="JX30" i="17"/>
  <c r="JX29" i="17"/>
  <c r="JX32" i="17"/>
  <c r="JX44" i="17"/>
  <c r="JX26" i="17"/>
  <c r="JX24" i="17"/>
  <c r="JX39" i="17"/>
  <c r="JX28" i="17"/>
  <c r="JX25" i="17"/>
  <c r="JX21" i="17"/>
  <c r="JX23" i="17"/>
  <c r="JX20" i="17"/>
  <c r="JX22" i="17"/>
  <c r="JX19" i="17"/>
  <c r="JX15" i="17"/>
  <c r="JX17" i="17"/>
  <c r="JX18" i="17"/>
  <c r="JX14" i="17"/>
  <c r="JX11" i="17"/>
  <c r="JX13" i="17"/>
  <c r="JX12" i="17"/>
  <c r="JY8" i="17"/>
  <c r="JY16" i="17" s="1"/>
  <c r="JX10" i="17"/>
  <c r="JY49" i="17" l="1"/>
  <c r="JY50" i="17"/>
  <c r="JY48" i="17"/>
  <c r="JY46" i="17"/>
  <c r="JY47" i="17"/>
  <c r="JY45" i="17"/>
  <c r="JY43" i="17"/>
  <c r="JY42" i="17"/>
  <c r="JY41" i="17"/>
  <c r="JY40" i="17"/>
  <c r="JY35" i="17"/>
  <c r="JY36" i="17"/>
  <c r="JY33" i="17"/>
  <c r="JY32" i="17"/>
  <c r="JY38" i="17"/>
  <c r="JY31" i="17"/>
  <c r="JY37" i="17"/>
  <c r="JY30" i="17"/>
  <c r="JY29" i="17"/>
  <c r="JY27" i="17"/>
  <c r="JY44" i="17"/>
  <c r="JY26" i="17"/>
  <c r="JY24" i="17"/>
  <c r="JY23" i="17"/>
  <c r="JY39" i="17"/>
  <c r="JY34" i="17"/>
  <c r="JY20" i="17"/>
  <c r="JY25" i="17"/>
  <c r="JY13" i="17"/>
  <c r="JY19" i="17"/>
  <c r="JY22" i="17"/>
  <c r="JY18" i="17"/>
  <c r="JY12" i="17"/>
  <c r="JY14" i="17"/>
  <c r="JY11" i="17"/>
  <c r="JY15" i="17"/>
  <c r="JY28" i="17"/>
  <c r="JY21" i="17"/>
  <c r="JY17" i="17"/>
  <c r="JY10" i="17"/>
  <c r="JZ8" i="17"/>
  <c r="JZ16" i="17" s="1"/>
  <c r="JZ49" i="17" l="1"/>
  <c r="JZ50" i="17"/>
  <c r="JZ47" i="17"/>
  <c r="JZ48" i="17"/>
  <c r="JZ46" i="17"/>
  <c r="JZ45" i="17"/>
  <c r="JZ42" i="17"/>
  <c r="JZ41" i="17"/>
  <c r="JZ40" i="17"/>
  <c r="JZ43" i="17"/>
  <c r="JZ38" i="17"/>
  <c r="JZ35" i="17"/>
  <c r="JZ37" i="17"/>
  <c r="JZ33" i="17"/>
  <c r="JZ32" i="17"/>
  <c r="JZ27" i="17"/>
  <c r="JZ31" i="17"/>
  <c r="JZ44" i="17"/>
  <c r="JZ26" i="17"/>
  <c r="JZ39" i="17"/>
  <c r="JZ34" i="17"/>
  <c r="JZ28" i="17"/>
  <c r="JZ29" i="17"/>
  <c r="JZ23" i="17"/>
  <c r="JZ20" i="17"/>
  <c r="JZ30" i="17"/>
  <c r="JZ36" i="17"/>
  <c r="JZ19" i="17"/>
  <c r="JZ22" i="17"/>
  <c r="JZ18" i="17"/>
  <c r="JZ25" i="17"/>
  <c r="JZ12" i="17"/>
  <c r="JZ13" i="17"/>
  <c r="JZ14" i="17"/>
  <c r="JZ11" i="17"/>
  <c r="JZ15" i="17"/>
  <c r="JZ21" i="17"/>
  <c r="JZ17" i="17"/>
  <c r="JZ24" i="17"/>
  <c r="JZ10" i="17"/>
  <c r="KA8" i="17"/>
  <c r="KA16" i="17" s="1"/>
  <c r="KA48" i="17" l="1"/>
  <c r="KA50" i="17"/>
  <c r="KA47" i="17"/>
  <c r="KA46" i="17"/>
  <c r="KA49" i="17"/>
  <c r="KA45" i="17"/>
  <c r="KA43" i="17"/>
  <c r="KA42" i="17"/>
  <c r="KA41" i="17"/>
  <c r="KA40" i="17"/>
  <c r="KA44" i="17"/>
  <c r="KA38" i="17"/>
  <c r="KA35" i="17"/>
  <c r="KA37" i="17"/>
  <c r="KA29" i="17"/>
  <c r="KA33" i="17"/>
  <c r="KA32" i="17"/>
  <c r="KA31" i="17"/>
  <c r="KA27" i="17"/>
  <c r="KA26" i="17"/>
  <c r="KA39" i="17"/>
  <c r="KA34" i="17"/>
  <c r="KA28" i="17"/>
  <c r="KA36" i="17"/>
  <c r="KA30" i="17"/>
  <c r="KA23" i="17"/>
  <c r="KA19" i="17"/>
  <c r="KA17" i="17"/>
  <c r="KA22" i="17"/>
  <c r="KA18" i="17"/>
  <c r="KA25" i="17"/>
  <c r="KA12" i="17"/>
  <c r="KA13" i="17"/>
  <c r="KA15" i="17"/>
  <c r="KA21" i="17"/>
  <c r="KA20" i="17"/>
  <c r="KA11" i="17"/>
  <c r="KA14" i="17"/>
  <c r="KA24" i="17"/>
  <c r="KA10" i="17"/>
  <c r="KA7" i="17"/>
  <c r="KB8" i="17"/>
  <c r="KB16" i="17" s="1"/>
  <c r="KB48" i="17" l="1"/>
  <c r="KB47" i="17"/>
  <c r="KB46" i="17"/>
  <c r="KB49" i="17"/>
  <c r="KB50" i="17"/>
  <c r="KB42" i="17"/>
  <c r="KB37" i="17"/>
  <c r="KB41" i="17"/>
  <c r="KB40" i="17"/>
  <c r="KB45" i="17"/>
  <c r="KB43" i="17"/>
  <c r="KB44" i="17"/>
  <c r="KB38" i="17"/>
  <c r="KB35" i="17"/>
  <c r="KB33" i="17"/>
  <c r="KB32" i="17"/>
  <c r="KB27" i="17"/>
  <c r="KB26" i="17"/>
  <c r="KB39" i="17"/>
  <c r="KB34" i="17"/>
  <c r="KB28" i="17"/>
  <c r="KB36" i="17"/>
  <c r="KB29" i="17"/>
  <c r="KB23" i="17"/>
  <c r="KB20" i="17"/>
  <c r="KB19" i="17"/>
  <c r="KB31" i="17"/>
  <c r="KB17" i="17"/>
  <c r="KB22" i="17"/>
  <c r="KB21" i="17"/>
  <c r="KB18" i="17"/>
  <c r="KB25" i="17"/>
  <c r="KB12" i="17"/>
  <c r="KB13" i="17"/>
  <c r="KB15" i="17"/>
  <c r="KB30" i="17"/>
  <c r="KB24" i="17"/>
  <c r="KB11" i="17"/>
  <c r="KB14" i="17"/>
  <c r="KB10" i="17"/>
  <c r="KC8" i="17"/>
  <c r="KC16" i="17" s="1"/>
  <c r="KC48" i="17" l="1"/>
  <c r="KC50" i="17"/>
  <c r="KC47" i="17"/>
  <c r="KC46" i="17"/>
  <c r="KC49" i="17"/>
  <c r="KC43" i="17"/>
  <c r="KC41" i="17"/>
  <c r="KC44" i="17"/>
  <c r="KC42" i="17"/>
  <c r="KC40" i="17"/>
  <c r="KC45" i="17"/>
  <c r="KC38" i="17"/>
  <c r="KC39" i="17"/>
  <c r="KC35" i="17"/>
  <c r="KC34" i="17"/>
  <c r="KC33" i="17"/>
  <c r="KC32" i="17"/>
  <c r="KC37" i="17"/>
  <c r="KC26" i="17"/>
  <c r="KC30" i="17"/>
  <c r="KC28" i="17"/>
  <c r="KC36" i="17"/>
  <c r="KC31" i="17"/>
  <c r="KC29" i="17"/>
  <c r="KC23" i="17"/>
  <c r="KC20" i="17"/>
  <c r="KC19" i="17"/>
  <c r="KC22" i="17"/>
  <c r="KC27" i="17"/>
  <c r="KC17" i="17"/>
  <c r="KC25" i="17"/>
  <c r="KC24" i="17"/>
  <c r="KC21" i="17"/>
  <c r="KC18" i="17"/>
  <c r="KC12" i="17"/>
  <c r="KC13" i="17"/>
  <c r="KC14" i="17"/>
  <c r="KC11" i="17"/>
  <c r="KC15" i="17"/>
  <c r="KC10" i="17"/>
  <c r="KD8" i="17"/>
  <c r="KD16" i="17" s="1"/>
  <c r="KD48" i="17" l="1"/>
  <c r="KD46" i="17"/>
  <c r="KD49" i="17"/>
  <c r="KD43" i="17"/>
  <c r="KD50" i="17"/>
  <c r="KD42" i="17"/>
  <c r="KD44" i="17"/>
  <c r="KD41" i="17"/>
  <c r="KD40" i="17"/>
  <c r="KD47" i="17"/>
  <c r="KD45" i="17"/>
  <c r="KD38" i="17"/>
  <c r="KD39" i="17"/>
  <c r="KD35" i="17"/>
  <c r="KD34" i="17"/>
  <c r="KD32" i="17"/>
  <c r="KD37" i="17"/>
  <c r="KD30" i="17"/>
  <c r="KD29" i="17"/>
  <c r="KD24" i="17"/>
  <c r="KD23" i="17"/>
  <c r="KD33" i="17"/>
  <c r="KD26" i="17"/>
  <c r="KD28" i="17"/>
  <c r="KD36" i="17"/>
  <c r="KD22" i="17"/>
  <c r="KD31" i="17"/>
  <c r="KD27" i="17"/>
  <c r="KD17" i="17"/>
  <c r="KD25" i="17"/>
  <c r="KD15" i="17"/>
  <c r="KD19" i="17"/>
  <c r="KD18" i="17"/>
  <c r="KD12" i="17"/>
  <c r="KD13" i="17"/>
  <c r="KD14" i="17"/>
  <c r="KD11" i="17"/>
  <c r="KD21" i="17"/>
  <c r="KD20" i="17"/>
  <c r="KE8" i="17"/>
  <c r="KE16" i="17" s="1"/>
  <c r="KD10" i="17"/>
  <c r="KE48" i="17" l="1"/>
  <c r="KE47" i="17"/>
  <c r="KE49" i="17"/>
  <c r="KE46" i="17"/>
  <c r="KE50" i="17"/>
  <c r="KE44" i="17"/>
  <c r="KE41" i="17"/>
  <c r="KE38" i="17"/>
  <c r="KE43" i="17"/>
  <c r="KE42" i="17"/>
  <c r="KE40" i="17"/>
  <c r="KE35" i="17"/>
  <c r="KE34" i="17"/>
  <c r="KE45" i="17"/>
  <c r="KE39" i="17"/>
  <c r="KE32" i="17"/>
  <c r="KE26" i="17"/>
  <c r="KE37" i="17"/>
  <c r="KE30" i="17"/>
  <c r="KE29" i="17"/>
  <c r="KE33" i="17"/>
  <c r="KE28" i="17"/>
  <c r="KE36" i="17"/>
  <c r="KE31" i="17"/>
  <c r="KE19" i="17"/>
  <c r="KE27" i="17"/>
  <c r="KE22" i="17"/>
  <c r="KE17" i="17"/>
  <c r="KE23" i="17"/>
  <c r="KE25" i="17"/>
  <c r="KE15" i="17"/>
  <c r="KE24" i="17"/>
  <c r="KE18" i="17"/>
  <c r="KE12" i="17"/>
  <c r="KE13" i="17"/>
  <c r="KE11" i="17"/>
  <c r="KE14" i="17"/>
  <c r="KE20" i="17"/>
  <c r="KE21" i="17"/>
  <c r="KF8" i="17"/>
  <c r="KF16" i="17" s="1"/>
  <c r="KE10" i="17"/>
  <c r="KF46" i="17" l="1"/>
  <c r="KF49" i="17"/>
  <c r="KF48" i="17"/>
  <c r="KF50" i="17"/>
  <c r="KF44" i="17"/>
  <c r="KF41" i="17"/>
  <c r="KF47" i="17"/>
  <c r="KF43" i="17"/>
  <c r="KF38" i="17"/>
  <c r="KF42" i="17"/>
  <c r="KF40" i="17"/>
  <c r="KF35" i="17"/>
  <c r="KF34" i="17"/>
  <c r="KF37" i="17"/>
  <c r="KF39" i="17"/>
  <c r="KF32" i="17"/>
  <c r="KF45" i="17"/>
  <c r="KF31" i="17"/>
  <c r="KF30" i="17"/>
  <c r="KF29" i="17"/>
  <c r="KF33" i="17"/>
  <c r="KF26" i="17"/>
  <c r="KF28" i="17"/>
  <c r="KF36" i="17"/>
  <c r="KF25" i="17"/>
  <c r="KF27" i="17"/>
  <c r="KF22" i="17"/>
  <c r="KF21" i="17"/>
  <c r="KF17" i="17"/>
  <c r="KF23" i="17"/>
  <c r="KF15" i="17"/>
  <c r="KF24" i="17"/>
  <c r="KF18" i="17"/>
  <c r="KF12" i="17"/>
  <c r="KF13" i="17"/>
  <c r="KF14" i="17"/>
  <c r="KF11" i="17"/>
  <c r="KF19" i="17"/>
  <c r="KF20" i="17"/>
  <c r="KF10" i="17"/>
  <c r="KG8" i="17"/>
  <c r="KG16" i="17" s="1"/>
  <c r="KG45" i="17" l="1"/>
  <c r="KG48" i="17"/>
  <c r="KG49" i="17"/>
  <c r="KG46" i="17"/>
  <c r="KG50" i="17"/>
  <c r="KG44" i="17"/>
  <c r="KG41" i="17"/>
  <c r="KG40" i="17"/>
  <c r="KG47" i="17"/>
  <c r="KG39" i="17"/>
  <c r="KG43" i="17"/>
  <c r="KG38" i="17"/>
  <c r="KG35" i="17"/>
  <c r="KG34" i="17"/>
  <c r="KG37" i="17"/>
  <c r="KG42" i="17"/>
  <c r="KG36" i="17"/>
  <c r="KG31" i="17"/>
  <c r="KG30" i="17"/>
  <c r="KG29" i="17"/>
  <c r="KG33" i="17"/>
  <c r="KG28" i="17"/>
  <c r="KG32" i="17"/>
  <c r="KG26" i="17"/>
  <c r="KG19" i="17"/>
  <c r="KG27" i="17"/>
  <c r="KG22" i="17"/>
  <c r="KG21" i="17"/>
  <c r="KG25" i="17"/>
  <c r="KG24" i="17"/>
  <c r="KG23" i="17"/>
  <c r="KG15" i="17"/>
  <c r="KG20" i="17"/>
  <c r="KG13" i="17"/>
  <c r="KG14" i="17"/>
  <c r="KG11" i="17"/>
  <c r="KG12" i="17"/>
  <c r="KG17" i="17"/>
  <c r="KG18" i="17"/>
  <c r="KH8" i="17"/>
  <c r="KH16" i="17" s="1"/>
  <c r="KG10" i="17"/>
  <c r="KH49" i="17" l="1"/>
  <c r="KH48" i="17"/>
  <c r="KH46" i="17"/>
  <c r="KH44" i="17"/>
  <c r="KH50" i="17"/>
  <c r="KH47" i="17"/>
  <c r="KH45" i="17"/>
  <c r="KH43" i="17"/>
  <c r="KH41" i="17"/>
  <c r="KH38" i="17"/>
  <c r="KH40" i="17"/>
  <c r="KH34" i="17"/>
  <c r="KH37" i="17"/>
  <c r="KH42" i="17"/>
  <c r="KH36" i="17"/>
  <c r="KH31" i="17"/>
  <c r="KH39" i="17"/>
  <c r="KH30" i="17"/>
  <c r="KH25" i="17"/>
  <c r="KH29" i="17"/>
  <c r="KH33" i="17"/>
  <c r="KH35" i="17"/>
  <c r="KH32" i="17"/>
  <c r="KH26" i="17"/>
  <c r="KH19" i="17"/>
  <c r="KH27" i="17"/>
  <c r="KH18" i="17"/>
  <c r="KH24" i="17"/>
  <c r="KH23" i="17"/>
  <c r="KH15" i="17"/>
  <c r="KH22" i="17"/>
  <c r="KH20" i="17"/>
  <c r="KH14" i="17"/>
  <c r="KH11" i="17"/>
  <c r="KH28" i="17"/>
  <c r="KH12" i="17"/>
  <c r="KH17" i="17"/>
  <c r="KH13" i="17"/>
  <c r="KH21" i="17"/>
  <c r="KH10" i="17"/>
  <c r="KH7" i="17"/>
  <c r="KI8" i="17"/>
  <c r="KI16" i="17" s="1"/>
  <c r="KI47" i="17" l="1"/>
  <c r="KI48" i="17"/>
  <c r="KI46" i="17"/>
  <c r="KI45" i="17"/>
  <c r="KI42" i="17"/>
  <c r="KI44" i="17"/>
  <c r="KI49" i="17"/>
  <c r="KI50" i="17"/>
  <c r="KI39" i="17"/>
  <c r="KI43" i="17"/>
  <c r="KI41" i="17"/>
  <c r="KI40" i="17"/>
  <c r="KI34" i="17"/>
  <c r="KI37" i="17"/>
  <c r="KI31" i="17"/>
  <c r="KI38" i="17"/>
  <c r="KI36" i="17"/>
  <c r="KI30" i="17"/>
  <c r="KI29" i="17"/>
  <c r="KI33" i="17"/>
  <c r="KI32" i="17"/>
  <c r="KI35" i="17"/>
  <c r="KI21" i="17"/>
  <c r="KI27" i="17"/>
  <c r="KI22" i="17"/>
  <c r="KI25" i="17"/>
  <c r="KI26" i="17"/>
  <c r="KI15" i="17"/>
  <c r="KI24" i="17"/>
  <c r="KI20" i="17"/>
  <c r="KI23" i="17"/>
  <c r="KI14" i="17"/>
  <c r="KI11" i="17"/>
  <c r="KI19" i="17"/>
  <c r="KI12" i="17"/>
  <c r="KI17" i="17"/>
  <c r="KI13" i="17"/>
  <c r="KI18" i="17"/>
  <c r="KI28" i="17"/>
  <c r="KI10" i="17"/>
  <c r="KJ8" i="17"/>
  <c r="KJ16" i="17" s="1"/>
  <c r="KJ47" i="17" l="1"/>
  <c r="KJ45" i="17"/>
  <c r="KJ48" i="17"/>
  <c r="KJ44" i="17"/>
  <c r="KJ49" i="17"/>
  <c r="KJ50" i="17"/>
  <c r="KJ41" i="17"/>
  <c r="KJ36" i="17"/>
  <c r="KJ40" i="17"/>
  <c r="KJ39" i="17"/>
  <c r="KJ34" i="17"/>
  <c r="KJ37" i="17"/>
  <c r="KJ33" i="17"/>
  <c r="KJ31" i="17"/>
  <c r="KJ35" i="17"/>
  <c r="KJ43" i="17"/>
  <c r="KJ42" i="17"/>
  <c r="KJ30" i="17"/>
  <c r="KJ25" i="17"/>
  <c r="KJ29" i="17"/>
  <c r="KJ46" i="17"/>
  <c r="KJ28" i="17"/>
  <c r="KJ32" i="17"/>
  <c r="KJ38" i="17"/>
  <c r="KJ27" i="17"/>
  <c r="KJ22" i="17"/>
  <c r="KJ24" i="17"/>
  <c r="KJ20" i="17"/>
  <c r="KJ26" i="17"/>
  <c r="KJ14" i="17"/>
  <c r="KJ11" i="17"/>
  <c r="KJ23" i="17"/>
  <c r="KJ19" i="17"/>
  <c r="KJ12" i="17"/>
  <c r="KJ17" i="17"/>
  <c r="KJ13" i="17"/>
  <c r="KJ18" i="17"/>
  <c r="KJ15" i="17"/>
  <c r="KJ21" i="17"/>
  <c r="KK8" i="17"/>
  <c r="KK16" i="17" s="1"/>
  <c r="KJ10" i="17"/>
  <c r="KK50" i="17" l="1"/>
  <c r="KK48" i="17"/>
  <c r="KK44" i="17"/>
  <c r="KK49" i="17"/>
  <c r="KK47" i="17"/>
  <c r="KK45" i="17"/>
  <c r="KK41" i="17"/>
  <c r="KK40" i="17"/>
  <c r="KK39" i="17"/>
  <c r="KK42" i="17"/>
  <c r="KK37" i="17"/>
  <c r="KK38" i="17"/>
  <c r="KK31" i="17"/>
  <c r="KK35" i="17"/>
  <c r="KK36" i="17"/>
  <c r="KK29" i="17"/>
  <c r="KK43" i="17"/>
  <c r="KK46" i="17"/>
  <c r="KK33" i="17"/>
  <c r="KK28" i="17"/>
  <c r="KK32" i="17"/>
  <c r="KK34" i="17"/>
  <c r="KK25" i="17"/>
  <c r="KK27" i="17"/>
  <c r="KK24" i="17"/>
  <c r="KK20" i="17"/>
  <c r="KK22" i="17"/>
  <c r="KK14" i="17"/>
  <c r="KK21" i="17"/>
  <c r="KK30" i="17"/>
  <c r="KK11" i="17"/>
  <c r="KK23" i="17"/>
  <c r="KK26" i="17"/>
  <c r="KK15" i="17"/>
  <c r="KK17" i="17"/>
  <c r="KK13" i="17"/>
  <c r="KK18" i="17"/>
  <c r="KK12" i="17"/>
  <c r="KK19" i="17"/>
  <c r="KL8" i="17"/>
  <c r="KL16" i="17" s="1"/>
  <c r="KK10" i="17"/>
  <c r="KL50" i="17" l="1"/>
  <c r="KL45" i="17"/>
  <c r="KL44" i="17"/>
  <c r="KL48" i="17"/>
  <c r="KL49" i="17"/>
  <c r="KL46" i="17"/>
  <c r="KL39" i="17"/>
  <c r="KL47" i="17"/>
  <c r="KL38" i="17"/>
  <c r="KL41" i="17"/>
  <c r="KL40" i="17"/>
  <c r="KL37" i="17"/>
  <c r="KL42" i="17"/>
  <c r="KL43" i="17"/>
  <c r="KL35" i="17"/>
  <c r="KL34" i="17"/>
  <c r="KL33" i="17"/>
  <c r="KL28" i="17"/>
  <c r="KL32" i="17"/>
  <c r="KL36" i="17"/>
  <c r="KL31" i="17"/>
  <c r="KL30" i="17"/>
  <c r="KL18" i="17"/>
  <c r="KL20" i="17"/>
  <c r="KL23" i="17"/>
  <c r="KL29" i="17"/>
  <c r="KL27" i="17"/>
  <c r="KL24" i="17"/>
  <c r="KL22" i="17"/>
  <c r="KL14" i="17"/>
  <c r="KL25" i="17"/>
  <c r="KL21" i="17"/>
  <c r="KL26" i="17"/>
  <c r="KL15" i="17"/>
  <c r="KL17" i="17"/>
  <c r="KL11" i="17"/>
  <c r="KL13" i="17"/>
  <c r="KL12" i="17"/>
  <c r="KL19" i="17"/>
  <c r="KM8" i="17"/>
  <c r="KM16" i="17" s="1"/>
  <c r="KL10" i="17"/>
  <c r="KM50" i="17" l="1"/>
  <c r="KM48" i="17"/>
  <c r="KM49" i="17"/>
  <c r="KM44" i="17"/>
  <c r="KM46" i="17"/>
  <c r="KM47" i="17"/>
  <c r="KM45" i="17"/>
  <c r="KM41" i="17"/>
  <c r="KM40" i="17"/>
  <c r="KM42" i="17"/>
  <c r="KM39" i="17"/>
  <c r="KM37" i="17"/>
  <c r="KM33" i="17"/>
  <c r="KM43" i="17"/>
  <c r="KM38" i="17"/>
  <c r="KM36" i="17"/>
  <c r="KM30" i="17"/>
  <c r="KM35" i="17"/>
  <c r="KM34" i="17"/>
  <c r="KM28" i="17"/>
  <c r="KM24" i="17"/>
  <c r="KM32" i="17"/>
  <c r="KM31" i="17"/>
  <c r="KM25" i="17"/>
  <c r="KM29" i="17"/>
  <c r="KM21" i="17"/>
  <c r="KM23" i="17"/>
  <c r="KM22" i="17"/>
  <c r="KM20" i="17"/>
  <c r="KM14" i="17"/>
  <c r="KM18" i="17"/>
  <c r="KM27" i="17"/>
  <c r="KM26" i="17"/>
  <c r="KM15" i="17"/>
  <c r="KM19" i="17"/>
  <c r="KM17" i="17"/>
  <c r="KM11" i="17"/>
  <c r="KM13" i="17"/>
  <c r="KM12" i="17"/>
  <c r="KM10" i="17"/>
  <c r="KN8" i="17"/>
  <c r="KN16" i="17" s="1"/>
  <c r="KN50" i="17" l="1"/>
  <c r="KN46" i="17"/>
  <c r="KN48" i="17"/>
  <c r="KN41" i="17"/>
  <c r="KN45" i="17"/>
  <c r="KN49" i="17"/>
  <c r="KN44" i="17"/>
  <c r="KN43" i="17"/>
  <c r="KN36" i="17"/>
  <c r="KN40" i="17"/>
  <c r="KN42" i="17"/>
  <c r="KN39" i="17"/>
  <c r="KN37" i="17"/>
  <c r="KN33" i="17"/>
  <c r="KN47" i="17"/>
  <c r="KN38" i="17"/>
  <c r="KN30" i="17"/>
  <c r="KN35" i="17"/>
  <c r="KN32" i="17"/>
  <c r="KN28" i="17"/>
  <c r="KN34" i="17"/>
  <c r="KN31" i="17"/>
  <c r="KN25" i="17"/>
  <c r="KN29" i="17"/>
  <c r="KN27" i="17"/>
  <c r="KN21" i="17"/>
  <c r="KN24" i="17"/>
  <c r="KN22" i="17"/>
  <c r="KN20" i="17"/>
  <c r="KN14" i="17"/>
  <c r="KN18" i="17"/>
  <c r="KN19" i="17"/>
  <c r="KN17" i="17"/>
  <c r="KN23" i="17"/>
  <c r="KN15" i="17"/>
  <c r="KN12" i="17"/>
  <c r="KN11" i="17"/>
  <c r="KN26" i="17"/>
  <c r="KN13" i="17"/>
  <c r="KO8" i="17"/>
  <c r="KO16" i="17" s="1"/>
  <c r="KN10" i="17"/>
  <c r="KO50" i="17" l="1"/>
  <c r="KO48" i="17"/>
  <c r="KO46" i="17"/>
  <c r="KO45" i="17"/>
  <c r="KO49" i="17"/>
  <c r="KO44" i="17"/>
  <c r="KO43" i="17"/>
  <c r="KO40" i="17"/>
  <c r="KO42" i="17"/>
  <c r="KO39" i="17"/>
  <c r="KO47" i="17"/>
  <c r="KO41" i="17"/>
  <c r="KO33" i="17"/>
  <c r="KO38" i="17"/>
  <c r="KO36" i="17"/>
  <c r="KO35" i="17"/>
  <c r="KO30" i="17"/>
  <c r="KO32" i="17"/>
  <c r="KO28" i="17"/>
  <c r="KO37" i="17"/>
  <c r="KO27" i="17"/>
  <c r="KO34" i="17"/>
  <c r="KO31" i="17"/>
  <c r="KO25" i="17"/>
  <c r="KO29" i="17"/>
  <c r="KO26" i="17"/>
  <c r="KO21" i="17"/>
  <c r="KO24" i="17"/>
  <c r="KO18" i="17"/>
  <c r="KO19" i="17"/>
  <c r="KO17" i="17"/>
  <c r="KO22" i="17"/>
  <c r="KO20" i="17"/>
  <c r="KO15" i="17"/>
  <c r="KO12" i="17"/>
  <c r="KO13" i="17"/>
  <c r="KO11" i="17"/>
  <c r="KO23" i="17"/>
  <c r="KO14" i="17"/>
  <c r="KO10" i="17"/>
  <c r="KP8" i="17"/>
  <c r="KP16" i="17" s="1"/>
  <c r="KP49" i="17" l="1"/>
  <c r="KP48" i="17"/>
  <c r="KP50" i="17"/>
  <c r="KP46" i="17"/>
  <c r="KP45" i="17"/>
  <c r="KP44" i="17"/>
  <c r="KP43" i="17"/>
  <c r="KP42" i="17"/>
  <c r="KP39" i="17"/>
  <c r="KP37" i="17"/>
  <c r="KP41" i="17"/>
  <c r="KP47" i="17"/>
  <c r="KP38" i="17"/>
  <c r="KP36" i="17"/>
  <c r="KP35" i="17"/>
  <c r="KP30" i="17"/>
  <c r="KP33" i="17"/>
  <c r="KP32" i="17"/>
  <c r="KP31" i="17"/>
  <c r="KP34" i="17"/>
  <c r="KP29" i="17"/>
  <c r="KP23" i="17"/>
  <c r="KP40" i="17"/>
  <c r="KP21" i="17"/>
  <c r="KP24" i="17"/>
  <c r="KP25" i="17"/>
  <c r="KP18" i="17"/>
  <c r="KP22" i="17"/>
  <c r="KP15" i="17"/>
  <c r="KP27" i="17"/>
  <c r="KP19" i="17"/>
  <c r="KP17" i="17"/>
  <c r="KP13" i="17"/>
  <c r="KP20" i="17"/>
  <c r="KP26" i="17"/>
  <c r="KP14" i="17"/>
  <c r="KP11" i="17"/>
  <c r="KP28" i="17"/>
  <c r="KP12" i="17"/>
  <c r="KP10" i="17"/>
  <c r="KQ8" i="17"/>
  <c r="KQ16" i="17" s="1"/>
  <c r="KQ49" i="17" l="1"/>
  <c r="KQ48" i="17"/>
  <c r="KQ50" i="17"/>
  <c r="KQ47" i="17"/>
  <c r="KQ46" i="17"/>
  <c r="KQ45" i="17"/>
  <c r="KQ38" i="17"/>
  <c r="KQ44" i="17"/>
  <c r="KQ43" i="17"/>
  <c r="KQ42" i="17"/>
  <c r="KQ39" i="17"/>
  <c r="KQ41" i="17"/>
  <c r="KQ36" i="17"/>
  <c r="KQ35" i="17"/>
  <c r="KQ34" i="17"/>
  <c r="KQ37" i="17"/>
  <c r="KQ32" i="17"/>
  <c r="KQ33" i="17"/>
  <c r="KQ31" i="17"/>
  <c r="KQ25" i="17"/>
  <c r="KQ29" i="17"/>
  <c r="KQ27" i="17"/>
  <c r="KQ30" i="17"/>
  <c r="KQ24" i="17"/>
  <c r="KQ17" i="17"/>
  <c r="KQ20" i="17"/>
  <c r="KQ28" i="17"/>
  <c r="KQ26" i="17"/>
  <c r="KQ18" i="17"/>
  <c r="KQ13" i="17"/>
  <c r="KQ40" i="17"/>
  <c r="KQ21" i="17"/>
  <c r="KQ22" i="17"/>
  <c r="KQ15" i="17"/>
  <c r="KQ19" i="17"/>
  <c r="KQ23" i="17"/>
  <c r="KQ14" i="17"/>
  <c r="KQ11" i="17"/>
  <c r="KQ12" i="17"/>
  <c r="KR8" i="17"/>
  <c r="KR16" i="17" s="1"/>
  <c r="KQ10" i="17"/>
  <c r="KR49" i="17" l="1"/>
  <c r="KR50" i="17"/>
  <c r="KR47" i="17"/>
  <c r="KR48" i="17"/>
  <c r="KR46" i="17"/>
  <c r="KR45" i="17"/>
  <c r="KR44" i="17"/>
  <c r="KR43" i="17"/>
  <c r="KR42" i="17"/>
  <c r="KR39" i="17"/>
  <c r="KR41" i="17"/>
  <c r="KR38" i="17"/>
  <c r="KR36" i="17"/>
  <c r="KR34" i="17"/>
  <c r="KR35" i="17"/>
  <c r="KR37" i="17"/>
  <c r="KR32" i="17"/>
  <c r="KR33" i="17"/>
  <c r="KR27" i="17"/>
  <c r="KR40" i="17"/>
  <c r="KR31" i="17"/>
  <c r="KR25" i="17"/>
  <c r="KR29" i="17"/>
  <c r="KR30" i="17"/>
  <c r="KR26" i="17"/>
  <c r="KR21" i="17"/>
  <c r="KR24" i="17"/>
  <c r="KR20" i="17"/>
  <c r="KR28" i="17"/>
  <c r="KR22" i="17"/>
  <c r="KR18" i="17"/>
  <c r="KR15" i="17"/>
  <c r="KR19" i="17"/>
  <c r="KR23" i="17"/>
  <c r="KR14" i="17"/>
  <c r="KR12" i="17"/>
  <c r="KR13" i="17"/>
  <c r="KR11" i="17"/>
  <c r="KR17" i="17"/>
  <c r="KR10" i="17"/>
  <c r="KS8" i="17"/>
  <c r="KS16" i="17" s="1"/>
  <c r="KS49" i="17" l="1"/>
  <c r="KS50" i="17"/>
  <c r="KS47" i="17"/>
  <c r="KS48" i="17"/>
  <c r="KS46" i="17"/>
  <c r="KS43" i="17"/>
  <c r="KS45" i="17"/>
  <c r="KS44" i="17"/>
  <c r="KS42" i="17"/>
  <c r="KS40" i="17"/>
  <c r="KS35" i="17"/>
  <c r="KS39" i="17"/>
  <c r="KS41" i="17"/>
  <c r="KS38" i="17"/>
  <c r="KS36" i="17"/>
  <c r="KS37" i="17"/>
  <c r="KS34" i="17"/>
  <c r="KS32" i="17"/>
  <c r="KS33" i="17"/>
  <c r="KS29" i="17"/>
  <c r="KS31" i="17"/>
  <c r="KS25" i="17"/>
  <c r="KS30" i="17"/>
  <c r="KS27" i="17"/>
  <c r="KS23" i="17"/>
  <c r="KS24" i="17"/>
  <c r="KS21" i="17"/>
  <c r="KS20" i="17"/>
  <c r="KS26" i="17"/>
  <c r="KS22" i="17"/>
  <c r="KS18" i="17"/>
  <c r="KS13" i="17"/>
  <c r="KS15" i="17"/>
  <c r="KS19" i="17"/>
  <c r="KS12" i="17"/>
  <c r="KS11" i="17"/>
  <c r="KS14" i="17"/>
  <c r="KS28" i="17"/>
  <c r="KS17" i="17"/>
  <c r="KT8" i="17"/>
  <c r="KT16" i="17" s="1"/>
  <c r="KS10" i="17"/>
  <c r="KT49" i="17" l="1"/>
  <c r="KT50" i="17"/>
  <c r="KT47" i="17"/>
  <c r="KT46" i="17"/>
  <c r="KT45" i="17"/>
  <c r="KT44" i="17"/>
  <c r="KT43" i="17"/>
  <c r="KT42" i="17"/>
  <c r="KT41" i="17"/>
  <c r="KT39" i="17"/>
  <c r="KT38" i="17"/>
  <c r="KT36" i="17"/>
  <c r="KT35" i="17"/>
  <c r="KT48" i="17"/>
  <c r="KT37" i="17"/>
  <c r="KT34" i="17"/>
  <c r="KT32" i="17"/>
  <c r="KT33" i="17"/>
  <c r="KT27" i="17"/>
  <c r="KT40" i="17"/>
  <c r="KT31" i="17"/>
  <c r="KT29" i="17"/>
  <c r="KT30" i="17"/>
  <c r="KT24" i="17"/>
  <c r="KT26" i="17"/>
  <c r="KT20" i="17"/>
  <c r="KT23" i="17"/>
  <c r="KT25" i="17"/>
  <c r="KT21" i="17"/>
  <c r="KT19" i="17"/>
  <c r="KT28" i="17"/>
  <c r="KT22" i="17"/>
  <c r="KT12" i="17"/>
  <c r="KT17" i="17"/>
  <c r="KT11" i="17"/>
  <c r="KT14" i="17"/>
  <c r="KT18" i="17"/>
  <c r="KT13" i="17"/>
  <c r="KT15" i="17"/>
  <c r="KU8" i="17"/>
  <c r="KU16" i="17" s="1"/>
  <c r="KT10" i="17"/>
  <c r="KU48" i="17" l="1"/>
  <c r="KU50" i="17"/>
  <c r="KU47" i="17"/>
  <c r="KU46" i="17"/>
  <c r="KU43" i="17"/>
  <c r="KU45" i="17"/>
  <c r="KU44" i="17"/>
  <c r="KU42" i="17"/>
  <c r="KU49" i="17"/>
  <c r="KU41" i="17"/>
  <c r="KU36" i="17"/>
  <c r="KU35" i="17"/>
  <c r="KU29" i="17"/>
  <c r="KU37" i="17"/>
  <c r="KU34" i="17"/>
  <c r="KU32" i="17"/>
  <c r="KU33" i="17"/>
  <c r="KU39" i="17"/>
  <c r="KU40" i="17"/>
  <c r="KU31" i="17"/>
  <c r="KU38" i="17"/>
  <c r="KU30" i="17"/>
  <c r="KU27" i="17"/>
  <c r="KU24" i="17"/>
  <c r="KU26" i="17"/>
  <c r="KU23" i="17"/>
  <c r="KU25" i="17"/>
  <c r="KU21" i="17"/>
  <c r="KU19" i="17"/>
  <c r="KU28" i="17"/>
  <c r="KU12" i="17"/>
  <c r="KU17" i="17"/>
  <c r="KU20" i="17"/>
  <c r="KU18" i="17"/>
  <c r="KU14" i="17"/>
  <c r="KU15" i="17"/>
  <c r="KU11" i="17"/>
  <c r="KU13" i="17"/>
  <c r="KU22" i="17"/>
  <c r="KV8" i="17"/>
  <c r="KV16" i="17" s="1"/>
  <c r="KU10" i="17"/>
  <c r="KV48" i="17" l="1"/>
  <c r="KV47" i="17"/>
  <c r="KV46" i="17"/>
  <c r="KV50" i="17"/>
  <c r="KV45" i="17"/>
  <c r="KV37" i="17"/>
  <c r="KV43" i="17"/>
  <c r="KV42" i="17"/>
  <c r="KV49" i="17"/>
  <c r="KV40" i="17"/>
  <c r="KV41" i="17"/>
  <c r="KV44" i="17"/>
  <c r="KV35" i="17"/>
  <c r="KV34" i="17"/>
  <c r="KV32" i="17"/>
  <c r="KV33" i="17"/>
  <c r="KV31" i="17"/>
  <c r="KV36" i="17"/>
  <c r="KV39" i="17"/>
  <c r="KV30" i="17"/>
  <c r="KV38" i="17"/>
  <c r="KV29" i="17"/>
  <c r="KV27" i="17"/>
  <c r="KV26" i="17"/>
  <c r="KV28" i="17"/>
  <c r="KV20" i="17"/>
  <c r="KV24" i="17"/>
  <c r="KV23" i="17"/>
  <c r="KV25" i="17"/>
  <c r="KV21" i="17"/>
  <c r="KV19" i="17"/>
  <c r="KV17" i="17"/>
  <c r="KV12" i="17"/>
  <c r="KV13" i="17"/>
  <c r="KV14" i="17"/>
  <c r="KV11" i="17"/>
  <c r="KV18" i="17"/>
  <c r="KV15" i="17"/>
  <c r="KV22" i="17"/>
  <c r="KV10" i="17"/>
  <c r="KW8" i="17"/>
  <c r="KW16" i="17" s="1"/>
  <c r="KV7" i="17"/>
  <c r="KW48" i="17" l="1"/>
  <c r="KW47" i="17"/>
  <c r="KW46" i="17"/>
  <c r="KW50" i="17"/>
  <c r="KW43" i="17"/>
  <c r="KW45" i="17"/>
  <c r="KW42" i="17"/>
  <c r="KW49" i="17"/>
  <c r="KW41" i="17"/>
  <c r="KW44" i="17"/>
  <c r="KW40" i="17"/>
  <c r="KW38" i="17"/>
  <c r="KW35" i="17"/>
  <c r="KW39" i="17"/>
  <c r="KW34" i="17"/>
  <c r="KW37" i="17"/>
  <c r="KW32" i="17"/>
  <c r="KW33" i="17"/>
  <c r="KW26" i="17"/>
  <c r="KW31" i="17"/>
  <c r="KW30" i="17"/>
  <c r="KW28" i="17"/>
  <c r="KW29" i="17"/>
  <c r="KW36" i="17"/>
  <c r="KW27" i="17"/>
  <c r="KW24" i="17"/>
  <c r="KW20" i="17"/>
  <c r="KW23" i="17"/>
  <c r="KW25" i="17"/>
  <c r="KW19" i="17"/>
  <c r="KW21" i="17"/>
  <c r="KW17" i="17"/>
  <c r="KW12" i="17"/>
  <c r="KW13" i="17"/>
  <c r="KW14" i="17"/>
  <c r="KW18" i="17"/>
  <c r="KW11" i="17"/>
  <c r="KW15" i="17"/>
  <c r="KW22" i="17"/>
  <c r="KW10" i="17"/>
  <c r="KX8" i="17"/>
  <c r="KX16" i="17" s="1"/>
  <c r="KX48" i="17" l="1"/>
  <c r="KX47" i="17"/>
  <c r="KX46" i="17"/>
  <c r="KX50" i="17"/>
  <c r="KX43" i="17"/>
  <c r="KX45" i="17"/>
  <c r="KX42" i="17"/>
  <c r="KX49" i="17"/>
  <c r="KX40" i="17"/>
  <c r="KX41" i="17"/>
  <c r="KX44" i="17"/>
  <c r="KX38" i="17"/>
  <c r="KX35" i="17"/>
  <c r="KX39" i="17"/>
  <c r="KX34" i="17"/>
  <c r="KX37" i="17"/>
  <c r="KX32" i="17"/>
  <c r="KX33" i="17"/>
  <c r="KX36" i="17"/>
  <c r="KX31" i="17"/>
  <c r="KX28" i="17"/>
  <c r="KX29" i="17"/>
  <c r="KX23" i="17"/>
  <c r="KX27" i="17"/>
  <c r="KX24" i="17"/>
  <c r="KX30" i="17"/>
  <c r="KX26" i="17"/>
  <c r="KX22" i="17"/>
  <c r="KX25" i="17"/>
  <c r="KX19" i="17"/>
  <c r="KX17" i="17"/>
  <c r="KX15" i="17"/>
  <c r="KX21" i="17"/>
  <c r="KX12" i="17"/>
  <c r="KX13" i="17"/>
  <c r="KX11" i="17"/>
  <c r="KX20" i="17"/>
  <c r="KX14" i="17"/>
  <c r="KX18" i="17"/>
  <c r="KY8" i="17"/>
  <c r="KY16" i="17" s="1"/>
  <c r="KX10" i="17"/>
  <c r="KY48" i="17" l="1"/>
  <c r="KY47" i="17"/>
  <c r="KY46" i="17"/>
  <c r="KY50" i="17"/>
  <c r="KY45" i="17"/>
  <c r="KY49" i="17"/>
  <c r="KY44" i="17"/>
  <c r="KY42" i="17"/>
  <c r="KY43" i="17"/>
  <c r="KY41" i="17"/>
  <c r="KY40" i="17"/>
  <c r="KY38" i="17"/>
  <c r="KY35" i="17"/>
  <c r="KY39" i="17"/>
  <c r="KY34" i="17"/>
  <c r="KY37" i="17"/>
  <c r="KY32" i="17"/>
  <c r="KY33" i="17"/>
  <c r="KY36" i="17"/>
  <c r="KY26" i="17"/>
  <c r="KY31" i="17"/>
  <c r="KY29" i="17"/>
  <c r="KY27" i="17"/>
  <c r="KY24" i="17"/>
  <c r="KY30" i="17"/>
  <c r="KY23" i="17"/>
  <c r="KY25" i="17"/>
  <c r="KY19" i="17"/>
  <c r="KY22" i="17"/>
  <c r="KY17" i="17"/>
  <c r="KY15" i="17"/>
  <c r="KY28" i="17"/>
  <c r="KY11" i="17"/>
  <c r="KY12" i="17"/>
  <c r="KY13" i="17"/>
  <c r="KY18" i="17"/>
  <c r="KY21" i="17"/>
  <c r="KY20" i="17"/>
  <c r="KY14" i="17"/>
  <c r="KZ8" i="17"/>
  <c r="KZ16" i="17" s="1"/>
  <c r="KY10" i="17"/>
  <c r="KZ50" i="17" l="1"/>
  <c r="KZ49" i="17"/>
  <c r="KZ47" i="17"/>
  <c r="KZ45" i="17"/>
  <c r="KZ44" i="17"/>
  <c r="KZ43" i="17"/>
  <c r="KZ41" i="17"/>
  <c r="KZ40" i="17"/>
  <c r="KZ48" i="17"/>
  <c r="KZ42" i="17"/>
  <c r="KZ38" i="17"/>
  <c r="KZ46" i="17"/>
  <c r="KZ35" i="17"/>
  <c r="KZ39" i="17"/>
  <c r="KZ34" i="17"/>
  <c r="KZ32" i="17"/>
  <c r="KZ33" i="17"/>
  <c r="KZ37" i="17"/>
  <c r="KZ36" i="17"/>
  <c r="KZ31" i="17"/>
  <c r="KZ29" i="17"/>
  <c r="KZ30" i="17"/>
  <c r="KZ26" i="17"/>
  <c r="KZ24" i="17"/>
  <c r="KZ23" i="17"/>
  <c r="KZ25" i="17"/>
  <c r="KZ22" i="17"/>
  <c r="KZ28" i="17"/>
  <c r="KZ17" i="17"/>
  <c r="KZ19" i="17"/>
  <c r="KZ15" i="17"/>
  <c r="KZ12" i="17"/>
  <c r="KZ13" i="17"/>
  <c r="KZ27" i="17"/>
  <c r="KZ11" i="17"/>
  <c r="KZ21" i="17"/>
  <c r="KZ20" i="17"/>
  <c r="KZ14" i="17"/>
  <c r="KZ18" i="17"/>
  <c r="KZ10" i="17"/>
  <c r="LA8" i="17"/>
  <c r="LA16" i="17" s="1"/>
  <c r="LA47" i="17" l="1"/>
  <c r="LA46" i="17"/>
  <c r="LA45" i="17"/>
  <c r="LA49" i="17"/>
  <c r="LA50" i="17"/>
  <c r="LA44" i="17"/>
  <c r="LA40" i="17"/>
  <c r="LA41" i="17"/>
  <c r="LA39" i="17"/>
  <c r="LA38" i="17"/>
  <c r="LA48" i="17"/>
  <c r="LA42" i="17"/>
  <c r="LA35" i="17"/>
  <c r="LA34" i="17"/>
  <c r="LA43" i="17"/>
  <c r="LA33" i="17"/>
  <c r="LA37" i="17"/>
  <c r="LA36" i="17"/>
  <c r="LA31" i="17"/>
  <c r="LA29" i="17"/>
  <c r="LA30" i="17"/>
  <c r="LA26" i="17"/>
  <c r="LA28" i="17"/>
  <c r="LA24" i="17"/>
  <c r="LA23" i="17"/>
  <c r="LA25" i="17"/>
  <c r="LA19" i="17"/>
  <c r="LA22" i="17"/>
  <c r="LA21" i="17"/>
  <c r="LA17" i="17"/>
  <c r="LA32" i="17"/>
  <c r="LA15" i="17"/>
  <c r="LA18" i="17"/>
  <c r="LA13" i="17"/>
  <c r="LA27" i="17"/>
  <c r="LA11" i="17"/>
  <c r="LA20" i="17"/>
  <c r="LA14" i="17"/>
  <c r="LA12" i="17"/>
  <c r="LB8" i="17"/>
  <c r="LB16" i="17" s="1"/>
  <c r="LA10" i="17"/>
  <c r="LB50" i="17" l="1"/>
  <c r="LB49" i="17"/>
  <c r="LB47" i="17"/>
  <c r="LB44" i="17"/>
  <c r="LB41" i="17"/>
  <c r="LB45" i="17"/>
  <c r="LB48" i="17"/>
  <c r="LB40" i="17"/>
  <c r="LB42" i="17"/>
  <c r="LB38" i="17"/>
  <c r="LB46" i="17"/>
  <c r="LB35" i="17"/>
  <c r="LB34" i="17"/>
  <c r="LB39" i="17"/>
  <c r="LB43" i="17"/>
  <c r="LB37" i="17"/>
  <c r="LB36" i="17"/>
  <c r="LB31" i="17"/>
  <c r="LB25" i="17"/>
  <c r="LB29" i="17"/>
  <c r="LB30" i="17"/>
  <c r="LB26" i="17"/>
  <c r="LB19" i="17"/>
  <c r="LB22" i="17"/>
  <c r="LB28" i="17"/>
  <c r="LB18" i="17"/>
  <c r="LB21" i="17"/>
  <c r="LB24" i="17"/>
  <c r="LB32" i="17"/>
  <c r="LB33" i="17"/>
  <c r="LB15" i="17"/>
  <c r="LB23" i="17"/>
  <c r="LB20" i="17"/>
  <c r="LB13" i="17"/>
  <c r="LB27" i="17"/>
  <c r="LB11" i="17"/>
  <c r="LB17" i="17"/>
  <c r="LB14" i="17"/>
  <c r="LB12" i="17"/>
  <c r="LB10" i="17"/>
  <c r="LC8" i="17"/>
  <c r="LC16" i="17" s="1"/>
  <c r="LC47" i="17" l="1"/>
  <c r="LC49" i="17"/>
  <c r="LC50" i="17"/>
  <c r="LC45" i="17"/>
  <c r="LC46" i="17"/>
  <c r="LC42" i="17"/>
  <c r="LC44" i="17"/>
  <c r="LC39" i="17"/>
  <c r="LC48" i="17"/>
  <c r="LC40" i="17"/>
  <c r="LC38" i="17"/>
  <c r="LC41" i="17"/>
  <c r="LC34" i="17"/>
  <c r="LC43" i="17"/>
  <c r="LC37" i="17"/>
  <c r="LC36" i="17"/>
  <c r="LC31" i="17"/>
  <c r="LC29" i="17"/>
  <c r="LC30" i="17"/>
  <c r="LC28" i="17"/>
  <c r="LC35" i="17"/>
  <c r="LC21" i="17"/>
  <c r="LC25" i="17"/>
  <c r="LC32" i="17"/>
  <c r="LC33" i="17"/>
  <c r="LC15" i="17"/>
  <c r="LC19" i="17"/>
  <c r="LC23" i="17"/>
  <c r="LC20" i="17"/>
  <c r="LC18" i="17"/>
  <c r="LC22" i="17"/>
  <c r="LC24" i="17"/>
  <c r="LC13" i="17"/>
  <c r="LC27" i="17"/>
  <c r="LC11" i="17"/>
  <c r="LC17" i="17"/>
  <c r="LC14" i="17"/>
  <c r="LC26" i="17"/>
  <c r="LC12" i="17"/>
  <c r="LD8" i="17"/>
  <c r="LD16" i="17" s="1"/>
  <c r="LC10" i="17"/>
  <c r="LC7" i="17"/>
  <c r="LD47" i="17" l="1"/>
  <c r="LD45" i="17"/>
  <c r="LD49" i="17"/>
  <c r="LD48" i="17"/>
  <c r="LD50" i="17"/>
  <c r="LD44" i="17"/>
  <c r="LD46" i="17"/>
  <c r="LD42" i="17"/>
  <c r="LD38" i="17"/>
  <c r="LD41" i="17"/>
  <c r="LD36" i="17"/>
  <c r="LD43" i="17"/>
  <c r="LD39" i="17"/>
  <c r="LD34" i="17"/>
  <c r="LD33" i="17"/>
  <c r="LD37" i="17"/>
  <c r="LD31" i="17"/>
  <c r="LD25" i="17"/>
  <c r="LD29" i="17"/>
  <c r="LD40" i="17"/>
  <c r="LD30" i="17"/>
  <c r="LD28" i="17"/>
  <c r="LD35" i="17"/>
  <c r="LD22" i="17"/>
  <c r="LD32" i="17"/>
  <c r="LD27" i="17"/>
  <c r="LD19" i="17"/>
  <c r="LD26" i="17"/>
  <c r="LD11" i="17"/>
  <c r="LD17" i="17"/>
  <c r="LD14" i="17"/>
  <c r="LD20" i="17"/>
  <c r="LD21" i="17"/>
  <c r="LD24" i="17"/>
  <c r="LD15" i="17"/>
  <c r="LD12" i="17"/>
  <c r="LD13" i="17"/>
  <c r="LD23" i="17"/>
  <c r="LD18" i="17"/>
  <c r="LE8" i="17"/>
  <c r="LE16" i="17" s="1"/>
  <c r="LD10" i="17"/>
  <c r="LE50" i="17" l="1"/>
  <c r="LE49" i="17"/>
  <c r="LE48" i="17"/>
  <c r="LE47" i="17"/>
  <c r="LE46" i="17"/>
  <c r="LE44" i="17"/>
  <c r="LE45" i="17"/>
  <c r="LE42" i="17"/>
  <c r="LE43" i="17"/>
  <c r="LE38" i="17"/>
  <c r="LE41" i="17"/>
  <c r="LE39" i="17"/>
  <c r="LE33" i="17"/>
  <c r="LE37" i="17"/>
  <c r="LE36" i="17"/>
  <c r="LE31" i="17"/>
  <c r="LE34" i="17"/>
  <c r="LE29" i="17"/>
  <c r="LE40" i="17"/>
  <c r="LE30" i="17"/>
  <c r="LE28" i="17"/>
  <c r="LE35" i="17"/>
  <c r="LE25" i="17"/>
  <c r="LE22" i="17"/>
  <c r="LE32" i="17"/>
  <c r="LE27" i="17"/>
  <c r="LE14" i="17"/>
  <c r="LE26" i="17"/>
  <c r="LE19" i="17"/>
  <c r="LE11" i="17"/>
  <c r="LE17" i="17"/>
  <c r="LE20" i="17"/>
  <c r="LE18" i="17"/>
  <c r="LE24" i="17"/>
  <c r="LE12" i="17"/>
  <c r="LE15" i="17"/>
  <c r="LE13" i="17"/>
  <c r="LE23" i="17"/>
  <c r="LE21" i="17"/>
  <c r="LE10" i="17"/>
  <c r="LF8" i="17"/>
  <c r="LF16" i="17" s="1"/>
  <c r="LF50" i="17" l="1"/>
  <c r="LF48" i="17"/>
  <c r="LF47" i="17"/>
  <c r="LF44" i="17"/>
  <c r="LF46" i="17"/>
  <c r="LF49" i="17"/>
  <c r="LF45" i="17"/>
  <c r="LF39" i="17"/>
  <c r="LF38" i="17"/>
  <c r="LF42" i="17"/>
  <c r="LF41" i="17"/>
  <c r="LF37" i="17"/>
  <c r="LF43" i="17"/>
  <c r="LF40" i="17"/>
  <c r="LF33" i="17"/>
  <c r="LF34" i="17"/>
  <c r="LF36" i="17"/>
  <c r="LF29" i="17"/>
  <c r="LF31" i="17"/>
  <c r="LF30" i="17"/>
  <c r="LF28" i="17"/>
  <c r="LF35" i="17"/>
  <c r="LF18" i="17"/>
  <c r="LF32" i="17"/>
  <c r="LF20" i="17"/>
  <c r="LF25" i="17"/>
  <c r="LF14" i="17"/>
  <c r="LF22" i="17"/>
  <c r="LF27" i="17"/>
  <c r="LF17" i="17"/>
  <c r="LF19" i="17"/>
  <c r="LF24" i="17"/>
  <c r="LF26" i="17"/>
  <c r="LF12" i="17"/>
  <c r="LF15" i="17"/>
  <c r="LF13" i="17"/>
  <c r="LF11" i="17"/>
  <c r="LF21" i="17"/>
  <c r="LF23" i="17"/>
  <c r="LF10" i="17"/>
  <c r="LG8" i="17"/>
  <c r="LG16" i="17" s="1"/>
  <c r="LG50" i="17" l="1"/>
  <c r="LG49" i="17"/>
  <c r="LG48" i="17"/>
  <c r="LG46" i="17"/>
  <c r="LG45" i="17"/>
  <c r="LG44" i="17"/>
  <c r="LG42" i="17"/>
  <c r="LG37" i="17"/>
  <c r="LG40" i="17"/>
  <c r="LG47" i="17"/>
  <c r="LG43" i="17"/>
  <c r="LG39" i="17"/>
  <c r="LG33" i="17"/>
  <c r="LG34" i="17"/>
  <c r="LG36" i="17"/>
  <c r="LG30" i="17"/>
  <c r="LG38" i="17"/>
  <c r="LG31" i="17"/>
  <c r="LG28" i="17"/>
  <c r="LG24" i="17"/>
  <c r="LG35" i="17"/>
  <c r="LG41" i="17"/>
  <c r="LG25" i="17"/>
  <c r="LG32" i="17"/>
  <c r="LG26" i="17"/>
  <c r="LG14" i="17"/>
  <c r="LG27" i="17"/>
  <c r="LG17" i="17"/>
  <c r="LG19" i="17"/>
  <c r="LG20" i="17"/>
  <c r="LG18" i="17"/>
  <c r="LG21" i="17"/>
  <c r="LG15" i="17"/>
  <c r="LG29" i="17"/>
  <c r="LG13" i="17"/>
  <c r="LG12" i="17"/>
  <c r="LG11" i="17"/>
  <c r="LG22" i="17"/>
  <c r="LG23" i="17"/>
  <c r="LH8" i="17"/>
  <c r="LH16" i="17" s="1"/>
  <c r="LG10" i="17"/>
  <c r="LH50" i="17" l="1"/>
  <c r="LH46" i="17"/>
  <c r="LH48" i="17"/>
  <c r="LH49" i="17"/>
  <c r="LH41" i="17"/>
  <c r="LH44" i="17"/>
  <c r="LH47" i="17"/>
  <c r="LH42" i="17"/>
  <c r="LH36" i="17"/>
  <c r="LH45" i="17"/>
  <c r="LH43" i="17"/>
  <c r="LH39" i="17"/>
  <c r="LH33" i="17"/>
  <c r="LH37" i="17"/>
  <c r="LH40" i="17"/>
  <c r="LH30" i="17"/>
  <c r="LH38" i="17"/>
  <c r="LH32" i="17"/>
  <c r="LH31" i="17"/>
  <c r="LH28" i="17"/>
  <c r="LH35" i="17"/>
  <c r="LH34" i="17"/>
  <c r="LH27" i="17"/>
  <c r="LH26" i="17"/>
  <c r="LH21" i="17"/>
  <c r="LH14" i="17"/>
  <c r="LH23" i="17"/>
  <c r="LH25" i="17"/>
  <c r="LH19" i="17"/>
  <c r="LH20" i="17"/>
  <c r="LH18" i="17"/>
  <c r="LH15" i="17"/>
  <c r="LH12" i="17"/>
  <c r="LH13" i="17"/>
  <c r="LH29" i="17"/>
  <c r="LH24" i="17"/>
  <c r="LH11" i="17"/>
  <c r="LH22" i="17"/>
  <c r="LH17" i="17"/>
  <c r="LH10" i="17"/>
  <c r="LI8" i="17"/>
  <c r="LI16" i="17" s="1"/>
  <c r="LI50" i="17" l="1"/>
  <c r="LI48" i="17"/>
  <c r="LI45" i="17"/>
  <c r="LI46" i="17"/>
  <c r="LI49" i="17"/>
  <c r="LI44" i="17"/>
  <c r="LI47" i="17"/>
  <c r="LI42" i="17"/>
  <c r="LI43" i="17"/>
  <c r="LI37" i="17"/>
  <c r="LI39" i="17"/>
  <c r="LI33" i="17"/>
  <c r="LI40" i="17"/>
  <c r="LI36" i="17"/>
  <c r="LI30" i="17"/>
  <c r="LI38" i="17"/>
  <c r="LI32" i="17"/>
  <c r="LI28" i="17"/>
  <c r="LI35" i="17"/>
  <c r="LI27" i="17"/>
  <c r="LI41" i="17"/>
  <c r="LI34" i="17"/>
  <c r="LI25" i="17"/>
  <c r="LI26" i="17"/>
  <c r="LI21" i="17"/>
  <c r="LI23" i="17"/>
  <c r="LI31" i="17"/>
  <c r="LI20" i="17"/>
  <c r="LI18" i="17"/>
  <c r="LI17" i="17"/>
  <c r="LI14" i="17"/>
  <c r="LI15" i="17"/>
  <c r="LI12" i="17"/>
  <c r="LI29" i="17"/>
  <c r="LI22" i="17"/>
  <c r="LI24" i="17"/>
  <c r="LI13" i="17"/>
  <c r="LI11" i="17"/>
  <c r="LI19" i="17"/>
  <c r="LJ8" i="17"/>
  <c r="LJ16" i="17" s="1"/>
  <c r="LI10" i="17"/>
  <c r="LJ49" i="17" l="1"/>
  <c r="LJ48" i="17"/>
  <c r="LJ46" i="17"/>
  <c r="LJ50" i="17"/>
  <c r="LJ47" i="17"/>
  <c r="LJ42" i="17"/>
  <c r="LJ44" i="17"/>
  <c r="LJ43" i="17"/>
  <c r="LJ37" i="17"/>
  <c r="LJ45" i="17"/>
  <c r="LJ39" i="17"/>
  <c r="LJ36" i="17"/>
  <c r="LJ35" i="17"/>
  <c r="LJ30" i="17"/>
  <c r="LJ38" i="17"/>
  <c r="LJ40" i="17"/>
  <c r="LJ41" i="17"/>
  <c r="LJ34" i="17"/>
  <c r="LJ32" i="17"/>
  <c r="LJ25" i="17"/>
  <c r="LJ28" i="17"/>
  <c r="LJ23" i="17"/>
  <c r="LJ26" i="17"/>
  <c r="LJ21" i="17"/>
  <c r="LJ33" i="17"/>
  <c r="LJ24" i="17"/>
  <c r="LJ31" i="17"/>
  <c r="LJ20" i="17"/>
  <c r="LJ18" i="17"/>
  <c r="LJ29" i="17"/>
  <c r="LJ27" i="17"/>
  <c r="LJ17" i="17"/>
  <c r="LJ14" i="17"/>
  <c r="LJ11" i="17"/>
  <c r="LJ12" i="17"/>
  <c r="LJ13" i="17"/>
  <c r="LJ15" i="17"/>
  <c r="LJ22" i="17"/>
  <c r="LJ19" i="17"/>
  <c r="LJ7" i="17"/>
  <c r="LJ10" i="17"/>
  <c r="LK8" i="17"/>
  <c r="LK16" i="17" s="1"/>
  <c r="LK49" i="17" l="1"/>
  <c r="LK50" i="17"/>
  <c r="LK47" i="17"/>
  <c r="LK38" i="17"/>
  <c r="LK48" i="17"/>
  <c r="LK44" i="17"/>
  <c r="LK43" i="17"/>
  <c r="LK41" i="17"/>
  <c r="LK42" i="17"/>
  <c r="LK37" i="17"/>
  <c r="LK45" i="17"/>
  <c r="LK39" i="17"/>
  <c r="LK40" i="17"/>
  <c r="LK36" i="17"/>
  <c r="LK35" i="17"/>
  <c r="LK46" i="17"/>
  <c r="LK30" i="17"/>
  <c r="LK34" i="17"/>
  <c r="LK32" i="17"/>
  <c r="LK25" i="17"/>
  <c r="LK28" i="17"/>
  <c r="LK26" i="17"/>
  <c r="LK17" i="17"/>
  <c r="LK21" i="17"/>
  <c r="LK33" i="17"/>
  <c r="LK31" i="17"/>
  <c r="LK20" i="17"/>
  <c r="LK24" i="17"/>
  <c r="LK23" i="17"/>
  <c r="LK13" i="17"/>
  <c r="LK18" i="17"/>
  <c r="LK29" i="17"/>
  <c r="LK22" i="17"/>
  <c r="LK27" i="17"/>
  <c r="LK14" i="17"/>
  <c r="LK12" i="17"/>
  <c r="LK11" i="17"/>
  <c r="LK15" i="17"/>
  <c r="LK19" i="17"/>
  <c r="LK10" i="17"/>
  <c r="LL8" i="17"/>
  <c r="LL16" i="17" s="1"/>
  <c r="LL49" i="17" l="1"/>
  <c r="LL48" i="17"/>
  <c r="LL47" i="17"/>
  <c r="LL50" i="17"/>
  <c r="LL43" i="17"/>
  <c r="LL42" i="17"/>
  <c r="LL44" i="17"/>
  <c r="LL41" i="17"/>
  <c r="LL45" i="17"/>
  <c r="LL39" i="17"/>
  <c r="LL40" i="17"/>
  <c r="LL37" i="17"/>
  <c r="LL36" i="17"/>
  <c r="LL46" i="17"/>
  <c r="LL34" i="17"/>
  <c r="LL38" i="17"/>
  <c r="LL35" i="17"/>
  <c r="LL30" i="17"/>
  <c r="LL27" i="17"/>
  <c r="LL28" i="17"/>
  <c r="LL24" i="17"/>
  <c r="LL32" i="17"/>
  <c r="LL26" i="17"/>
  <c r="LL33" i="17"/>
  <c r="LL31" i="17"/>
  <c r="LL20" i="17"/>
  <c r="LL18" i="17"/>
  <c r="LL29" i="17"/>
  <c r="LL23" i="17"/>
  <c r="LL22" i="17"/>
  <c r="LL15" i="17"/>
  <c r="LL21" i="17"/>
  <c r="LL19" i="17"/>
  <c r="LL14" i="17"/>
  <c r="LL25" i="17"/>
  <c r="LL13" i="17"/>
  <c r="LL12" i="17"/>
  <c r="LL11" i="17"/>
  <c r="LL17" i="17"/>
  <c r="LL10" i="17"/>
  <c r="LM8" i="17"/>
  <c r="LM16" i="17" s="1"/>
  <c r="LM49" i="17" l="1"/>
  <c r="LM47" i="17"/>
  <c r="LM43" i="17"/>
  <c r="LM48" i="17"/>
  <c r="LM42" i="17"/>
  <c r="LM46" i="17"/>
  <c r="LM40" i="17"/>
  <c r="LM50" i="17"/>
  <c r="LM39" i="17"/>
  <c r="LM41" i="17"/>
  <c r="LM35" i="17"/>
  <c r="LM45" i="17"/>
  <c r="LM37" i="17"/>
  <c r="LM36" i="17"/>
  <c r="LM38" i="17"/>
  <c r="LM32" i="17"/>
  <c r="LM34" i="17"/>
  <c r="LM25" i="17"/>
  <c r="LM44" i="17"/>
  <c r="LM28" i="17"/>
  <c r="LM23" i="17"/>
  <c r="LM27" i="17"/>
  <c r="LM26" i="17"/>
  <c r="LM21" i="17"/>
  <c r="LM33" i="17"/>
  <c r="LM31" i="17"/>
  <c r="LM20" i="17"/>
  <c r="LM29" i="17"/>
  <c r="LM22" i="17"/>
  <c r="LM13" i="17"/>
  <c r="LM18" i="17"/>
  <c r="LM30" i="17"/>
  <c r="LM19" i="17"/>
  <c r="LM24" i="17"/>
  <c r="LM15" i="17"/>
  <c r="LM12" i="17"/>
  <c r="LM11" i="17"/>
  <c r="LM14" i="17"/>
  <c r="LM17" i="17"/>
  <c r="LN8" i="17"/>
  <c r="LN16" i="17" s="1"/>
  <c r="LM10" i="17"/>
  <c r="LN49" i="17" l="1"/>
  <c r="LN47" i="17"/>
  <c r="LN48" i="17"/>
  <c r="LN42" i="17"/>
  <c r="LN46" i="17"/>
  <c r="LN43" i="17"/>
  <c r="LN50" i="17"/>
  <c r="LN39" i="17"/>
  <c r="LN41" i="17"/>
  <c r="LN45" i="17"/>
  <c r="LN40" i="17"/>
  <c r="LN44" i="17"/>
  <c r="LN37" i="17"/>
  <c r="LN36" i="17"/>
  <c r="LN38" i="17"/>
  <c r="LN32" i="17"/>
  <c r="LN35" i="17"/>
  <c r="LN31" i="17"/>
  <c r="LN27" i="17"/>
  <c r="LN34" i="17"/>
  <c r="LN29" i="17"/>
  <c r="LN25" i="17"/>
  <c r="LN28" i="17"/>
  <c r="LN24" i="17"/>
  <c r="LN26" i="17"/>
  <c r="LN21" i="17"/>
  <c r="LN33" i="17"/>
  <c r="LN20" i="17"/>
  <c r="LN22" i="17"/>
  <c r="LN18" i="17"/>
  <c r="LN23" i="17"/>
  <c r="LN30" i="17"/>
  <c r="LN15" i="17"/>
  <c r="LN12" i="17"/>
  <c r="LN13" i="17"/>
  <c r="LN11" i="17"/>
  <c r="LN19" i="17"/>
  <c r="LN14" i="17"/>
  <c r="LN17" i="17"/>
  <c r="LN10" i="17"/>
  <c r="LO8" i="17"/>
  <c r="LO16" i="17" s="1"/>
  <c r="LO48" i="17" l="1"/>
  <c r="LO49" i="17"/>
  <c r="LO47" i="17"/>
  <c r="LO43" i="17"/>
  <c r="LO42" i="17"/>
  <c r="LO46" i="17"/>
  <c r="LO41" i="17"/>
  <c r="LO45" i="17"/>
  <c r="LO40" i="17"/>
  <c r="LO39" i="17"/>
  <c r="LO44" i="17"/>
  <c r="LO37" i="17"/>
  <c r="LO50" i="17"/>
  <c r="LO36" i="17"/>
  <c r="LO29" i="17"/>
  <c r="LO38" i="17"/>
  <c r="LO32" i="17"/>
  <c r="LO33" i="17"/>
  <c r="LO35" i="17"/>
  <c r="LO34" i="17"/>
  <c r="LO25" i="17"/>
  <c r="LO28" i="17"/>
  <c r="LO24" i="17"/>
  <c r="LO26" i="17"/>
  <c r="LO31" i="17"/>
  <c r="LO30" i="17"/>
  <c r="LO27" i="17"/>
  <c r="LO18" i="17"/>
  <c r="LO23" i="17"/>
  <c r="LO22" i="17"/>
  <c r="LO20" i="17"/>
  <c r="LO21" i="17"/>
  <c r="LO15" i="17"/>
  <c r="LO12" i="17"/>
  <c r="LO11" i="17"/>
  <c r="LO19" i="17"/>
  <c r="LO13" i="17"/>
  <c r="LO17" i="17"/>
  <c r="LO14" i="17"/>
  <c r="LO10" i="17"/>
  <c r="LP8" i="17"/>
  <c r="LP16" i="17" s="1"/>
  <c r="LP48" i="17" l="1"/>
  <c r="LP49" i="17"/>
  <c r="LP47" i="17"/>
  <c r="LP43" i="17"/>
  <c r="LP37" i="17"/>
  <c r="LP42" i="17"/>
  <c r="LP46" i="17"/>
  <c r="LP40" i="17"/>
  <c r="LP41" i="17"/>
  <c r="LP45" i="17"/>
  <c r="LP39" i="17"/>
  <c r="LP50" i="17"/>
  <c r="LP36" i="17"/>
  <c r="LP35" i="17"/>
  <c r="LP44" i="17"/>
  <c r="LP38" i="17"/>
  <c r="LP32" i="17"/>
  <c r="LP33" i="17"/>
  <c r="LP34" i="17"/>
  <c r="LP29" i="17"/>
  <c r="LP28" i="17"/>
  <c r="LP24" i="17"/>
  <c r="LP27" i="17"/>
  <c r="LP26" i="17"/>
  <c r="LP20" i="17"/>
  <c r="LP31" i="17"/>
  <c r="LP30" i="17"/>
  <c r="LP23" i="17"/>
  <c r="LP22" i="17"/>
  <c r="LP25" i="17"/>
  <c r="LP18" i="17"/>
  <c r="LP15" i="17"/>
  <c r="LP12" i="17"/>
  <c r="LP21" i="17"/>
  <c r="LP13" i="17"/>
  <c r="LP11" i="17"/>
  <c r="LP19" i="17"/>
  <c r="LP17" i="17"/>
  <c r="LP14" i="17"/>
  <c r="LQ8" i="17"/>
  <c r="LQ16" i="17" s="1"/>
  <c r="LP10" i="17"/>
  <c r="LQ48" i="17" l="1"/>
  <c r="LQ46" i="17"/>
  <c r="LQ49" i="17"/>
  <c r="LQ43" i="17"/>
  <c r="LQ45" i="17"/>
  <c r="LQ42" i="17"/>
  <c r="LQ41" i="17"/>
  <c r="LQ39" i="17"/>
  <c r="LQ40" i="17"/>
  <c r="LQ50" i="17"/>
  <c r="LQ36" i="17"/>
  <c r="LQ47" i="17"/>
  <c r="LQ35" i="17"/>
  <c r="LQ34" i="17"/>
  <c r="LQ44" i="17"/>
  <c r="LQ38" i="17"/>
  <c r="LQ32" i="17"/>
  <c r="LQ26" i="17"/>
  <c r="LQ33" i="17"/>
  <c r="LQ31" i="17"/>
  <c r="LQ28" i="17"/>
  <c r="LQ27" i="17"/>
  <c r="LQ20" i="17"/>
  <c r="LQ30" i="17"/>
  <c r="LQ19" i="17"/>
  <c r="LQ23" i="17"/>
  <c r="LQ29" i="17"/>
  <c r="LQ37" i="17"/>
  <c r="LQ22" i="17"/>
  <c r="LQ17" i="17"/>
  <c r="LQ14" i="17"/>
  <c r="LQ24" i="17"/>
  <c r="LQ25" i="17"/>
  <c r="LQ18" i="17"/>
  <c r="LQ15" i="17"/>
  <c r="LQ12" i="17"/>
  <c r="LQ21" i="17"/>
  <c r="LQ13" i="17"/>
  <c r="LQ11" i="17"/>
  <c r="LS7" i="17"/>
  <c r="LQ10" i="17"/>
  <c r="LR8" i="17"/>
  <c r="LR16" i="17" s="1"/>
  <c r="LR48" i="17" l="1"/>
  <c r="LR46" i="17"/>
  <c r="LR47" i="17"/>
  <c r="LR49" i="17"/>
  <c r="LR43" i="17"/>
  <c r="LR42" i="17"/>
  <c r="LR45" i="17"/>
  <c r="LR40" i="17"/>
  <c r="LR41" i="17"/>
  <c r="LR44" i="17"/>
  <c r="LR39" i="17"/>
  <c r="LR50" i="17"/>
  <c r="LR35" i="17"/>
  <c r="LR34" i="17"/>
  <c r="LR38" i="17"/>
  <c r="LR32" i="17"/>
  <c r="LR31" i="17"/>
  <c r="LR33" i="17"/>
  <c r="LR28" i="17"/>
  <c r="LR23" i="17"/>
  <c r="LR36" i="17"/>
  <c r="LR24" i="17"/>
  <c r="LR27" i="17"/>
  <c r="LR26" i="17"/>
  <c r="LR22" i="17"/>
  <c r="LR37" i="17"/>
  <c r="LR29" i="17"/>
  <c r="LR30" i="17"/>
  <c r="LR20" i="17"/>
  <c r="LR17" i="17"/>
  <c r="LR15" i="17"/>
  <c r="LR18" i="17"/>
  <c r="LR12" i="17"/>
  <c r="LR21" i="17"/>
  <c r="LR13" i="17"/>
  <c r="LR11" i="17"/>
  <c r="LR19" i="17"/>
  <c r="LR25" i="17"/>
  <c r="LR14" i="17"/>
  <c r="LS8" i="17"/>
  <c r="LS16" i="17" s="1"/>
  <c r="LR10" i="17"/>
  <c r="LS48" i="17" l="1"/>
  <c r="LS46" i="17"/>
  <c r="LS47" i="17"/>
  <c r="LS45" i="17"/>
  <c r="LS50" i="17"/>
  <c r="LS49" i="17"/>
  <c r="LS42" i="17"/>
  <c r="LS41" i="17"/>
  <c r="LS43" i="17"/>
  <c r="LS44" i="17"/>
  <c r="LS39" i="17"/>
  <c r="LS40" i="17"/>
  <c r="LS35" i="17"/>
  <c r="LS34" i="17"/>
  <c r="LS38" i="17"/>
  <c r="LS32" i="17"/>
  <c r="LS26" i="17"/>
  <c r="LS31" i="17"/>
  <c r="LS36" i="17"/>
  <c r="LS24" i="17"/>
  <c r="LS27" i="17"/>
  <c r="LS37" i="17"/>
  <c r="LS33" i="17"/>
  <c r="LS30" i="17"/>
  <c r="LS19" i="17"/>
  <c r="LS28" i="17"/>
  <c r="LS23" i="17"/>
  <c r="LS22" i="17"/>
  <c r="LS20" i="17"/>
  <c r="LS29" i="17"/>
  <c r="LS17" i="17"/>
  <c r="LS15" i="17"/>
  <c r="LS18" i="17"/>
  <c r="LS12" i="17"/>
  <c r="LS21" i="17"/>
  <c r="LS13" i="17"/>
  <c r="LS11" i="17"/>
  <c r="LS25" i="17"/>
  <c r="LS14" i="17"/>
  <c r="LT8" i="17"/>
  <c r="LT16" i="17" s="1"/>
  <c r="LS10" i="17"/>
  <c r="LT46" i="17" l="1"/>
  <c r="LT47" i="17"/>
  <c r="LT50" i="17"/>
  <c r="LT49" i="17"/>
  <c r="LT45" i="17"/>
  <c r="LT42" i="17"/>
  <c r="LT48" i="17"/>
  <c r="LT41" i="17"/>
  <c r="LT43" i="17"/>
  <c r="LT44" i="17"/>
  <c r="LT40" i="17"/>
  <c r="LT38" i="17"/>
  <c r="LT35" i="17"/>
  <c r="LT34" i="17"/>
  <c r="LT32" i="17"/>
  <c r="LT31" i="17"/>
  <c r="LT33" i="17"/>
  <c r="LT36" i="17"/>
  <c r="LT29" i="17"/>
  <c r="LT39" i="17"/>
  <c r="LT30" i="17"/>
  <c r="LT24" i="17"/>
  <c r="LT27" i="17"/>
  <c r="LT26" i="17"/>
  <c r="LT37" i="17"/>
  <c r="LT28" i="17"/>
  <c r="LT23" i="17"/>
  <c r="LT22" i="17"/>
  <c r="LT25" i="17"/>
  <c r="LT20" i="17"/>
  <c r="LT17" i="17"/>
  <c r="LT15" i="17"/>
  <c r="LT21" i="17"/>
  <c r="LT19" i="17"/>
  <c r="LT18" i="17"/>
  <c r="LT12" i="17"/>
  <c r="LT13" i="17"/>
  <c r="LT11" i="17"/>
  <c r="LT14" i="17"/>
  <c r="LU8" i="17"/>
  <c r="LU16" i="17" s="1"/>
  <c r="LT10" i="17"/>
  <c r="LU47" i="17" l="1"/>
  <c r="LU45" i="17"/>
  <c r="LU50" i="17"/>
  <c r="LU48" i="17"/>
  <c r="LU44" i="17"/>
  <c r="LU42" i="17"/>
  <c r="LU40" i="17"/>
  <c r="LU49" i="17"/>
  <c r="LU41" i="17"/>
  <c r="LU46" i="17"/>
  <c r="LU43" i="17"/>
  <c r="LU39" i="17"/>
  <c r="LU38" i="17"/>
  <c r="LU35" i="17"/>
  <c r="LU34" i="17"/>
  <c r="LU31" i="17"/>
  <c r="LU33" i="17"/>
  <c r="LU36" i="17"/>
  <c r="LU29" i="17"/>
  <c r="LU30" i="17"/>
  <c r="LU27" i="17"/>
  <c r="LU26" i="17"/>
  <c r="LU37" i="17"/>
  <c r="LU32" i="17"/>
  <c r="LU19" i="17"/>
  <c r="LU28" i="17"/>
  <c r="LU23" i="17"/>
  <c r="LU22" i="17"/>
  <c r="LU25" i="17"/>
  <c r="LU20" i="17"/>
  <c r="LU17" i="17"/>
  <c r="LU15" i="17"/>
  <c r="LU21" i="17"/>
  <c r="LU24" i="17"/>
  <c r="LU11" i="17"/>
  <c r="LU13" i="17"/>
  <c r="LU14" i="17"/>
  <c r="LU12" i="17"/>
  <c r="LU18" i="17"/>
  <c r="LU10" i="17"/>
  <c r="LV8" i="17"/>
  <c r="LV16" i="17" s="1"/>
  <c r="LV46" i="17" l="1"/>
  <c r="LV50" i="17"/>
  <c r="LV48" i="17"/>
  <c r="LV47" i="17"/>
  <c r="LV45" i="17"/>
  <c r="LV44" i="17"/>
  <c r="LV49" i="17"/>
  <c r="LV41" i="17"/>
  <c r="LV43" i="17"/>
  <c r="LV40" i="17"/>
  <c r="LV38" i="17"/>
  <c r="LV35" i="17"/>
  <c r="LV34" i="17"/>
  <c r="LV31" i="17"/>
  <c r="LV33" i="17"/>
  <c r="LV42" i="17"/>
  <c r="LV25" i="17"/>
  <c r="LV36" i="17"/>
  <c r="LV29" i="17"/>
  <c r="LV27" i="17"/>
  <c r="LV39" i="17"/>
  <c r="LV26" i="17"/>
  <c r="LV37" i="17"/>
  <c r="LV32" i="17"/>
  <c r="LV19" i="17"/>
  <c r="LV30" i="17"/>
  <c r="LV28" i="17"/>
  <c r="LV23" i="17"/>
  <c r="LV22" i="17"/>
  <c r="LV18" i="17"/>
  <c r="LV21" i="17"/>
  <c r="LV17" i="17"/>
  <c r="LV15" i="17"/>
  <c r="LV20" i="17"/>
  <c r="LV13" i="17"/>
  <c r="LV11" i="17"/>
  <c r="LV24" i="17"/>
  <c r="LV14" i="17"/>
  <c r="LV12" i="17"/>
  <c r="LW8" i="17"/>
  <c r="LW16" i="17" s="1"/>
  <c r="LV10" i="17"/>
  <c r="LW47" i="17" l="1"/>
  <c r="LW50" i="17"/>
  <c r="LW48" i="17"/>
  <c r="LW42" i="17"/>
  <c r="LW45" i="17"/>
  <c r="LW44" i="17"/>
  <c r="LW41" i="17"/>
  <c r="LW43" i="17"/>
  <c r="LW46" i="17"/>
  <c r="LW39" i="17"/>
  <c r="LW38" i="17"/>
  <c r="LW49" i="17"/>
  <c r="LW40" i="17"/>
  <c r="LW35" i="17"/>
  <c r="LW34" i="17"/>
  <c r="LW31" i="17"/>
  <c r="LW33" i="17"/>
  <c r="LW36" i="17"/>
  <c r="LW29" i="17"/>
  <c r="LW28" i="17"/>
  <c r="LW32" i="17"/>
  <c r="LW26" i="17"/>
  <c r="LW37" i="17"/>
  <c r="LW21" i="17"/>
  <c r="LW30" i="17"/>
  <c r="LW23" i="17"/>
  <c r="LW22" i="17"/>
  <c r="LW27" i="17"/>
  <c r="LW24" i="17"/>
  <c r="LW15" i="17"/>
  <c r="LW19" i="17"/>
  <c r="LW20" i="17"/>
  <c r="LW13" i="17"/>
  <c r="LW11" i="17"/>
  <c r="LW14" i="17"/>
  <c r="LW12" i="17"/>
  <c r="LW25" i="17"/>
  <c r="LW17" i="17"/>
  <c r="LW18" i="17"/>
  <c r="LW10" i="17"/>
  <c r="LX8" i="17"/>
  <c r="LX16" i="17" s="1"/>
  <c r="LX47" i="17" l="1"/>
  <c r="LX50" i="17"/>
  <c r="LX45" i="17"/>
  <c r="LX49" i="17"/>
  <c r="LX44" i="17"/>
  <c r="LX48" i="17"/>
  <c r="LX43" i="17"/>
  <c r="LX46" i="17"/>
  <c r="LX41" i="17"/>
  <c r="LX40" i="17"/>
  <c r="LX38" i="17"/>
  <c r="LX36" i="17"/>
  <c r="LX34" i="17"/>
  <c r="LX33" i="17"/>
  <c r="LX37" i="17"/>
  <c r="LX31" i="17"/>
  <c r="LX39" i="17"/>
  <c r="LX25" i="17"/>
  <c r="LX35" i="17"/>
  <c r="LX29" i="17"/>
  <c r="LX28" i="17"/>
  <c r="LX32" i="17"/>
  <c r="LX42" i="17"/>
  <c r="LX26" i="17"/>
  <c r="LX30" i="17"/>
  <c r="LX23" i="17"/>
  <c r="LX27" i="17"/>
  <c r="LX24" i="17"/>
  <c r="LX21" i="17"/>
  <c r="LX22" i="17"/>
  <c r="LX19" i="17"/>
  <c r="LX18" i="17"/>
  <c r="LX11" i="17"/>
  <c r="LX20" i="17"/>
  <c r="LX13" i="17"/>
  <c r="LX15" i="17"/>
  <c r="LX17" i="17"/>
  <c r="LX12" i="17"/>
  <c r="LX14" i="17"/>
  <c r="LX10" i="17"/>
</calcChain>
</file>

<file path=xl/sharedStrings.xml><?xml version="1.0" encoding="utf-8"?>
<sst xmlns="http://schemas.openxmlformats.org/spreadsheetml/2006/main" count="57" uniqueCount="56">
  <si>
    <t>Name</t>
  </si>
  <si>
    <t>Goal</t>
  </si>
  <si>
    <t>Progress</t>
  </si>
  <si>
    <t>Start</t>
  </si>
  <si>
    <t>Legend:</t>
  </si>
  <si>
    <t>Unassigned</t>
  </si>
  <si>
    <t>To add more data, Insert new rows ABOVE this one</t>
  </si>
  <si>
    <t>Milestone description</t>
  </si>
  <si>
    <t>Assigned to</t>
  </si>
  <si>
    <t>Days</t>
  </si>
  <si>
    <t>On track</t>
  </si>
  <si>
    <t>Low risk</t>
  </si>
  <si>
    <t>Med risk</t>
  </si>
  <si>
    <t>High risk</t>
  </si>
  <si>
    <t>Project start date:</t>
  </si>
  <si>
    <t>Scrolling increment:</t>
  </si>
  <si>
    <t>1. Project Scoping &amp; Background Research</t>
  </si>
  <si>
    <t>Finalize research questions, scope, and hypotheses</t>
  </si>
  <si>
    <t>Conduct literature review on AI + morality, datasets, interpretability, Chinese Room, Models selection</t>
  </si>
  <si>
    <t>Literature review on model selection</t>
  </si>
  <si>
    <t>Define evaluation metrics and success criteria</t>
  </si>
  <si>
    <t>Choose dataset focus (cross-cultural, uncertainty, etc.)</t>
  </si>
  <si>
    <t>Combining Dataset</t>
  </si>
  <si>
    <t xml:space="preserve">Cleaning up Data set </t>
  </si>
  <si>
    <t>Preliminary data set exploration</t>
  </si>
  <si>
    <t>3. Model Selection &amp; Setup</t>
  </si>
  <si>
    <t>Choose baseline models (rule-based, shallow)</t>
  </si>
  <si>
    <t>Choose transformer models (LLaMA, GPT, Mistral, etc.)</t>
  </si>
  <si>
    <t>Set up training environment (Python, GPUs, libraries)</t>
  </si>
  <si>
    <t>4. Training &amp; Fine-tuning</t>
  </si>
  <si>
    <t>Preprocess dataset and tokenization</t>
  </si>
  <si>
    <t>Fine-tune baseline models on ETHICS</t>
  </si>
  <si>
    <t>Fine-tune models on your custom dataset</t>
  </si>
  <si>
    <t>Sanity-check and validate model outputs</t>
  </si>
  <si>
    <t>Lee Ling Jun</t>
  </si>
  <si>
    <t>2. Dataset Design &amp; Collection</t>
  </si>
  <si>
    <t>5. Evaluation</t>
  </si>
  <si>
    <t>Define and calculate evaluation metrics (accuracy, robustness, bias)</t>
  </si>
  <si>
    <t>Conduct interpretability analysis (attention, embeddings, interventions)</t>
  </si>
  <si>
    <t>Cross-cultural or moral uncertainty tests</t>
  </si>
  <si>
    <t>6. Analysis &amp; Reflection</t>
  </si>
  <si>
    <t>Relate findings to philosophical framing (Chinese Room, etc.)</t>
  </si>
  <si>
    <t>Identify limitations, biases, implications</t>
  </si>
  <si>
    <t>7. Write-up &amp; Presentation</t>
  </si>
  <si>
    <t>Draft report/paper (intro, method, results)</t>
  </si>
  <si>
    <t>Create figures, charts (attention maps, embeddings, Gantt chart)</t>
  </si>
  <si>
    <t>Revise, finalize, and prepare presentation</t>
  </si>
  <si>
    <t>8. Deadlines</t>
  </si>
  <si>
    <t>Project and Data Management</t>
  </si>
  <si>
    <t>ViVa</t>
  </si>
  <si>
    <t>Priority</t>
  </si>
  <si>
    <t>Milestones \ Goals</t>
  </si>
  <si>
    <t>Days to Deadline</t>
  </si>
  <si>
    <t>Training a Model on Moral Dilemmas: How AI ‘Thinks’ About Ethics.</t>
  </si>
  <si>
    <t>PROJECT:</t>
  </si>
  <si>
    <t>Working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</si>
</sst>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 #,##0.00_);_(* \(#,##0.00\);_(* &quot;-&quot;??_);_(@_)"/>
    <numFmt numFmtId="165" formatCode="d"/>
  </numFmts>
  <fonts count="28"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b/>
      <sz val="11"/>
      <color theme="0"/>
      <name val="Calibri"/>
      <family val="2"/>
      <scheme val="minor"/>
    </font>
    <font>
      <b/>
      <sz val="20"/>
      <name val="Calibri"/>
      <family val="2"/>
      <scheme val="major"/>
    </font>
    <font>
      <b/>
      <sz val="16"/>
      <name val="Calibri"/>
      <family val="2"/>
      <scheme val="minor"/>
    </font>
    <font>
      <b/>
      <sz val="26"/>
      <name val="Calibri"/>
      <family val="2"/>
      <scheme val="major"/>
    </font>
    <font>
      <b/>
      <sz val="16"/>
      <color rgb="FF000000"/>
      <name val="Calibri"/>
      <family val="2"/>
      <scheme val="minor"/>
    </font>
    <font>
      <sz val="10"/>
      <color theme="1"/>
      <name val="Calibri"/>
      <family val="2"/>
      <scheme val="minor"/>
    </font>
    <font>
      <b/>
      <sz val="10"/>
      <name val="Calibri"/>
      <family val="2"/>
      <scheme val="minor"/>
    </font>
    <font>
      <b/>
      <sz val="16"/>
      <color theme="1"/>
      <name val="Calibri"/>
      <family val="2"/>
      <scheme val="minor"/>
    </font>
    <font>
      <b/>
      <sz val="18"/>
      <name val="Calibri"/>
      <family val="2"/>
      <scheme val="major"/>
    </font>
    <font>
      <b/>
      <sz val="14"/>
      <color theme="1"/>
      <name val="Calibri"/>
      <family val="2"/>
      <scheme val="minor"/>
    </font>
    <font>
      <b/>
      <u/>
      <sz val="16"/>
      <color theme="0"/>
      <name val="Calibri"/>
      <family val="2"/>
      <scheme val="minor"/>
    </font>
  </fonts>
  <fills count="11">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0" tint="-0.249977111117893"/>
        <bgColor indexed="64"/>
      </patternFill>
    </fill>
  </fills>
  <borders count="1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indexed="64"/>
      </top>
      <bottom style="thin">
        <color theme="0" tint="-0.499984740745262"/>
      </bottom>
      <diagonal/>
    </border>
    <border>
      <left style="thin">
        <color theme="0" tint="-0.34998626667073579"/>
      </left>
      <right style="thin">
        <color theme="0" tint="-0.34998626667073579"/>
      </right>
      <top style="thin">
        <color theme="0" tint="-0.34998626667073579"/>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9" fillId="0" borderId="0"/>
    <xf numFmtId="164"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9" fillId="3" borderId="0" applyNumberFormat="0" applyBorder="0" applyAlignment="0" applyProtection="0"/>
    <xf numFmtId="9" fontId="4" fillId="0" borderId="0" applyFont="0" applyFill="0" applyBorder="0" applyAlignment="0" applyProtection="0"/>
  </cellStyleXfs>
  <cellXfs count="78">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9" fillId="0" borderId="0" xfId="3"/>
    <xf numFmtId="0" fontId="9" fillId="0" borderId="0" xfId="3" applyAlignment="1">
      <alignment wrapText="1"/>
    </xf>
    <xf numFmtId="0" fontId="9" fillId="0" borderId="0" xfId="0" applyFont="1" applyAlignment="1">
      <alignment horizontal="center"/>
    </xf>
    <xf numFmtId="0" fontId="3" fillId="0" borderId="0" xfId="0" applyFont="1" applyAlignment="1">
      <alignment horizontal="center" vertical="center"/>
    </xf>
    <xf numFmtId="9" fontId="14"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2" borderId="0" xfId="0" applyFont="1" applyFill="1"/>
    <xf numFmtId="0" fontId="3" fillId="0" borderId="0" xfId="0" applyFont="1" applyAlignment="1">
      <alignment vertical="center"/>
    </xf>
    <xf numFmtId="0" fontId="15" fillId="0" borderId="0" xfId="0" applyFont="1" applyAlignment="1">
      <alignment horizontal="center" vertical="center"/>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5"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0" fillId="0" borderId="3" xfId="0" applyFont="1" applyBorder="1" applyAlignment="1">
      <alignment horizontal="center" vertical="center" wrapText="1"/>
    </xf>
    <xf numFmtId="165" fontId="1" fillId="10" borderId="5" xfId="0" applyNumberFormat="1" applyFont="1" applyFill="1" applyBorder="1" applyAlignment="1">
      <alignment horizontal="center" vertical="center"/>
    </xf>
    <xf numFmtId="165" fontId="1" fillId="10" borderId="4" xfId="0" applyNumberFormat="1" applyFont="1" applyFill="1" applyBorder="1" applyAlignment="1">
      <alignment horizontal="center" vertical="center"/>
    </xf>
    <xf numFmtId="165" fontId="1" fillId="10" borderId="6" xfId="0" applyNumberFormat="1" applyFont="1" applyFill="1" applyBorder="1" applyAlignment="1">
      <alignment horizontal="center" vertical="center"/>
    </xf>
    <xf numFmtId="165" fontId="1" fillId="10" borderId="2" xfId="0" applyNumberFormat="1" applyFont="1" applyFill="1" applyBorder="1" applyAlignment="1">
      <alignment horizontal="center" vertical="center"/>
    </xf>
    <xf numFmtId="165" fontId="1" fillId="10" borderId="0" xfId="0" applyNumberFormat="1" applyFont="1" applyFill="1" applyAlignment="1">
      <alignment horizontal="center" vertical="center"/>
    </xf>
    <xf numFmtId="165" fontId="1" fillId="10" borderId="7" xfId="0" applyNumberFormat="1" applyFont="1" applyFill="1" applyBorder="1" applyAlignment="1">
      <alignment horizontal="center" vertical="center"/>
    </xf>
    <xf numFmtId="165" fontId="1" fillId="10" borderId="8" xfId="0" applyNumberFormat="1" applyFont="1" applyFill="1" applyBorder="1" applyAlignment="1">
      <alignment horizontal="center" vertical="center"/>
    </xf>
    <xf numFmtId="0" fontId="3" fillId="0" borderId="0" xfId="0" applyFont="1" applyAlignment="1">
      <alignment horizontal="left" vertical="center" wrapText="1" indent="1"/>
    </xf>
    <xf numFmtId="0" fontId="20" fillId="2" borderId="0" xfId="5" applyFont="1" applyFill="1" applyAlignment="1">
      <alignment horizontal="left" vertical="center" indent="1"/>
    </xf>
    <xf numFmtId="0" fontId="15" fillId="2" borderId="0" xfId="0" applyFont="1" applyFill="1" applyAlignment="1">
      <alignment horizontal="center" vertical="center"/>
    </xf>
    <xf numFmtId="0" fontId="3" fillId="2" borderId="0" xfId="0" applyFont="1" applyFill="1" applyAlignment="1">
      <alignment horizontal="center" vertical="center"/>
    </xf>
    <xf numFmtId="0" fontId="12" fillId="6" borderId="0" xfId="0" applyFont="1" applyFill="1" applyAlignment="1">
      <alignment horizontal="center" vertical="center"/>
    </xf>
    <xf numFmtId="0" fontId="11" fillId="4" borderId="0" xfId="0" applyFont="1" applyFill="1" applyAlignment="1">
      <alignment horizontal="center" vertical="center"/>
    </xf>
    <xf numFmtId="0" fontId="15" fillId="2" borderId="0" xfId="0" applyFont="1" applyFill="1" applyAlignment="1">
      <alignment horizontal="center" vertical="center"/>
    </xf>
    <xf numFmtId="0" fontId="3" fillId="2" borderId="0" xfId="0" applyFont="1" applyFill="1" applyAlignment="1">
      <alignment horizontal="center" vertical="center"/>
    </xf>
    <xf numFmtId="0" fontId="12" fillId="5" borderId="0" xfId="11" applyFont="1" applyFill="1" applyAlignment="1">
      <alignment horizontal="center" vertical="center"/>
    </xf>
    <xf numFmtId="0" fontId="11" fillId="7" borderId="0" xfId="0" applyFont="1" applyFill="1" applyAlignment="1">
      <alignment horizontal="center" vertical="center"/>
    </xf>
    <xf numFmtId="0" fontId="12" fillId="8" borderId="0" xfId="0" applyFont="1" applyFill="1" applyAlignment="1">
      <alignment horizontal="center" vertical="center"/>
    </xf>
    <xf numFmtId="0" fontId="22" fillId="0" borderId="0" xfId="0" applyFont="1" applyBorder="1" applyAlignment="1">
      <alignment vertical="center" wrapText="1"/>
    </xf>
    <xf numFmtId="14" fontId="3" fillId="2" borderId="0" xfId="9" applyNumberFormat="1" applyFont="1" applyFill="1" applyBorder="1" applyAlignment="1">
      <alignment horizontal="center" vertical="center"/>
    </xf>
    <xf numFmtId="0" fontId="0" fillId="0" borderId="0" xfId="0" applyBorder="1" applyAlignment="1">
      <alignment horizontal="center" vertical="center"/>
    </xf>
    <xf numFmtId="14" fontId="3" fillId="0" borderId="0" xfId="0" applyNumberFormat="1" applyFont="1"/>
    <xf numFmtId="0" fontId="0" fillId="0" borderId="0" xfId="0" applyFont="1" applyAlignment="1">
      <alignment horizontal="left" wrapText="1" indent="4"/>
    </xf>
    <xf numFmtId="0" fontId="9" fillId="0" borderId="0" xfId="3" applyBorder="1"/>
    <xf numFmtId="0" fontId="3" fillId="0" borderId="0" xfId="0" applyFont="1" applyBorder="1" applyAlignment="1">
      <alignment horizontal="center" vertical="center"/>
    </xf>
    <xf numFmtId="0" fontId="0" fillId="0" borderId="0" xfId="0" applyBorder="1" applyAlignment="1">
      <alignment vertical="center"/>
    </xf>
    <xf numFmtId="0" fontId="0" fillId="0" borderId="0" xfId="0" applyFont="1" applyAlignment="1">
      <alignment horizontal="left" wrapText="1" indent="5"/>
    </xf>
    <xf numFmtId="9" fontId="23" fillId="0" borderId="0" xfId="2" applyFont="1" applyFill="1" applyBorder="1">
      <alignment horizontal="center" vertical="center"/>
    </xf>
    <xf numFmtId="37" fontId="1" fillId="0" borderId="0" xfId="10" applyFont="1" applyFill="1" applyBorder="1">
      <alignment horizontal="center" vertical="center"/>
    </xf>
    <xf numFmtId="0" fontId="1" fillId="0" borderId="0" xfId="0" applyFont="1" applyBorder="1" applyAlignment="1">
      <alignment horizontal="center" vertical="center"/>
    </xf>
    <xf numFmtId="0" fontId="0" fillId="0" borderId="0" xfId="0"/>
    <xf numFmtId="0" fontId="9" fillId="0" borderId="0" xfId="3" applyAlignment="1">
      <alignment vertical="center" wrapText="1"/>
    </xf>
    <xf numFmtId="0" fontId="20" fillId="2" borderId="0" xfId="5" applyFont="1" applyFill="1" applyAlignment="1">
      <alignment vertical="center" wrapText="1"/>
    </xf>
    <xf numFmtId="0" fontId="19" fillId="0" borderId="9" xfId="0" applyFont="1" applyBorder="1" applyAlignment="1">
      <alignment vertical="center"/>
    </xf>
    <xf numFmtId="0" fontId="0" fillId="0" borderId="9" xfId="0" applyBorder="1"/>
    <xf numFmtId="0" fontId="21" fillId="0" borderId="9" xfId="0" applyFont="1" applyBorder="1" applyAlignment="1">
      <alignment vertical="center"/>
    </xf>
    <xf numFmtId="0" fontId="16" fillId="0" borderId="9" xfId="0" applyFont="1" applyBorder="1" applyAlignment="1">
      <alignment vertical="center"/>
    </xf>
    <xf numFmtId="0" fontId="13" fillId="0" borderId="9" xfId="0" applyFont="1" applyBorder="1"/>
    <xf numFmtId="0" fontId="24" fillId="0" borderId="9" xfId="0" applyFont="1" applyBorder="1"/>
    <xf numFmtId="0" fontId="1" fillId="10" borderId="10" xfId="0" applyFont="1" applyFill="1" applyBorder="1" applyAlignment="1">
      <alignment horizontal="center" vertical="center" shrinkToFit="1"/>
    </xf>
    <xf numFmtId="0" fontId="0" fillId="0" borderId="11" xfId="0" applyBorder="1" applyAlignment="1">
      <alignment horizontal="center" vertical="center"/>
    </xf>
    <xf numFmtId="14" fontId="22" fillId="0" borderId="0" xfId="0" applyNumberFormat="1" applyFont="1" applyBorder="1" applyAlignment="1">
      <alignment horizontal="left" vertical="center" wrapText="1"/>
    </xf>
    <xf numFmtId="14" fontId="1" fillId="0" borderId="0" xfId="9" applyFont="1" applyFill="1" applyBorder="1" applyAlignment="1">
      <alignment horizontal="left" vertical="center"/>
    </xf>
    <xf numFmtId="0" fontId="14" fillId="0" borderId="0" xfId="8" applyFont="1" applyFill="1" applyAlignment="1">
      <alignment vertical="center"/>
    </xf>
    <xf numFmtId="0" fontId="18" fillId="2" borderId="0" xfId="5" applyFont="1" applyFill="1" applyAlignment="1">
      <alignment vertical="center" wrapText="1"/>
    </xf>
    <xf numFmtId="0" fontId="25" fillId="0" borderId="0" xfId="5" applyFont="1" applyFill="1" applyAlignment="1">
      <alignment horizontal="left" vertical="center"/>
    </xf>
    <xf numFmtId="0" fontId="26" fillId="0" borderId="0" xfId="0" applyFont="1" applyBorder="1" applyAlignment="1">
      <alignment vertical="center" wrapText="1"/>
    </xf>
    <xf numFmtId="0" fontId="17" fillId="9" borderId="0" xfId="0" applyFont="1" applyFill="1" applyAlignment="1">
      <alignment horizontal="center" vertical="top" wrapText="1"/>
    </xf>
    <xf numFmtId="0" fontId="27" fillId="9" borderId="0" xfId="0" applyFont="1" applyFill="1" applyAlignment="1">
      <alignment horizontal="left" vertical="center"/>
    </xf>
  </cellXfs>
  <cellStyles count="13">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Percent 2" xfId="12" xr:uid="{7E4D1B0F-5150-4413-9F49-BDFF76532F30}"/>
    <cellStyle name="Title" xfId="5" builtinId="15" customBuiltin="1"/>
    <cellStyle name="zHiddenText" xfId="3" xr:uid="{26E66EE6-E33F-4D77-BAE4-0FB4F5BBF673}"/>
  </cellStyles>
  <dxfs count="172">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rgb="FF00B050"/>
        </patternFill>
      </fill>
      <border>
        <left/>
        <right/>
        <top/>
        <bottom/>
      </border>
    </dxf>
    <dxf>
      <fill>
        <patternFill patternType="solid">
          <bgColor theme="2" tint="-0.14996795556505021"/>
        </patternFill>
      </fill>
      <border>
        <left style="thin">
          <color theme="2" tint="-0.14996795556505021"/>
        </left>
        <right style="thin">
          <color theme="2" tint="-0.14996795556505021"/>
        </right>
        <top style="thin">
          <color theme="2" tint="-0.14996795556505021"/>
        </top>
        <bottom style="thin">
          <color theme="2" tint="-0.14996795556505021"/>
        </bottom>
        <vertical/>
        <horizontal/>
      </border>
    </dxf>
    <dxf>
      <font>
        <b/>
        <i val="0"/>
        <strike val="0"/>
      </font>
      <fill>
        <patternFill>
          <bgColor theme="0" tint="-0.34998626667073579"/>
        </patternFill>
      </fill>
      <border>
        <left/>
        <right/>
        <top/>
        <bottom/>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rgb="FF00B050"/>
        </patternFill>
      </fill>
      <border>
        <left/>
        <right/>
        <top/>
        <bottom/>
      </border>
    </dxf>
    <dxf>
      <fill>
        <patternFill patternType="solid">
          <bgColor theme="2" tint="-0.14996795556505021"/>
        </patternFill>
      </fill>
      <border>
        <left style="thin">
          <color theme="2" tint="-0.14996795556505021"/>
        </left>
        <right style="thin">
          <color theme="2" tint="-0.14996795556505021"/>
        </right>
        <top style="thin">
          <color theme="2" tint="-0.14996795556505021"/>
        </top>
        <bottom style="thin">
          <color theme="2" tint="-0.14996795556505021"/>
        </bottom>
        <vertical/>
        <horizontal/>
      </border>
    </dxf>
    <dxf>
      <font>
        <b/>
        <i val="0"/>
        <strike val="0"/>
      </font>
      <fill>
        <patternFill>
          <bgColor theme="0" tint="-0.34998626667073579"/>
        </patternFill>
      </fill>
      <border>
        <left/>
        <right/>
        <top/>
        <bottom/>
      </border>
    </dxf>
    <dxf>
      <font>
        <b val="0"/>
        <i val="0"/>
        <strike val="0"/>
        <condense val="0"/>
        <extend val="0"/>
        <outline val="0"/>
        <shadow val="0"/>
        <u val="none"/>
        <vertAlign val="baseline"/>
        <sz val="11"/>
        <color auto="1"/>
        <name val="Calibri"/>
        <family val="2"/>
        <scheme val="minor"/>
      </font>
      <numFmt numFmtId="5" formatCode="#,##0;\-#,##0"/>
      <fill>
        <patternFill patternType="none">
          <fgColor indexed="64"/>
          <bgColor indexed="65"/>
        </patternFill>
      </fill>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alignment vertical="top" textRotation="0" indent="0" justifyLastLine="0" shrinkToFit="0" readingOrder="0"/>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patternType="solid">
          <bgColor theme="2" tint="-0.14996795556505021"/>
        </patternFill>
      </fill>
      <border>
        <left style="thin">
          <color theme="2" tint="-0.14996795556505021"/>
        </left>
        <right style="thin">
          <color theme="2" tint="-0.14996795556505021"/>
        </right>
        <top style="thin">
          <color theme="2" tint="-0.14996795556505021"/>
        </top>
        <bottom style="thin">
          <color theme="2" tint="-0.14996795556505021"/>
        </bottom>
        <vertical/>
        <horizontal/>
      </border>
    </dxf>
    <dxf>
      <fill>
        <patternFill>
          <bgColor rgb="FF00B050"/>
        </patternFill>
      </fill>
      <border>
        <left/>
        <right/>
        <top/>
        <bottom/>
      </border>
    </dxf>
    <dxf>
      <font>
        <b/>
        <i val="0"/>
        <strike val="0"/>
      </font>
      <fill>
        <patternFill>
          <bgColor theme="0" tint="-0.34998626667073579"/>
        </patternFill>
      </fill>
      <border>
        <left/>
        <right/>
        <top/>
        <bottom/>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patternType="solid">
          <bgColor theme="2" tint="-0.14996795556505021"/>
        </patternFill>
      </fill>
      <border>
        <left/>
        <right/>
        <top/>
        <bottom/>
        <vertical/>
        <horizontal/>
      </border>
    </dxf>
    <dxf>
      <fill>
        <patternFill>
          <bgColor rgb="FF00B050"/>
        </patternFill>
      </fill>
      <border>
        <left/>
        <right/>
        <top/>
        <bottom/>
      </border>
    </dxf>
    <dxf>
      <font>
        <b/>
        <i val="0"/>
        <strike val="0"/>
      </font>
      <fill>
        <patternFill>
          <bgColor theme="0" tint="-0.34998626667073579"/>
        </patternFill>
      </fill>
      <border>
        <left/>
        <right/>
        <top/>
        <bottom/>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rgb="FF00B050"/>
        </patternFill>
      </fill>
      <border>
        <left/>
        <right/>
        <top/>
        <bottom/>
      </border>
    </dxf>
    <dxf>
      <fill>
        <patternFill patternType="solid">
          <bgColor theme="2" tint="-0.14996795556505021"/>
        </patternFill>
      </fill>
      <border>
        <left/>
        <right/>
        <top/>
        <bottom/>
        <vertical/>
        <horizontal/>
      </border>
    </dxf>
    <dxf>
      <font>
        <b/>
        <i val="0"/>
        <strike val="0"/>
      </font>
      <fill>
        <patternFill>
          <bgColor theme="0" tint="-0.34998626667073579"/>
        </patternFill>
      </fill>
      <border>
        <left/>
        <right/>
        <top/>
        <bottom/>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rgb="FF00B050"/>
        </patternFill>
      </fill>
      <border>
        <left/>
        <right/>
        <top/>
        <bottom/>
      </border>
    </dxf>
    <dxf>
      <fill>
        <patternFill patternType="solid">
          <bgColor theme="2" tint="-0.14996795556505021"/>
        </patternFill>
      </fill>
      <border>
        <left/>
        <right/>
        <top/>
        <bottom/>
        <vertical/>
        <horizontal/>
      </border>
    </dxf>
    <dxf>
      <font>
        <b/>
        <i val="0"/>
        <strike val="0"/>
      </font>
      <fill>
        <patternFill>
          <bgColor theme="0" tint="-0.34998626667073579"/>
        </patternFill>
      </fill>
      <border>
        <left/>
        <right/>
        <top/>
        <bottom/>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rgb="FF00B050"/>
        </patternFill>
      </fill>
      <border>
        <left/>
        <right/>
        <top/>
        <bottom/>
      </border>
    </dxf>
    <dxf>
      <fill>
        <patternFill patternType="solid">
          <bgColor theme="2" tint="-0.14996795556505021"/>
        </patternFill>
      </fill>
      <border>
        <left/>
        <right/>
        <top/>
        <bottom/>
        <vertical/>
        <horizontal/>
      </border>
    </dxf>
    <dxf>
      <font>
        <b/>
        <i val="0"/>
        <strike val="0"/>
      </font>
      <fill>
        <patternFill>
          <bgColor theme="0" tint="-0.34998626667073579"/>
        </patternFill>
      </fill>
      <border>
        <left/>
        <right/>
        <top/>
        <bottom/>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theme="0" tint="-0.14996795556505021"/>
        </patternFill>
      </fill>
      <border>
        <left style="dashDotDot">
          <color theme="0" tint="-0.34998626667073579"/>
        </left>
        <right style="dashDotDot">
          <color theme="0" tint="-0.34998626667073579"/>
        </right>
        <top/>
        <bottom/>
        <vertical/>
        <horizontal/>
      </border>
    </dxf>
    <dxf>
      <fill>
        <patternFill>
          <bgColor theme="2" tint="-9.9948118533890809E-2"/>
        </patternFill>
      </fill>
      <border>
        <left/>
        <right/>
        <top/>
        <bottom/>
        <vertical/>
        <horizontal/>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tint="0.59996337778862885"/>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ill>
        <patternFill>
          <bgColor rgb="FF00B050"/>
        </patternFill>
      </fill>
      <border>
        <left/>
        <right/>
        <top/>
        <bottom/>
      </border>
    </dxf>
    <dxf>
      <fill>
        <patternFill patternType="solid">
          <bgColor theme="2" tint="-0.14996795556505021"/>
        </patternFill>
      </fill>
      <border>
        <left/>
        <right/>
        <top/>
        <bottom/>
        <vertical/>
        <horizontal/>
      </border>
    </dxf>
    <dxf>
      <font>
        <b/>
        <i val="0"/>
        <strike val="0"/>
      </font>
      <fill>
        <patternFill>
          <bgColor theme="0" tint="-0.34998626667073579"/>
        </patternFill>
      </fill>
      <border>
        <left/>
        <right/>
        <top/>
        <bottom/>
      </border>
    </dxf>
    <dxf>
      <font>
        <strike val="0"/>
        <outline val="0"/>
        <shadow val="0"/>
        <u val="none"/>
        <vertAlign val="baseline"/>
        <sz val="11"/>
        <name val="Calibri"/>
        <family val="2"/>
        <scheme val="minor"/>
      </font>
      <numFmt numFmtId="5" formatCode="#,##0;\-#,##0"/>
    </dxf>
    <dxf>
      <font>
        <b val="0"/>
        <i val="0"/>
        <strike val="0"/>
        <condense val="0"/>
        <extend val="0"/>
        <outline val="0"/>
        <shadow val="0"/>
        <u val="none"/>
        <vertAlign val="baseline"/>
        <sz val="11"/>
        <color auto="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bottom" textRotation="0" wrapText="1" relativeIndent="1" justifyLastLine="0" shrinkToFit="0" readingOrder="0"/>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3" defaultTableStyle="Gantt Table Style" defaultPivotStyle="PivotStyleLight16">
    <tableStyle name="Gantt Table Style" pivot="0" count="4" xr9:uid="{4904D139-63E4-4221-B7C9-C6C5B7A50FAF}">
      <tableStyleElement type="wholeTable" dxfId="171"/>
      <tableStyleElement type="headerRow" dxfId="170"/>
      <tableStyleElement type="firstRowStripe" dxfId="169"/>
      <tableStyleElement type="secondRowStripe" dxfId="168"/>
    </tableStyle>
    <tableStyle name="Invisible" pivot="0" table="0" count="0" xr9:uid="{4BD7FF3C-E4D8-49C1-AF2F-A936D9A8307F}"/>
    <tableStyle name="ToDoList" pivot="0" count="9" xr9:uid="{00000000-0011-0000-FFFF-FFFF00000000}">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5C5"/>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10:J56" totalsRowShown="0" headerRowDxfId="37" dataDxfId="36">
  <tableColumns count="9">
    <tableColumn id="1" xr3:uid="{619BF8F6-D0F1-41AD-871D-FE0240C45A93}" name="Milestone description" dataDxfId="158"/>
    <tableColumn id="2" xr3:uid="{39BD914E-FB02-4352-846C-6D59624DC0B0}" name="Milestones \ Goals" dataDxfId="157"/>
    <tableColumn id="9" xr3:uid="{680FE2AE-E058-4D77-978E-5132A345DBC8}" name="Priority" dataDxfId="152">
      <calculatedColumnFormula>IF(G11+Milestones4352[[#This Row],[Days]]="","",
IF(OR(G4=1,G4=100%),"Done",
6-MAX(1,MIN(5,
1+(E4-TODAY()&lt;=30)+(E4-TODAY()&lt;=14)+(E4-TODAY()&lt;=7)+(E4-TODAY()&lt;=3)
-IF(IF(G4&gt;1,G4/100,G4)&gt;=0.8,2,IF(IF(G4&gt;1,G4/100,G4)&gt;=0.5,1,0))
))
))</calculatedColumnFormula>
    </tableColumn>
    <tableColumn id="3" xr3:uid="{D274194F-BCA0-44F3-84B2-217254EE241C}" name="Assigned to" dataDxfId="156"/>
    <tableColumn id="4" xr3:uid="{8385BC6F-56EE-4363-A106-8DB0A1E4EF5A}" name="Progress" dataDxfId="155"/>
    <tableColumn id="5" xr3:uid="{02926609-7B93-4B6F-BE96-92EC7A949E4B}" name="Start" dataDxfId="154" dataCellStyle="Date"/>
    <tableColumn id="6" xr3:uid="{8FF9BE8E-04B7-4B39-AC27-D2E534204BC3}" name="Days" dataDxfId="153" dataCellStyle="Comma [0]"/>
    <tableColumn id="12" xr3:uid="{08983973-7C5D-43E7-8D60-024416126914}" name="Working Days" dataDxfId="35" dataCellStyle="Comma [0]">
      <calculatedColumnFormula>IF(OR(G11="",H11=""),"",NETWORKDAYS(G11,G11+H11))</calculatedColumnFormula>
    </tableColumn>
    <tableColumn id="11" xr3:uid="{99DBA68B-DA5B-4A88-BDF2-F3182EB64176}" name="Days to Deadline" dataDxfId="151">
      <calculatedColumnFormula>IF(OR(Milestones4352[[#This Row],[Start]]="",Milestones4352[[#This Row],[Days]]=""),"",(Milestones4352[[#This Row],[Start]]+Milestones4352[[#This Row],[Days]])-TODAY())</calculatedColumnFormula>
    </tableColumn>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pageSetUpPr fitToPage="1"/>
  </sheetPr>
  <dimension ref="A1:LX58"/>
  <sheetViews>
    <sheetView showGridLines="0" tabSelected="1" showRuler="0" zoomScale="85" zoomScaleNormal="85" zoomScalePageLayoutView="70" workbookViewId="0">
      <selection activeCell="AJ11" sqref="AJ11"/>
    </sheetView>
  </sheetViews>
  <sheetFormatPr defaultColWidth="8.85546875" defaultRowHeight="30.1" customHeight="1" x14ac:dyDescent="0.25"/>
  <cols>
    <col min="1" max="1" width="2.5703125" style="6" customWidth="1"/>
    <col min="2" max="2" width="89.5703125" customWidth="1"/>
    <col min="3" max="3" width="14.5703125" customWidth="1"/>
    <col min="4" max="4" width="10.85546875" bestFit="1" customWidth="1"/>
    <col min="5" max="5" width="20.5703125" hidden="1" customWidth="1"/>
    <col min="6" max="6" width="11.5703125" bestFit="1" customWidth="1"/>
    <col min="7" max="7" width="12" style="2" bestFit="1" customWidth="1"/>
    <col min="8" max="8" width="10.42578125" customWidth="1"/>
    <col min="9" max="9" width="10.42578125" style="59" customWidth="1"/>
    <col min="10" max="10" width="11.85546875" style="59" bestFit="1" customWidth="1"/>
    <col min="11" max="11" width="2.7109375" customWidth="1"/>
    <col min="12" max="336" width="3.5703125" customWidth="1"/>
  </cols>
  <sheetData>
    <row r="1" spans="1:336" ht="25.05" customHeight="1" x14ac:dyDescent="0.25"/>
    <row r="2" spans="1:336" ht="33.4" x14ac:dyDescent="0.25">
      <c r="A2" s="7"/>
      <c r="B2" s="61" t="s">
        <v>54</v>
      </c>
      <c r="C2" s="37"/>
      <c r="D2" s="37"/>
      <c r="E2" s="37"/>
      <c r="F2" s="37"/>
      <c r="G2" s="37"/>
      <c r="H2" s="37"/>
      <c r="I2" s="37"/>
      <c r="J2" s="37"/>
      <c r="K2" s="37"/>
      <c r="L2" s="42"/>
      <c r="M2" s="42"/>
      <c r="N2" s="42"/>
      <c r="O2" s="42"/>
      <c r="P2" s="42"/>
      <c r="Q2" s="42"/>
      <c r="R2" s="43"/>
      <c r="S2" s="43"/>
      <c r="T2" s="43"/>
      <c r="U2" s="43"/>
      <c r="V2" s="43"/>
      <c r="W2" s="43"/>
      <c r="X2" s="13"/>
      <c r="Y2" s="13"/>
      <c r="Z2" s="13"/>
      <c r="AA2" s="13"/>
      <c r="AB2" s="13"/>
      <c r="AC2" s="13"/>
      <c r="AD2" s="13"/>
      <c r="AE2" s="13"/>
      <c r="AF2" s="13"/>
      <c r="AG2" s="13"/>
      <c r="AH2" s="13"/>
      <c r="AI2" s="13"/>
      <c r="AJ2" s="13"/>
      <c r="AK2" s="13"/>
      <c r="AL2" s="13"/>
      <c r="AM2" s="13"/>
      <c r="AN2" s="13"/>
      <c r="AO2" s="13"/>
      <c r="AP2" s="13"/>
      <c r="AQ2" s="13"/>
      <c r="AR2" s="13"/>
      <c r="AS2" s="13"/>
      <c r="AT2" s="13"/>
      <c r="AU2" s="13"/>
      <c r="AV2" s="13"/>
      <c r="AW2" s="13"/>
      <c r="AX2" s="13"/>
      <c r="AY2" s="13"/>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c r="CF2" s="13"/>
      <c r="CG2" s="13"/>
      <c r="CH2" s="13"/>
      <c r="CI2" s="13"/>
      <c r="CJ2" s="13"/>
      <c r="CK2" s="13"/>
      <c r="CL2" s="13"/>
      <c r="CM2" s="13"/>
      <c r="CN2" s="13"/>
      <c r="CO2" s="13"/>
      <c r="CP2" s="13"/>
      <c r="CQ2" s="13"/>
      <c r="CR2" s="13"/>
      <c r="CS2" s="13"/>
      <c r="CT2" s="13"/>
      <c r="CU2" s="13"/>
      <c r="CV2" s="13"/>
      <c r="CW2" s="13"/>
      <c r="CX2" s="13"/>
      <c r="CY2" s="13"/>
      <c r="CZ2" s="13"/>
      <c r="DA2" s="13"/>
      <c r="DB2" s="13"/>
      <c r="DC2" s="13"/>
      <c r="DD2" s="13"/>
      <c r="DE2" s="13"/>
      <c r="DF2" s="13"/>
      <c r="DG2" s="13"/>
      <c r="DH2" s="13"/>
      <c r="DI2" s="13"/>
      <c r="DJ2" s="13"/>
      <c r="DK2" s="13"/>
      <c r="DL2" s="13"/>
      <c r="DM2" s="13"/>
      <c r="DN2" s="13"/>
      <c r="DO2" s="13"/>
      <c r="DP2" s="13"/>
      <c r="DQ2" s="13"/>
      <c r="DR2" s="13"/>
      <c r="DS2" s="13"/>
      <c r="DT2" s="13"/>
      <c r="DU2" s="13"/>
      <c r="DV2" s="13"/>
      <c r="DW2" s="13"/>
      <c r="DX2" s="13"/>
      <c r="DY2" s="13"/>
      <c r="DZ2" s="13"/>
      <c r="EA2" s="13"/>
      <c r="EB2" s="13"/>
      <c r="EC2" s="13"/>
      <c r="ED2" s="13"/>
      <c r="EE2" s="13"/>
      <c r="EF2" s="13"/>
      <c r="EG2" s="13"/>
      <c r="EH2" s="13"/>
      <c r="EI2" s="13"/>
      <c r="EJ2" s="13"/>
      <c r="EK2" s="13"/>
      <c r="EL2" s="13"/>
      <c r="EM2" s="13"/>
      <c r="EN2" s="13"/>
      <c r="EO2" s="13"/>
      <c r="EP2" s="13"/>
      <c r="EQ2" s="13"/>
      <c r="ER2" s="13"/>
      <c r="ES2" s="13"/>
      <c r="ET2" s="13"/>
      <c r="EU2" s="13"/>
      <c r="EV2" s="13"/>
      <c r="EW2" s="13"/>
      <c r="EX2" s="13"/>
      <c r="EY2" s="13"/>
      <c r="EZ2" s="13"/>
      <c r="FA2" s="13"/>
      <c r="FB2" s="13"/>
      <c r="FC2" s="13"/>
      <c r="FD2" s="13"/>
      <c r="FE2" s="13"/>
      <c r="FF2" s="13"/>
      <c r="FG2" s="13"/>
      <c r="FH2" s="13"/>
      <c r="FI2" s="13"/>
      <c r="FJ2" s="13"/>
      <c r="FK2" s="13"/>
      <c r="FL2" s="13"/>
      <c r="FM2" s="13"/>
      <c r="FN2" s="13"/>
      <c r="FO2" s="13"/>
      <c r="FP2" s="13"/>
      <c r="FQ2" s="13"/>
      <c r="FR2" s="13"/>
      <c r="FS2" s="13"/>
      <c r="FT2" s="13"/>
      <c r="FU2" s="13"/>
      <c r="FV2" s="13"/>
      <c r="FW2" s="13"/>
      <c r="FX2" s="13"/>
      <c r="FY2" s="13"/>
      <c r="FZ2" s="13"/>
      <c r="GA2" s="13"/>
      <c r="GB2" s="13"/>
      <c r="GC2" s="13"/>
      <c r="GD2" s="13"/>
      <c r="GE2" s="13"/>
      <c r="GF2" s="13"/>
      <c r="GG2" s="13"/>
      <c r="GH2" s="13"/>
      <c r="GI2" s="13"/>
      <c r="GJ2" s="13"/>
      <c r="GK2" s="13"/>
      <c r="GL2" s="13"/>
      <c r="GM2" s="13"/>
      <c r="GN2" s="13"/>
      <c r="GO2" s="13"/>
      <c r="GP2" s="13"/>
      <c r="GQ2" s="13"/>
      <c r="GR2" s="13"/>
      <c r="GS2" s="13"/>
      <c r="GT2" s="13"/>
      <c r="GU2" s="13"/>
      <c r="GV2" s="13"/>
      <c r="GW2" s="13"/>
      <c r="GX2" s="13"/>
      <c r="GY2" s="13"/>
      <c r="GZ2" s="13"/>
      <c r="HA2" s="13"/>
      <c r="HB2" s="13"/>
      <c r="HC2" s="13"/>
      <c r="HD2" s="13"/>
      <c r="HE2" s="13"/>
      <c r="HF2" s="13"/>
      <c r="HG2" s="13"/>
      <c r="HH2" s="13"/>
      <c r="HI2" s="13"/>
      <c r="HJ2" s="13"/>
      <c r="HK2" s="13"/>
      <c r="HL2" s="13"/>
      <c r="HM2" s="13"/>
      <c r="HN2" s="13"/>
      <c r="HO2" s="13"/>
      <c r="HP2" s="13"/>
      <c r="HQ2" s="13"/>
      <c r="HR2" s="13"/>
      <c r="HS2" s="13"/>
      <c r="HT2" s="13"/>
      <c r="HU2" s="13"/>
      <c r="HV2" s="13"/>
      <c r="HW2" s="13"/>
      <c r="HX2" s="13"/>
      <c r="HY2" s="13"/>
      <c r="HZ2" s="13"/>
      <c r="IA2" s="13"/>
      <c r="IB2" s="13"/>
      <c r="IC2" s="13"/>
      <c r="ID2" s="13"/>
      <c r="IE2" s="13"/>
      <c r="IF2" s="13"/>
      <c r="IG2" s="13"/>
      <c r="IH2" s="13"/>
      <c r="II2" s="13"/>
      <c r="IJ2" s="13"/>
      <c r="IK2" s="13"/>
      <c r="IL2" s="13"/>
      <c r="IM2" s="13"/>
      <c r="IN2" s="13"/>
      <c r="IO2" s="13"/>
      <c r="IP2" s="13"/>
      <c r="IQ2" s="13"/>
      <c r="IR2" s="13"/>
      <c r="IS2" s="13"/>
      <c r="IT2" s="13"/>
      <c r="IU2" s="13"/>
      <c r="IV2" s="13"/>
      <c r="IW2" s="13"/>
      <c r="IX2" s="13"/>
      <c r="IY2" s="13"/>
      <c r="IZ2" s="13"/>
      <c r="JA2" s="13"/>
      <c r="JB2" s="13"/>
      <c r="JC2" s="13"/>
      <c r="JD2" s="13"/>
      <c r="JE2" s="13"/>
      <c r="JF2" s="13"/>
      <c r="JG2" s="13"/>
      <c r="JH2" s="13"/>
      <c r="JI2" s="13"/>
      <c r="JJ2" s="13"/>
      <c r="JK2" s="13"/>
      <c r="JL2" s="13"/>
      <c r="JM2" s="13"/>
      <c r="JN2" s="13"/>
      <c r="JO2" s="13"/>
      <c r="JP2" s="13"/>
      <c r="JQ2" s="13"/>
      <c r="JR2" s="13"/>
      <c r="JS2" s="13"/>
      <c r="JT2" s="13"/>
      <c r="JU2" s="13"/>
      <c r="JV2" s="13"/>
      <c r="JW2" s="13"/>
      <c r="JX2" s="13"/>
      <c r="JY2" s="13"/>
      <c r="JZ2" s="13"/>
      <c r="KA2" s="13"/>
      <c r="KB2" s="13"/>
      <c r="KC2" s="13"/>
      <c r="KD2" s="13"/>
      <c r="KE2" s="13"/>
      <c r="KF2" s="13"/>
      <c r="KG2" s="13"/>
      <c r="KH2" s="13"/>
      <c r="KI2" s="13"/>
      <c r="KJ2" s="13"/>
      <c r="KK2" s="13"/>
      <c r="KL2" s="13"/>
      <c r="KM2" s="13"/>
      <c r="KN2" s="13"/>
      <c r="KO2" s="13"/>
      <c r="KP2" s="13"/>
      <c r="KQ2" s="13"/>
      <c r="KR2" s="13"/>
      <c r="KS2" s="13"/>
      <c r="KT2" s="13"/>
      <c r="KU2" s="13"/>
      <c r="KV2" s="13"/>
      <c r="KW2" s="13"/>
      <c r="KX2" s="13"/>
      <c r="KY2" s="13"/>
      <c r="KZ2" s="13"/>
      <c r="LA2" s="13"/>
      <c r="LB2" s="13"/>
      <c r="LC2" s="13"/>
      <c r="LD2" s="13"/>
      <c r="LE2" s="13"/>
      <c r="LF2" s="13"/>
      <c r="LG2" s="13"/>
      <c r="LH2" s="13"/>
      <c r="LI2" s="13"/>
      <c r="LJ2" s="13"/>
      <c r="LK2" s="13"/>
      <c r="LL2" s="13"/>
      <c r="LM2" s="13"/>
      <c r="LN2" s="13"/>
      <c r="LO2" s="13"/>
      <c r="LP2" s="13"/>
      <c r="LQ2" s="13"/>
      <c r="LR2" s="13"/>
      <c r="LS2" s="13"/>
      <c r="LT2" s="13"/>
      <c r="LU2" s="13"/>
      <c r="LV2" s="13"/>
      <c r="LW2" s="13"/>
      <c r="LX2" s="13"/>
    </row>
    <row r="3" spans="1:336" s="59" customFormat="1" ht="52" x14ac:dyDescent="0.25">
      <c r="A3" s="7"/>
      <c r="B3" s="73" t="s">
        <v>53</v>
      </c>
      <c r="C3" s="37"/>
      <c r="D3" s="37"/>
      <c r="E3" s="37"/>
      <c r="F3" s="37"/>
      <c r="G3" s="37"/>
      <c r="H3" s="37"/>
      <c r="I3" s="37"/>
      <c r="J3" s="37"/>
      <c r="K3" s="37"/>
      <c r="L3" s="38"/>
      <c r="M3" s="38"/>
      <c r="N3" s="38"/>
      <c r="O3" s="38"/>
      <c r="P3" s="38"/>
      <c r="Q3" s="38"/>
      <c r="R3" s="39"/>
      <c r="S3" s="39"/>
      <c r="T3" s="39"/>
      <c r="U3" s="39"/>
      <c r="V3" s="39"/>
      <c r="W3" s="39"/>
      <c r="X3" s="13"/>
      <c r="Y3" s="13"/>
      <c r="Z3" s="13"/>
      <c r="AA3" s="13"/>
      <c r="AB3" s="13"/>
      <c r="AC3" s="13"/>
      <c r="AD3" s="13"/>
      <c r="AE3" s="13"/>
      <c r="AF3" s="13"/>
      <c r="AG3" s="13"/>
      <c r="AH3" s="13"/>
      <c r="AI3" s="13"/>
      <c r="AJ3" s="13"/>
      <c r="AK3" s="13"/>
      <c r="AL3" s="13"/>
      <c r="AM3" s="13"/>
      <c r="AN3" s="13"/>
      <c r="AO3" s="13"/>
      <c r="AP3" s="13"/>
      <c r="AQ3" s="13"/>
      <c r="AR3" s="13"/>
      <c r="AS3" s="13"/>
      <c r="AT3" s="13"/>
      <c r="AU3" s="13"/>
      <c r="AV3" s="13"/>
      <c r="AW3" s="13"/>
      <c r="AX3" s="13"/>
      <c r="AY3" s="13"/>
      <c r="AZ3" s="13"/>
      <c r="BA3" s="13"/>
      <c r="BB3" s="13"/>
      <c r="BC3" s="13"/>
      <c r="BD3" s="13"/>
      <c r="BE3" s="13"/>
      <c r="BF3" s="13"/>
      <c r="BG3" s="13"/>
      <c r="BH3" s="13"/>
      <c r="BI3" s="13"/>
      <c r="BJ3" s="13"/>
      <c r="BK3" s="13"/>
      <c r="BL3" s="13"/>
      <c r="BM3" s="13"/>
      <c r="BN3" s="13"/>
      <c r="BO3" s="13"/>
      <c r="BP3" s="13"/>
      <c r="BQ3" s="13"/>
      <c r="BR3" s="13"/>
      <c r="BS3" s="13"/>
      <c r="BT3" s="13"/>
      <c r="BU3" s="13"/>
      <c r="BV3" s="13"/>
      <c r="BW3" s="13"/>
      <c r="BX3" s="13"/>
      <c r="BY3" s="13"/>
      <c r="BZ3" s="13"/>
      <c r="CA3" s="13"/>
      <c r="CB3" s="13"/>
      <c r="CC3" s="13"/>
      <c r="CD3" s="13"/>
      <c r="CE3" s="13"/>
      <c r="CF3" s="13"/>
      <c r="CG3" s="13"/>
      <c r="CH3" s="13"/>
      <c r="CI3" s="13"/>
      <c r="CJ3" s="13"/>
      <c r="CK3" s="13"/>
      <c r="CL3" s="13"/>
      <c r="CM3" s="13"/>
      <c r="CN3" s="13"/>
      <c r="CO3" s="13"/>
      <c r="CP3" s="13"/>
      <c r="CQ3" s="13"/>
      <c r="CR3" s="13"/>
      <c r="CS3" s="13"/>
      <c r="CT3" s="13"/>
      <c r="CU3" s="13"/>
      <c r="CV3" s="13"/>
      <c r="CW3" s="13"/>
      <c r="CX3" s="13"/>
      <c r="CY3" s="13"/>
      <c r="CZ3" s="13"/>
      <c r="DA3" s="13"/>
      <c r="DB3" s="13"/>
      <c r="DC3" s="13"/>
      <c r="DD3" s="13"/>
      <c r="DE3" s="13"/>
      <c r="DF3" s="13"/>
      <c r="DG3" s="13"/>
      <c r="DH3" s="13"/>
      <c r="DI3" s="13"/>
      <c r="DJ3" s="13"/>
      <c r="DK3" s="13"/>
      <c r="DL3" s="13"/>
      <c r="DM3" s="13"/>
      <c r="DN3" s="13"/>
      <c r="DO3" s="13"/>
      <c r="DP3" s="13"/>
      <c r="DQ3" s="13"/>
      <c r="DR3" s="13"/>
      <c r="DS3" s="13"/>
      <c r="DT3" s="13"/>
      <c r="DU3" s="13"/>
      <c r="DV3" s="13"/>
      <c r="DW3" s="13"/>
      <c r="DX3" s="13"/>
      <c r="DY3" s="13"/>
      <c r="DZ3" s="13"/>
      <c r="EA3" s="13"/>
      <c r="EB3" s="13"/>
      <c r="EC3" s="13"/>
      <c r="ED3" s="13"/>
      <c r="EE3" s="13"/>
      <c r="EF3" s="13"/>
      <c r="EG3" s="13"/>
      <c r="EH3" s="13"/>
      <c r="EI3" s="13"/>
      <c r="EJ3" s="13"/>
      <c r="EK3" s="13"/>
      <c r="EL3" s="13"/>
      <c r="EM3" s="13"/>
      <c r="EN3" s="13"/>
      <c r="EO3" s="13"/>
      <c r="EP3" s="13"/>
      <c r="EQ3" s="13"/>
      <c r="ER3" s="13"/>
      <c r="ES3" s="13"/>
      <c r="ET3" s="13"/>
      <c r="EU3" s="13"/>
      <c r="EV3" s="13"/>
      <c r="EW3" s="13"/>
      <c r="EX3" s="13"/>
      <c r="EY3" s="13"/>
      <c r="EZ3" s="13"/>
      <c r="FA3" s="13"/>
      <c r="FB3" s="13"/>
      <c r="FC3" s="13"/>
      <c r="FD3" s="13"/>
      <c r="FE3" s="13"/>
      <c r="FF3" s="13"/>
      <c r="FG3" s="13"/>
      <c r="FH3" s="13"/>
      <c r="FI3" s="13"/>
      <c r="FJ3" s="13"/>
      <c r="FK3" s="13"/>
      <c r="FL3" s="13"/>
      <c r="FM3" s="13"/>
      <c r="FN3" s="13"/>
      <c r="FO3" s="13"/>
      <c r="FP3" s="13"/>
      <c r="FQ3" s="13"/>
      <c r="FR3" s="13"/>
      <c r="FS3" s="13"/>
      <c r="FT3" s="13"/>
      <c r="FU3" s="13"/>
      <c r="FV3" s="13"/>
      <c r="FW3" s="13"/>
      <c r="FX3" s="13"/>
      <c r="FY3" s="13"/>
      <c r="FZ3" s="13"/>
      <c r="GA3" s="13"/>
      <c r="GB3" s="13"/>
      <c r="GC3" s="13"/>
      <c r="GD3" s="13"/>
      <c r="GE3" s="13"/>
      <c r="GF3" s="13"/>
      <c r="GG3" s="13"/>
      <c r="GH3" s="13"/>
      <c r="GI3" s="13"/>
      <c r="GJ3" s="13"/>
      <c r="GK3" s="13"/>
      <c r="GL3" s="13"/>
      <c r="GM3" s="13"/>
      <c r="GN3" s="13"/>
      <c r="GO3" s="13"/>
      <c r="GP3" s="13"/>
      <c r="GQ3" s="13"/>
      <c r="GR3" s="13"/>
      <c r="GS3" s="13"/>
      <c r="GT3" s="13"/>
      <c r="GU3" s="13"/>
      <c r="GV3" s="13"/>
      <c r="GW3" s="13"/>
      <c r="GX3" s="13"/>
      <c r="GY3" s="13"/>
      <c r="GZ3" s="13"/>
      <c r="HA3" s="13"/>
      <c r="HB3" s="13"/>
      <c r="HC3" s="13"/>
      <c r="HD3" s="13"/>
      <c r="HE3" s="13"/>
      <c r="HF3" s="13"/>
      <c r="HG3" s="13"/>
      <c r="HH3" s="13"/>
      <c r="HI3" s="13"/>
      <c r="HJ3" s="13"/>
      <c r="HK3" s="13"/>
      <c r="HL3" s="13"/>
      <c r="HM3" s="13"/>
      <c r="HN3" s="13"/>
      <c r="HO3" s="13"/>
      <c r="HP3" s="13"/>
      <c r="HQ3" s="13"/>
      <c r="HR3" s="13"/>
      <c r="HS3" s="13"/>
      <c r="HT3" s="13"/>
      <c r="HU3" s="13"/>
      <c r="HV3" s="13"/>
      <c r="HW3" s="13"/>
      <c r="HX3" s="13"/>
      <c r="HY3" s="13"/>
      <c r="HZ3" s="13"/>
      <c r="IA3" s="13"/>
      <c r="IB3" s="13"/>
      <c r="IC3" s="13"/>
      <c r="ID3" s="13"/>
      <c r="IE3" s="13"/>
      <c r="IF3" s="13"/>
      <c r="IG3" s="13"/>
      <c r="IH3" s="13"/>
      <c r="II3" s="13"/>
      <c r="IJ3" s="13"/>
      <c r="IK3" s="13"/>
      <c r="IL3" s="13"/>
      <c r="IM3" s="13"/>
      <c r="IN3" s="13"/>
      <c r="IO3" s="13"/>
      <c r="IP3" s="13"/>
      <c r="IQ3" s="13"/>
      <c r="IR3" s="13"/>
      <c r="IS3" s="13"/>
      <c r="IT3" s="13"/>
      <c r="IU3" s="13"/>
      <c r="IV3" s="13"/>
      <c r="IW3" s="13"/>
      <c r="IX3" s="13"/>
      <c r="IY3" s="13"/>
      <c r="IZ3" s="13"/>
      <c r="JA3" s="13"/>
      <c r="JB3" s="13"/>
      <c r="JC3" s="13"/>
      <c r="JD3" s="13"/>
      <c r="JE3" s="13"/>
      <c r="JF3" s="13"/>
      <c r="JG3" s="13"/>
      <c r="JH3" s="13"/>
      <c r="JI3" s="13"/>
      <c r="JJ3" s="13"/>
      <c r="JK3" s="13"/>
      <c r="JL3" s="13"/>
      <c r="JM3" s="13"/>
      <c r="JN3" s="13"/>
      <c r="JO3" s="13"/>
      <c r="JP3" s="13"/>
      <c r="JQ3" s="13"/>
      <c r="JR3" s="13"/>
      <c r="JS3" s="13"/>
      <c r="JT3" s="13"/>
      <c r="JU3" s="13"/>
      <c r="JV3" s="13"/>
      <c r="JW3" s="13"/>
      <c r="JX3" s="13"/>
      <c r="JY3" s="13"/>
      <c r="JZ3" s="13"/>
      <c r="KA3" s="13"/>
      <c r="KB3" s="13"/>
      <c r="KC3" s="13"/>
      <c r="KD3" s="13"/>
      <c r="KE3" s="13"/>
      <c r="KF3" s="13"/>
      <c r="KG3" s="13"/>
      <c r="KH3" s="13"/>
      <c r="KI3" s="13"/>
      <c r="KJ3" s="13"/>
      <c r="KK3" s="13"/>
      <c r="KL3" s="13"/>
      <c r="KM3" s="13"/>
      <c r="KN3" s="13"/>
      <c r="KO3" s="13"/>
      <c r="KP3" s="13"/>
      <c r="KQ3" s="13"/>
      <c r="KR3" s="13"/>
      <c r="KS3" s="13"/>
      <c r="KT3" s="13"/>
      <c r="KU3" s="13"/>
      <c r="KV3" s="13"/>
      <c r="KW3" s="13"/>
      <c r="KX3" s="13"/>
      <c r="KY3" s="13"/>
      <c r="KZ3" s="13"/>
      <c r="LA3" s="13"/>
      <c r="LB3" s="13"/>
      <c r="LC3" s="13"/>
      <c r="LD3" s="13"/>
      <c r="LE3" s="13"/>
      <c r="LF3" s="13"/>
      <c r="LG3" s="13"/>
      <c r="LH3" s="13"/>
      <c r="LI3" s="13"/>
      <c r="LJ3" s="13"/>
      <c r="LK3" s="13"/>
      <c r="LL3" s="13"/>
      <c r="LM3" s="13"/>
      <c r="LN3" s="13"/>
      <c r="LO3" s="13"/>
      <c r="LP3" s="13"/>
      <c r="LQ3" s="13"/>
      <c r="LR3" s="13"/>
      <c r="LS3" s="13"/>
      <c r="LT3" s="13"/>
      <c r="LU3" s="13"/>
      <c r="LV3" s="13"/>
      <c r="LW3" s="13"/>
      <c r="LX3" s="13"/>
    </row>
    <row r="4" spans="1:336" ht="23.05" x14ac:dyDescent="0.25">
      <c r="A4" s="7"/>
      <c r="B4" s="74" t="s">
        <v>34</v>
      </c>
      <c r="C4" s="16"/>
      <c r="D4" s="14"/>
      <c r="E4" s="14"/>
      <c r="F4" s="14"/>
      <c r="G4" s="15"/>
      <c r="H4" s="14"/>
      <c r="I4" s="14"/>
      <c r="J4" s="14"/>
      <c r="K4" s="14"/>
      <c r="L4" s="24"/>
      <c r="M4" s="1"/>
      <c r="N4" s="1"/>
      <c r="O4" s="1"/>
    </row>
    <row r="5" spans="1:336" ht="18.600000000000001" x14ac:dyDescent="0.25">
      <c r="A5" s="7"/>
      <c r="B5" s="72" t="s">
        <v>14</v>
      </c>
      <c r="C5" s="48">
        <v>45921</v>
      </c>
      <c r="D5" s="16"/>
      <c r="E5" s="16"/>
      <c r="F5" s="17"/>
      <c r="G5" s="18"/>
      <c r="H5" s="19" t="s">
        <v>4</v>
      </c>
      <c r="I5" s="19"/>
      <c r="J5" s="19"/>
      <c r="K5" s="17"/>
      <c r="L5" s="44" t="s">
        <v>10</v>
      </c>
      <c r="M5" s="44"/>
      <c r="N5" s="44"/>
      <c r="O5" s="44"/>
      <c r="Q5" s="45" t="s">
        <v>11</v>
      </c>
      <c r="R5" s="45"/>
      <c r="S5" s="45"/>
      <c r="T5" s="45"/>
      <c r="V5" s="46" t="s">
        <v>12</v>
      </c>
      <c r="W5" s="46"/>
      <c r="X5" s="46"/>
      <c r="Y5" s="46"/>
      <c r="AA5" s="40" t="s">
        <v>13</v>
      </c>
      <c r="AB5" s="40"/>
      <c r="AC5" s="40"/>
      <c r="AD5" s="40"/>
      <c r="AF5" s="41" t="s">
        <v>5</v>
      </c>
      <c r="AG5" s="41"/>
      <c r="AH5" s="41"/>
      <c r="AI5" s="41"/>
    </row>
    <row r="6" spans="1:336" ht="14.85" x14ac:dyDescent="0.25">
      <c r="A6" s="7"/>
      <c r="B6" s="72" t="s">
        <v>15</v>
      </c>
      <c r="C6" s="22">
        <v>0</v>
      </c>
      <c r="D6" s="16"/>
      <c r="E6" s="16"/>
      <c r="F6" s="50">
        <f ca="1">TODAY()</f>
        <v>45949</v>
      </c>
      <c r="G6" s="18"/>
      <c r="H6" s="17"/>
      <c r="I6" s="17"/>
      <c r="J6" s="17"/>
      <c r="K6" s="17"/>
    </row>
    <row r="7" spans="1:336" ht="30.1" customHeight="1" x14ac:dyDescent="0.35">
      <c r="A7" s="7"/>
      <c r="D7" s="21"/>
      <c r="E7" s="21"/>
      <c r="F7" s="17"/>
      <c r="G7" s="18"/>
      <c r="H7" s="17"/>
      <c r="I7" s="17"/>
      <c r="J7" s="17"/>
      <c r="K7" s="17"/>
      <c r="L7" s="62" t="str">
        <f ca="1">TEXT(L8,"mmmm")</f>
        <v>September</v>
      </c>
      <c r="M7" s="62"/>
      <c r="N7" s="62"/>
      <c r="O7" s="62"/>
      <c r="P7" s="62"/>
      <c r="Q7" s="62"/>
      <c r="R7" s="62"/>
      <c r="S7" s="62" t="str">
        <f ca="1">IF(TEXT(S8,"mmmm")=L7,"",TEXT(S8,"mmmm"))</f>
        <v/>
      </c>
      <c r="T7" s="62"/>
      <c r="U7" s="62"/>
      <c r="V7" s="62"/>
      <c r="W7" s="62"/>
      <c r="X7" s="62"/>
      <c r="Y7" s="62"/>
      <c r="Z7" s="63"/>
      <c r="AA7" s="62"/>
      <c r="AB7" s="62"/>
      <c r="AC7" s="62"/>
      <c r="AD7" s="62"/>
      <c r="AE7" s="62"/>
      <c r="AF7" s="62"/>
      <c r="AG7" s="62" t="str">
        <f ca="1">IF(OR(TEXT(AG8,"mmmm")=AI7,TEXT(AG8,"mmmm")=S7,TEXT(AG8,"mmmm")=L7),"",TEXT(AG8,"mmmm"))</f>
        <v/>
      </c>
      <c r="AH7" s="62"/>
      <c r="AI7" s="62" t="str">
        <f ca="1">IF(OR(TEXT(Z8,"mmmm")=S7,TEXT(Z8,"mmmm")=L7),"",TEXT(Z8,"mmmm"))</f>
        <v>October</v>
      </c>
      <c r="AJ7" s="62"/>
      <c r="AK7" s="62"/>
      <c r="AL7" s="62"/>
      <c r="AM7" s="62"/>
      <c r="AN7" s="62" t="str">
        <f ca="1">IF(OR(TEXT(AN8,"mmmm")=AG7,TEXT(AN8,"mmmm")=AI7,TEXT(AN8,"mmmm")=S7,TEXT(AN8,"mmmm")=L7),"",TEXT(AN8,"mmmm"))</f>
        <v/>
      </c>
      <c r="AO7" s="62"/>
      <c r="AP7" s="62"/>
      <c r="AQ7" s="62"/>
      <c r="AR7" s="62"/>
      <c r="AS7" s="62"/>
      <c r="AT7" s="62"/>
      <c r="AU7" s="62" t="str">
        <f ca="1">IF(OR(TEXT(AU8,"mmmm")=AN7,TEXT(AU8,"mmmm")=AG7,TEXT(AU8,"mmmm")=AI7,TEXT(AU8,"mmmm")=S7),"",TEXT(AU8,"mmmm"))</f>
        <v/>
      </c>
      <c r="AV7" s="62"/>
      <c r="AW7" s="62"/>
      <c r="AX7" s="62"/>
      <c r="AY7" s="62"/>
      <c r="AZ7" s="62"/>
      <c r="BA7" s="64"/>
      <c r="BB7" s="64"/>
      <c r="BC7" s="64"/>
      <c r="BD7" s="64"/>
      <c r="BE7" s="65"/>
      <c r="BF7" s="66"/>
      <c r="BG7" s="66"/>
      <c r="BH7" s="66"/>
      <c r="BI7" s="66"/>
      <c r="BJ7" s="66"/>
      <c r="BK7" s="66"/>
      <c r="BL7" s="66"/>
      <c r="BM7" s="63"/>
      <c r="BN7" s="62" t="str">
        <f ca="1">IF(OR(TEXT(BR8,"mmmm")=BK7,TEXT(BR8,"mmmm")=BD7,TEXT(BR8,"mmmm")=AW7,TEXT(BR8,"mmmm")=AP7),"",TEXT(BR8,"mmmm"))</f>
        <v>November</v>
      </c>
      <c r="BO7" s="63"/>
      <c r="BP7" s="62"/>
      <c r="BQ7" s="62"/>
      <c r="BR7" s="63"/>
      <c r="BS7" s="62"/>
      <c r="BT7" s="62"/>
      <c r="BU7" s="62"/>
      <c r="BV7" s="62"/>
      <c r="BW7" s="62"/>
      <c r="BX7" s="62"/>
      <c r="BY7" s="62" t="str">
        <f ca="1">IF(OR(TEXT(BY8,"mmmm")=BN7,TEXT(BY8,"mmmm")=BK7,TEXT(BY8,"mmmm")=BD7,TEXT(BY8,"mmmm")=AW7),"",TEXT(BY8,"mmmm"))</f>
        <v/>
      </c>
      <c r="BZ7" s="62"/>
      <c r="CA7" s="62"/>
      <c r="CB7" s="62"/>
      <c r="CC7" s="62"/>
      <c r="CD7" s="62"/>
      <c r="CE7" s="64"/>
      <c r="CF7" s="64"/>
      <c r="CG7" s="64"/>
      <c r="CH7" s="64"/>
      <c r="CI7" s="65"/>
      <c r="CJ7" s="66"/>
      <c r="CK7" s="66"/>
      <c r="CL7" s="66"/>
      <c r="CM7" s="66"/>
      <c r="CN7" s="66"/>
      <c r="CO7" s="66"/>
      <c r="CP7" s="66"/>
      <c r="CQ7" s="63"/>
      <c r="CR7" s="62" t="str">
        <f ca="1">IF(OR(TEXT(CV8,"mmmm")=CO7,TEXT(CV8,"mmmm")=CH7,TEXT(CV8,"mmmm")=CA7,TEXT(CV8,"mmmm")=BT7),"",TEXT(CV8,"mmmm"))</f>
        <v>December</v>
      </c>
      <c r="CS7" s="63"/>
      <c r="CT7" s="62"/>
      <c r="CU7" s="62"/>
      <c r="CV7" s="63"/>
      <c r="CW7" s="62"/>
      <c r="CX7" s="62"/>
      <c r="CY7" s="62"/>
      <c r="CZ7" s="62"/>
      <c r="DA7" s="62"/>
      <c r="DB7" s="62"/>
      <c r="DC7" s="62" t="str">
        <f ca="1">IF(OR(TEXT(DC8,"mmmm")=CR7,TEXT(DC8,"mmmm")=CO7,TEXT(DC8,"mmmm")=CH7,TEXT(DC8,"mmmm")=CA7),"",TEXT(DC8,"mmmm"))</f>
        <v/>
      </c>
      <c r="DD7" s="62"/>
      <c r="DE7" s="62"/>
      <c r="DF7" s="62"/>
      <c r="DG7" s="62"/>
      <c r="DH7" s="62"/>
      <c r="DI7" s="64"/>
      <c r="DJ7" s="64"/>
      <c r="DK7" s="64"/>
      <c r="DL7" s="64"/>
      <c r="DM7" s="65"/>
      <c r="DN7" s="66"/>
      <c r="DO7" s="66"/>
      <c r="DP7" s="66"/>
      <c r="DQ7" s="66"/>
      <c r="DR7" s="66"/>
      <c r="DS7" s="66"/>
      <c r="DT7" s="66"/>
      <c r="DU7" s="66"/>
      <c r="DV7" s="66"/>
      <c r="DW7" s="62" t="str">
        <f ca="1">IF(OR(TEXT(DZ8,"mmmm")=DS7,TEXT(DZ8,"mmmm")=DL7,TEXT(DZ8,"mmmm")=DE7,TEXT(DZ8,"mmmm")=CX7),"",TEXT(DZ8,"mmmm"))</f>
        <v>January</v>
      </c>
      <c r="DX7" s="63"/>
      <c r="DY7" s="62"/>
      <c r="DZ7" s="63"/>
      <c r="EA7" s="62"/>
      <c r="EB7" s="62"/>
      <c r="EC7" s="62"/>
      <c r="ED7" s="62"/>
      <c r="EE7" s="62"/>
      <c r="EF7" s="62"/>
      <c r="EG7" s="62" t="str">
        <f ca="1">IF(OR(TEXT(EG8,"mmmm")=DW7,TEXT(EG8,"mmmm")=DS7,TEXT(EG8,"mmmm")=DL7,TEXT(EG8,"mmmm")=DE7),"",TEXT(EG8,"mmmm"))</f>
        <v/>
      </c>
      <c r="EH7" s="62"/>
      <c r="EI7" s="62"/>
      <c r="EJ7" s="62"/>
      <c r="EK7" s="62"/>
      <c r="EL7" s="62"/>
      <c r="EM7" s="64"/>
      <c r="EN7" s="64" t="str">
        <f ca="1">IF(OR(TEXT(EN8,"mmmm")=EG7,TEXT(EN8,"mmmm")=DW7,TEXT(EN8,"mmmm")=DS7,TEXT(EN8,"mmmm")=DL7),"",TEXT(EN8,"mmmm"))</f>
        <v/>
      </c>
      <c r="EO7" s="64"/>
      <c r="EP7" s="64"/>
      <c r="EQ7" s="65"/>
      <c r="ER7" s="66"/>
      <c r="ES7" s="66"/>
      <c r="ET7" s="66"/>
      <c r="EU7" s="66"/>
      <c r="EV7" s="66"/>
      <c r="EW7" s="66"/>
      <c r="EX7" s="66"/>
      <c r="EY7" s="66"/>
      <c r="EZ7" s="66"/>
      <c r="FA7" s="62"/>
      <c r="FB7" s="62" t="str">
        <f ca="1">IF(OR(TEXT(FD8,"mmmm")=EW7,TEXT(FD8,"mmmm")=EP7,TEXT(FD8,"mmmm")=EI7,TEXT(FD8,"mmmm")=EB7),"",TEXT(FD8,"mmmm"))</f>
        <v>February</v>
      </c>
      <c r="FC7" s="63"/>
      <c r="FD7" s="63"/>
      <c r="FE7" s="62"/>
      <c r="FF7" s="62"/>
      <c r="FG7" s="62"/>
      <c r="FH7" s="62"/>
      <c r="FI7" s="62"/>
      <c r="FJ7" s="62"/>
      <c r="FK7" s="62" t="str">
        <f ca="1">IF(OR(TEXT(FK8,"mmmm")=FB7,TEXT(FK8,"mmmm")=EW7,TEXT(FK8,"mmmm")=EP7,TEXT(FK8,"mmmm")=EI7),"",TEXT(FK8,"mmmm"))</f>
        <v/>
      </c>
      <c r="FL7" s="62"/>
      <c r="FM7" s="62"/>
      <c r="FN7" s="62"/>
      <c r="FO7" s="62"/>
      <c r="FP7" s="62"/>
      <c r="FQ7" s="64"/>
      <c r="FR7" s="64"/>
      <c r="FS7" s="64"/>
      <c r="FT7" s="64"/>
      <c r="FU7" s="65"/>
      <c r="FV7" s="66"/>
      <c r="FW7" s="66"/>
      <c r="FX7" s="66"/>
      <c r="FY7" s="66"/>
      <c r="FZ7" s="66"/>
      <c r="GA7" s="66"/>
      <c r="GB7" s="66"/>
      <c r="GC7" s="66"/>
      <c r="GD7" s="62" t="str">
        <f ca="1">IF(OR(TEXT(GH8,"mmmm")=GA7,TEXT(GH8,"mmmm")=FT7,TEXT(GH8,"mmmm")=FM7,TEXT(GH8,"mmmm")=FF7),"",TEXT(GH8,"mmmm"))</f>
        <v>March</v>
      </c>
      <c r="GE7" s="63"/>
      <c r="GF7" s="62"/>
      <c r="GG7" s="62"/>
      <c r="GH7" s="63"/>
      <c r="GI7" s="62"/>
      <c r="GJ7" s="62"/>
      <c r="GK7" s="62"/>
      <c r="GL7" s="62"/>
      <c r="GM7" s="62"/>
      <c r="GN7" s="62"/>
      <c r="GO7" s="62" t="str">
        <f ca="1">IF(OR(TEXT(GO8,"mmmm")=GD7,TEXT(GO8,"mmmm")=GA7,TEXT(GO8,"mmmm")=FT7,TEXT(GO8,"mmmm")=FM7),"",TEXT(GO8,"mmmm"))</f>
        <v/>
      </c>
      <c r="GP7" s="62"/>
      <c r="GQ7" s="62"/>
      <c r="GR7" s="62"/>
      <c r="GS7" s="62"/>
      <c r="GT7" s="62"/>
      <c r="GU7" s="64"/>
      <c r="GV7" s="64"/>
      <c r="GW7" s="64"/>
      <c r="GX7" s="64"/>
      <c r="GY7" s="65"/>
      <c r="GZ7" s="66"/>
      <c r="HA7" s="66"/>
      <c r="HB7" s="66"/>
      <c r="HC7" s="66"/>
      <c r="HD7" s="66"/>
      <c r="HE7" s="66"/>
      <c r="HF7" s="66"/>
      <c r="HG7" s="66"/>
      <c r="HH7" s="66"/>
      <c r="HI7" s="62" t="str">
        <f ca="1">IF(OR(TEXT(HL8,"mmmm")=HE7,TEXT(HL8,"mmmm")=GX7,TEXT(HL8,"mmmm")=GQ7,TEXT(HL8,"mmmm")=GJ7),"",TEXT(HL8,"mmmm"))</f>
        <v>April</v>
      </c>
      <c r="HJ7" s="63"/>
      <c r="HK7" s="62"/>
      <c r="HL7" s="63"/>
      <c r="HM7" s="62"/>
      <c r="HN7" s="62"/>
      <c r="HO7" s="62"/>
      <c r="HP7" s="62"/>
      <c r="HQ7" s="62"/>
      <c r="HR7" s="62"/>
      <c r="HS7" s="62" t="str">
        <f ca="1">IF(OR(TEXT(HS8,"mmmm")=HI7,TEXT(HS8,"mmmm")=HE7,TEXT(HS8,"mmmm")=GX7,TEXT(HS8,"mmmm")=GQ7),"",TEXT(HS8,"mmmm"))</f>
        <v/>
      </c>
      <c r="HT7" s="62"/>
      <c r="HU7" s="62"/>
      <c r="HV7" s="62"/>
      <c r="HW7" s="62"/>
      <c r="HX7" s="62"/>
      <c r="HY7" s="64"/>
      <c r="HZ7" s="64"/>
      <c r="IA7" s="64"/>
      <c r="IB7" s="64"/>
      <c r="IC7" s="65"/>
      <c r="ID7" s="66"/>
      <c r="IE7" s="66"/>
      <c r="IF7" s="66"/>
      <c r="IG7" s="66"/>
      <c r="IH7" s="66"/>
      <c r="II7" s="66"/>
      <c r="IJ7" s="66"/>
      <c r="IK7" s="66"/>
      <c r="IL7" s="66"/>
      <c r="IM7" s="62" t="str">
        <f ca="1">IF(OR(TEXT(IP8,"mmmm")=II7,TEXT(IP8,"mmmm")=IB7,TEXT(IP8,"mmmm")=HU7,TEXT(IP8,"mmmm")=HN7),"",TEXT(IP8,"mmmm"))</f>
        <v>May</v>
      </c>
      <c r="IN7" s="63"/>
      <c r="IO7" s="62"/>
      <c r="IP7" s="63"/>
      <c r="IQ7" s="62"/>
      <c r="IR7" s="62"/>
      <c r="IS7" s="62"/>
      <c r="IT7" s="62"/>
      <c r="IU7" s="62"/>
      <c r="IV7" s="62"/>
      <c r="IW7" s="62" t="str">
        <f ca="1">IF(OR(TEXT(IW8,"mmmm")=IM7,TEXT(IW8,"mmmm")=II7,TEXT(IW8,"mmmm")=IB7,TEXT(IW8,"mmmm")=HU7),"",TEXT(IW8,"mmmm"))</f>
        <v/>
      </c>
      <c r="IX7" s="62"/>
      <c r="IY7" s="62"/>
      <c r="IZ7" s="62"/>
      <c r="JA7" s="62"/>
      <c r="JB7" s="62"/>
      <c r="JC7" s="64"/>
      <c r="JD7" s="64" t="str">
        <f ca="1">IF(OR(TEXT(JD8,"mmmm")=IW7,TEXT(JD8,"mmmm")=IM7,TEXT(JD8,"mmmm")=II7,TEXT(JD8,"mmmm")=IB7),"",TEXT(JD8,"mmmm"))</f>
        <v/>
      </c>
      <c r="JE7" s="64"/>
      <c r="JF7" s="64"/>
      <c r="JG7" s="65"/>
      <c r="JH7" s="66"/>
      <c r="JI7" s="66"/>
      <c r="JJ7" s="66"/>
      <c r="JK7" s="66"/>
      <c r="JL7" s="66"/>
      <c r="JM7" s="66"/>
      <c r="JN7" s="66"/>
      <c r="JO7" s="66"/>
      <c r="JP7" s="66"/>
      <c r="JQ7" s="63"/>
      <c r="JR7" s="62" t="str">
        <f ca="1">IF(OR(TEXT(JT8,"mmmm")=JM7,TEXT(JT8,"mmmm")=JF7,TEXT(JT8,"mmmm")=IY7,TEXT(JT8,"mmmm")=IR7),"",TEXT(JT8,"mmmm"))</f>
        <v>June</v>
      </c>
      <c r="JS7" s="62"/>
      <c r="JT7" s="63"/>
      <c r="JU7" s="62"/>
      <c r="JV7" s="62"/>
      <c r="JW7" s="62"/>
      <c r="JX7" s="62"/>
      <c r="JY7" s="62"/>
      <c r="JZ7" s="62"/>
      <c r="KA7" s="62" t="str">
        <f ca="1">IF(OR(TEXT(KA8,"mmmm")=JR7,TEXT(KA8,"mmmm")=JM7,TEXT(KA8,"mmmm")=JF7,TEXT(KA8,"mmmm")=IY7),"",TEXT(KA8,"mmmm"))</f>
        <v/>
      </c>
      <c r="KB7" s="62"/>
      <c r="KC7" s="62"/>
      <c r="KD7" s="62"/>
      <c r="KE7" s="62"/>
      <c r="KF7" s="62"/>
      <c r="KG7" s="64"/>
      <c r="KH7" s="64" t="str">
        <f ca="1">IF(OR(TEXT(KH8,"mmmm")=KA7,TEXT(KH8,"mmmm")=JR7,TEXT(KH8,"mmmm")=JM7,TEXT(KH8,"mmmm")=JF7),"",TEXT(KH8,"mmmm"))</f>
        <v/>
      </c>
      <c r="KI7" s="64"/>
      <c r="KJ7" s="64"/>
      <c r="KK7" s="65"/>
      <c r="KL7" s="66"/>
      <c r="KM7" s="66"/>
      <c r="KN7" s="66"/>
      <c r="KO7" s="66"/>
      <c r="KP7" s="66"/>
      <c r="KQ7" s="66"/>
      <c r="KR7" s="66"/>
      <c r="KS7" s="66"/>
      <c r="KT7" s="66"/>
      <c r="KU7" s="62"/>
      <c r="KV7" s="62" t="str">
        <f ca="1">IF(OR(TEXT(KV8,"mmmm")=KO7,TEXT(KV8,"mmmm")=KH7,TEXT(KV8,"mmmm")=KA7,TEXT(KV8,"mmmm")=JR7),"",TEXT(KV8,"mmmm"))</f>
        <v>July</v>
      </c>
      <c r="KW7" s="62"/>
      <c r="KX7" s="62"/>
      <c r="KY7" s="62"/>
      <c r="KZ7" s="62"/>
      <c r="LA7" s="62"/>
      <c r="LB7" s="62"/>
      <c r="LC7" s="62" t="str">
        <f ca="1">IF(OR(TEXT(LC8,"mmmm")=KV7,TEXT(LC8,"mmmm")=KO7,TEXT(LC8,"mmmm")=KH7,TEXT(LC8,"mmmm")=KA7),"",TEXT(LC8,"mmmm"))</f>
        <v/>
      </c>
      <c r="LD7" s="62"/>
      <c r="LE7" s="62"/>
      <c r="LF7" s="62"/>
      <c r="LG7" s="62"/>
      <c r="LH7" s="62"/>
      <c r="LI7" s="64"/>
      <c r="LJ7" s="64" t="str">
        <f ca="1">IF(OR(TEXT(LJ8,"mmmm")=LC7,TEXT(LJ8,"mmmm")=KV7,TEXT(LJ8,"mmmm")=KO7,TEXT(LJ8,"mmmm")=KH7),"",TEXT(LJ8,"mmmm"))</f>
        <v/>
      </c>
      <c r="LK7" s="64"/>
      <c r="LL7" s="64"/>
      <c r="LM7" s="65"/>
      <c r="LN7" s="66"/>
      <c r="LO7" s="66"/>
      <c r="LP7" s="66"/>
      <c r="LQ7" s="63"/>
      <c r="LR7" s="66"/>
      <c r="LS7" s="67" t="str">
        <f ca="1">IF(OR(TEXT(LQ8,"mmmm")=LJ7,TEXT(LQ8,"mmmm")=LC7,TEXT(LQ8,"mmmm")=KV7,TEXT(LQ8,"mmmm")=KO7),"",TEXT(LQ8,"mmmm"))</f>
        <v>August</v>
      </c>
      <c r="LT7" s="66"/>
      <c r="LU7" s="66"/>
      <c r="LV7" s="66"/>
      <c r="LW7" s="62"/>
      <c r="LX7" s="62"/>
    </row>
    <row r="8" spans="1:336" ht="14.85" x14ac:dyDescent="0.25">
      <c r="A8" s="7"/>
      <c r="D8" s="16"/>
      <c r="E8" s="16"/>
      <c r="F8" s="17"/>
      <c r="G8" s="17"/>
      <c r="H8" s="17"/>
      <c r="I8" s="17"/>
      <c r="J8" s="17"/>
      <c r="K8" s="23"/>
      <c r="L8" s="29">
        <f ca="1">IFERROR(Project_Start+Scrolling_Increment,TODAY())</f>
        <v>45921</v>
      </c>
      <c r="M8" s="30">
        <f ca="1">L8+1</f>
        <v>45922</v>
      </c>
      <c r="N8" s="30">
        <f t="shared" ref="N8:BA8" ca="1" si="0">M8+1</f>
        <v>45923</v>
      </c>
      <c r="O8" s="30">
        <f t="shared" ca="1" si="0"/>
        <v>45924</v>
      </c>
      <c r="P8" s="30">
        <f t="shared" ca="1" si="0"/>
        <v>45925</v>
      </c>
      <c r="Q8" s="30">
        <f t="shared" ca="1" si="0"/>
        <v>45926</v>
      </c>
      <c r="R8" s="31">
        <f t="shared" ca="1" si="0"/>
        <v>45927</v>
      </c>
      <c r="S8" s="30">
        <f ca="1">R8+1</f>
        <v>45928</v>
      </c>
      <c r="T8" s="30">
        <f ca="1">S8+1</f>
        <v>45929</v>
      </c>
      <c r="U8" s="30">
        <f t="shared" ca="1" si="0"/>
        <v>45930</v>
      </c>
      <c r="V8" s="30">
        <f t="shared" ca="1" si="0"/>
        <v>45931</v>
      </c>
      <c r="W8" s="30">
        <f t="shared" ca="1" si="0"/>
        <v>45932</v>
      </c>
      <c r="X8" s="30">
        <f t="shared" ca="1" si="0"/>
        <v>45933</v>
      </c>
      <c r="Y8" s="31">
        <f t="shared" ca="1" si="0"/>
        <v>45934</v>
      </c>
      <c r="Z8" s="30">
        <f ca="1">Y8+1</f>
        <v>45935</v>
      </c>
      <c r="AA8" s="30">
        <f ca="1">Z8+1</f>
        <v>45936</v>
      </c>
      <c r="AB8" s="30">
        <f t="shared" ca="1" si="0"/>
        <v>45937</v>
      </c>
      <c r="AC8" s="30">
        <f t="shared" ca="1" si="0"/>
        <v>45938</v>
      </c>
      <c r="AD8" s="30">
        <f t="shared" ca="1" si="0"/>
        <v>45939</v>
      </c>
      <c r="AE8" s="30">
        <f t="shared" ca="1" si="0"/>
        <v>45940</v>
      </c>
      <c r="AF8" s="31">
        <f t="shared" ca="1" si="0"/>
        <v>45941</v>
      </c>
      <c r="AG8" s="30">
        <f ca="1">AF8+1</f>
        <v>45942</v>
      </c>
      <c r="AH8" s="30">
        <f ca="1">AG8+1</f>
        <v>45943</v>
      </c>
      <c r="AI8" s="30">
        <f t="shared" ca="1" si="0"/>
        <v>45944</v>
      </c>
      <c r="AJ8" s="30">
        <f t="shared" ca="1" si="0"/>
        <v>45945</v>
      </c>
      <c r="AK8" s="30">
        <f t="shared" ca="1" si="0"/>
        <v>45946</v>
      </c>
      <c r="AL8" s="30">
        <f t="shared" ca="1" si="0"/>
        <v>45947</v>
      </c>
      <c r="AM8" s="31">
        <f t="shared" ca="1" si="0"/>
        <v>45948</v>
      </c>
      <c r="AN8" s="30">
        <f ca="1">AM8+1</f>
        <v>45949</v>
      </c>
      <c r="AO8" s="30">
        <f ca="1">AN8+1</f>
        <v>45950</v>
      </c>
      <c r="AP8" s="30">
        <f t="shared" ca="1" si="0"/>
        <v>45951</v>
      </c>
      <c r="AQ8" s="30">
        <f t="shared" ca="1" si="0"/>
        <v>45952</v>
      </c>
      <c r="AR8" s="30">
        <f t="shared" ca="1" si="0"/>
        <v>45953</v>
      </c>
      <c r="AS8" s="30">
        <f t="shared" ca="1" si="0"/>
        <v>45954</v>
      </c>
      <c r="AT8" s="31">
        <f t="shared" ca="1" si="0"/>
        <v>45955</v>
      </c>
      <c r="AU8" s="30">
        <f ca="1">AT8+1</f>
        <v>45956</v>
      </c>
      <c r="AV8" s="30">
        <f ca="1">AU8+1</f>
        <v>45957</v>
      </c>
      <c r="AW8" s="30">
        <f t="shared" ca="1" si="0"/>
        <v>45958</v>
      </c>
      <c r="AX8" s="30">
        <f t="shared" ca="1" si="0"/>
        <v>45959</v>
      </c>
      <c r="AY8" s="30">
        <f t="shared" ca="1" si="0"/>
        <v>45960</v>
      </c>
      <c r="AZ8" s="30">
        <f t="shared" ca="1" si="0"/>
        <v>45961</v>
      </c>
      <c r="BA8" s="31">
        <f t="shared" ca="1" si="0"/>
        <v>45962</v>
      </c>
      <c r="BB8" s="30">
        <f ca="1">BA8+1</f>
        <v>45963</v>
      </c>
      <c r="BC8" s="30">
        <f ca="1">BB8+1</f>
        <v>45964</v>
      </c>
      <c r="BD8" s="30">
        <f t="shared" ref="BD8:BH8" ca="1" si="1">BC8+1</f>
        <v>45965</v>
      </c>
      <c r="BE8" s="30">
        <f t="shared" ca="1" si="1"/>
        <v>45966</v>
      </c>
      <c r="BF8" s="30">
        <f t="shared" ca="1" si="1"/>
        <v>45967</v>
      </c>
      <c r="BG8" s="30">
        <f t="shared" ca="1" si="1"/>
        <v>45968</v>
      </c>
      <c r="BH8" s="31">
        <f t="shared" ca="1" si="1"/>
        <v>45969</v>
      </c>
      <c r="BI8" s="30">
        <f ca="1">BH8+1</f>
        <v>45970</v>
      </c>
      <c r="BJ8" s="30">
        <f ca="1">BI8+1</f>
        <v>45971</v>
      </c>
      <c r="BK8" s="30">
        <f t="shared" ref="BK8:BN8" ca="1" si="2">BJ8+1</f>
        <v>45972</v>
      </c>
      <c r="BL8" s="30">
        <f t="shared" ca="1" si="2"/>
        <v>45973</v>
      </c>
      <c r="BM8" s="30">
        <f t="shared" ca="1" si="2"/>
        <v>45974</v>
      </c>
      <c r="BN8" s="30">
        <f t="shared" ca="1" si="2"/>
        <v>45975</v>
      </c>
      <c r="BO8" s="30">
        <f t="shared" ref="BO8" ca="1" si="3">BN8+1</f>
        <v>45976</v>
      </c>
      <c r="BP8" s="30">
        <f t="shared" ref="BP8" ca="1" si="4">BO8+1</f>
        <v>45977</v>
      </c>
      <c r="BQ8" s="31">
        <f t="shared" ref="BQ8" ca="1" si="5">BP8+1</f>
        <v>45978</v>
      </c>
      <c r="BR8" s="30">
        <f ca="1">BQ8+1</f>
        <v>45979</v>
      </c>
      <c r="BS8" s="30">
        <f ca="1">BR8+1</f>
        <v>45980</v>
      </c>
      <c r="BT8" s="30">
        <f t="shared" ref="BT8" ca="1" si="6">BS8+1</f>
        <v>45981</v>
      </c>
      <c r="BU8" s="30">
        <f t="shared" ref="BU8" ca="1" si="7">BT8+1</f>
        <v>45982</v>
      </c>
      <c r="BV8" s="30">
        <f t="shared" ref="BV8" ca="1" si="8">BU8+1</f>
        <v>45983</v>
      </c>
      <c r="BW8" s="30">
        <f t="shared" ref="BW8" ca="1" si="9">BV8+1</f>
        <v>45984</v>
      </c>
      <c r="BX8" s="31">
        <f t="shared" ref="BX8" ca="1" si="10">BW8+1</f>
        <v>45985</v>
      </c>
      <c r="BY8" s="30">
        <f ca="1">BX8+1</f>
        <v>45986</v>
      </c>
      <c r="BZ8" s="30">
        <f ca="1">BY8+1</f>
        <v>45987</v>
      </c>
      <c r="CA8" s="30">
        <f t="shared" ref="CA8" ca="1" si="11">BZ8+1</f>
        <v>45988</v>
      </c>
      <c r="CB8" s="30">
        <f t="shared" ref="CB8" ca="1" si="12">CA8+1</f>
        <v>45989</v>
      </c>
      <c r="CC8" s="30">
        <f t="shared" ref="CC8" ca="1" si="13">CB8+1</f>
        <v>45990</v>
      </c>
      <c r="CD8" s="30">
        <f t="shared" ref="CD8" ca="1" si="14">CC8+1</f>
        <v>45991</v>
      </c>
      <c r="CE8" s="31">
        <f t="shared" ref="CE8" ca="1" si="15">CD8+1</f>
        <v>45992</v>
      </c>
      <c r="CF8" s="30">
        <f ca="1">CE8+1</f>
        <v>45993</v>
      </c>
      <c r="CG8" s="30">
        <f ca="1">CF8+1</f>
        <v>45994</v>
      </c>
      <c r="CH8" s="30">
        <f t="shared" ref="CH8" ca="1" si="16">CG8+1</f>
        <v>45995</v>
      </c>
      <c r="CI8" s="30">
        <f t="shared" ref="CI8" ca="1" si="17">CH8+1</f>
        <v>45996</v>
      </c>
      <c r="CJ8" s="30">
        <f t="shared" ref="CJ8" ca="1" si="18">CI8+1</f>
        <v>45997</v>
      </c>
      <c r="CK8" s="30">
        <f t="shared" ref="CK8" ca="1" si="19">CJ8+1</f>
        <v>45998</v>
      </c>
      <c r="CL8" s="31">
        <f t="shared" ref="CL8" ca="1" si="20">CK8+1</f>
        <v>45999</v>
      </c>
      <c r="CM8" s="30">
        <f ca="1">CL8+1</f>
        <v>46000</v>
      </c>
      <c r="CN8" s="30">
        <f ca="1">CM8+1</f>
        <v>46001</v>
      </c>
      <c r="CO8" s="30">
        <f t="shared" ref="CO8" ca="1" si="21">CN8+1</f>
        <v>46002</v>
      </c>
      <c r="CP8" s="30">
        <f t="shared" ref="CP8" ca="1" si="22">CO8+1</f>
        <v>46003</v>
      </c>
      <c r="CQ8" s="30">
        <f t="shared" ref="CQ8" ca="1" si="23">CP8+1</f>
        <v>46004</v>
      </c>
      <c r="CR8" s="30">
        <f t="shared" ref="CR8" ca="1" si="24">CQ8+1</f>
        <v>46005</v>
      </c>
      <c r="CS8" s="30">
        <f t="shared" ref="CS8" ca="1" si="25">CR8+1</f>
        <v>46006</v>
      </c>
      <c r="CT8" s="30">
        <f t="shared" ref="CT8" ca="1" si="26">CS8+1</f>
        <v>46007</v>
      </c>
      <c r="CU8" s="31">
        <f t="shared" ref="CU8" ca="1" si="27">CT8+1</f>
        <v>46008</v>
      </c>
      <c r="CV8" s="30">
        <f ca="1">CU8+1</f>
        <v>46009</v>
      </c>
      <c r="CW8" s="30">
        <f ca="1">CV8+1</f>
        <v>46010</v>
      </c>
      <c r="CX8" s="30">
        <f t="shared" ref="CX8" ca="1" si="28">CW8+1</f>
        <v>46011</v>
      </c>
      <c r="CY8" s="30">
        <f t="shared" ref="CY8" ca="1" si="29">CX8+1</f>
        <v>46012</v>
      </c>
      <c r="CZ8" s="30">
        <f t="shared" ref="CZ8" ca="1" si="30">CY8+1</f>
        <v>46013</v>
      </c>
      <c r="DA8" s="30">
        <f t="shared" ref="DA8" ca="1" si="31">CZ8+1</f>
        <v>46014</v>
      </c>
      <c r="DB8" s="31">
        <f t="shared" ref="DB8" ca="1" si="32">DA8+1</f>
        <v>46015</v>
      </c>
      <c r="DC8" s="30">
        <f ca="1">DB8+1</f>
        <v>46016</v>
      </c>
      <c r="DD8" s="30">
        <f ca="1">DC8+1</f>
        <v>46017</v>
      </c>
      <c r="DE8" s="30">
        <f t="shared" ref="DE8" ca="1" si="33">DD8+1</f>
        <v>46018</v>
      </c>
      <c r="DF8" s="30">
        <f t="shared" ref="DF8" ca="1" si="34">DE8+1</f>
        <v>46019</v>
      </c>
      <c r="DG8" s="30">
        <f t="shared" ref="DG8" ca="1" si="35">DF8+1</f>
        <v>46020</v>
      </c>
      <c r="DH8" s="30">
        <f t="shared" ref="DH8" ca="1" si="36">DG8+1</f>
        <v>46021</v>
      </c>
      <c r="DI8" s="31">
        <f t="shared" ref="DI8" ca="1" si="37">DH8+1</f>
        <v>46022</v>
      </c>
      <c r="DJ8" s="30">
        <f ca="1">DI8+1</f>
        <v>46023</v>
      </c>
      <c r="DK8" s="30">
        <f ca="1">DJ8+1</f>
        <v>46024</v>
      </c>
      <c r="DL8" s="30">
        <f t="shared" ref="DL8" ca="1" si="38">DK8+1</f>
        <v>46025</v>
      </c>
      <c r="DM8" s="30">
        <f t="shared" ref="DM8" ca="1" si="39">DL8+1</f>
        <v>46026</v>
      </c>
      <c r="DN8" s="30">
        <f t="shared" ref="DN8" ca="1" si="40">DM8+1</f>
        <v>46027</v>
      </c>
      <c r="DO8" s="30">
        <f t="shared" ref="DO8" ca="1" si="41">DN8+1</f>
        <v>46028</v>
      </c>
      <c r="DP8" s="31">
        <f t="shared" ref="DP8" ca="1" si="42">DO8+1</f>
        <v>46029</v>
      </c>
      <c r="DQ8" s="30">
        <f ca="1">DP8+1</f>
        <v>46030</v>
      </c>
      <c r="DR8" s="30">
        <f ca="1">DQ8+1</f>
        <v>46031</v>
      </c>
      <c r="DS8" s="30">
        <f t="shared" ref="DS8" ca="1" si="43">DR8+1</f>
        <v>46032</v>
      </c>
      <c r="DT8" s="30">
        <f t="shared" ref="DT8" ca="1" si="44">DS8+1</f>
        <v>46033</v>
      </c>
      <c r="DU8" s="30">
        <f t="shared" ref="DU8" ca="1" si="45">DT8+1</f>
        <v>46034</v>
      </c>
      <c r="DV8" s="30">
        <f t="shared" ref="DV8" ca="1" si="46">DU8+1</f>
        <v>46035</v>
      </c>
      <c r="DW8" s="30">
        <f t="shared" ref="DW8" ca="1" si="47">DV8+1</f>
        <v>46036</v>
      </c>
      <c r="DX8" s="30">
        <f t="shared" ref="DX8" ca="1" si="48">DW8+1</f>
        <v>46037</v>
      </c>
      <c r="DY8" s="31">
        <f t="shared" ref="DY8" ca="1" si="49">DX8+1</f>
        <v>46038</v>
      </c>
      <c r="DZ8" s="30">
        <f ca="1">DY8+1</f>
        <v>46039</v>
      </c>
      <c r="EA8" s="30">
        <f ca="1">DZ8+1</f>
        <v>46040</v>
      </c>
      <c r="EB8" s="30">
        <f t="shared" ref="EB8" ca="1" si="50">EA8+1</f>
        <v>46041</v>
      </c>
      <c r="EC8" s="30">
        <f t="shared" ref="EC8" ca="1" si="51">EB8+1</f>
        <v>46042</v>
      </c>
      <c r="ED8" s="30">
        <f t="shared" ref="ED8" ca="1" si="52">EC8+1</f>
        <v>46043</v>
      </c>
      <c r="EE8" s="30">
        <f t="shared" ref="EE8" ca="1" si="53">ED8+1</f>
        <v>46044</v>
      </c>
      <c r="EF8" s="31">
        <f t="shared" ref="EF8" ca="1" si="54">EE8+1</f>
        <v>46045</v>
      </c>
      <c r="EG8" s="30">
        <f ca="1">EF8+1</f>
        <v>46046</v>
      </c>
      <c r="EH8" s="30">
        <f ca="1">EG8+1</f>
        <v>46047</v>
      </c>
      <c r="EI8" s="30">
        <f t="shared" ref="EI8" ca="1" si="55">EH8+1</f>
        <v>46048</v>
      </c>
      <c r="EJ8" s="30">
        <f t="shared" ref="EJ8" ca="1" si="56">EI8+1</f>
        <v>46049</v>
      </c>
      <c r="EK8" s="30">
        <f t="shared" ref="EK8" ca="1" si="57">EJ8+1</f>
        <v>46050</v>
      </c>
      <c r="EL8" s="30">
        <f t="shared" ref="EL8" ca="1" si="58">EK8+1</f>
        <v>46051</v>
      </c>
      <c r="EM8" s="31">
        <f t="shared" ref="EM8" ca="1" si="59">EL8+1</f>
        <v>46052</v>
      </c>
      <c r="EN8" s="30">
        <f ca="1">EM8+1</f>
        <v>46053</v>
      </c>
      <c r="EO8" s="30">
        <f ca="1">EN8+1</f>
        <v>46054</v>
      </c>
      <c r="EP8" s="30">
        <f t="shared" ref="EP8" ca="1" si="60">EO8+1</f>
        <v>46055</v>
      </c>
      <c r="EQ8" s="30">
        <f t="shared" ref="EQ8" ca="1" si="61">EP8+1</f>
        <v>46056</v>
      </c>
      <c r="ER8" s="30">
        <f t="shared" ref="ER8" ca="1" si="62">EQ8+1</f>
        <v>46057</v>
      </c>
      <c r="ES8" s="30">
        <f t="shared" ref="ES8" ca="1" si="63">ER8+1</f>
        <v>46058</v>
      </c>
      <c r="ET8" s="31">
        <f t="shared" ref="ET8" ca="1" si="64">ES8+1</f>
        <v>46059</v>
      </c>
      <c r="EU8" s="30">
        <f ca="1">ET8+1</f>
        <v>46060</v>
      </c>
      <c r="EV8" s="30">
        <f ca="1">EU8+1</f>
        <v>46061</v>
      </c>
      <c r="EW8" s="30">
        <f t="shared" ref="EW8" ca="1" si="65">EV8+1</f>
        <v>46062</v>
      </c>
      <c r="EX8" s="30">
        <f t="shared" ref="EX8" ca="1" si="66">EW8+1</f>
        <v>46063</v>
      </c>
      <c r="EY8" s="30">
        <f t="shared" ref="EY8" ca="1" si="67">EX8+1</f>
        <v>46064</v>
      </c>
      <c r="EZ8" s="30">
        <f t="shared" ref="EZ8" ca="1" si="68">EY8+1</f>
        <v>46065</v>
      </c>
      <c r="FA8" s="30">
        <f t="shared" ref="FA8" ca="1" si="69">EZ8+1</f>
        <v>46066</v>
      </c>
      <c r="FB8" s="30">
        <f t="shared" ref="FB8" ca="1" si="70">FA8+1</f>
        <v>46067</v>
      </c>
      <c r="FC8" s="31">
        <f t="shared" ref="FC8" ca="1" si="71">FB8+1</f>
        <v>46068</v>
      </c>
      <c r="FD8" s="30">
        <f ca="1">FC8+1</f>
        <v>46069</v>
      </c>
      <c r="FE8" s="30">
        <f ca="1">FD8+1</f>
        <v>46070</v>
      </c>
      <c r="FF8" s="30">
        <f t="shared" ref="FF8" ca="1" si="72">FE8+1</f>
        <v>46071</v>
      </c>
      <c r="FG8" s="30">
        <f t="shared" ref="FG8" ca="1" si="73">FF8+1</f>
        <v>46072</v>
      </c>
      <c r="FH8" s="30">
        <f t="shared" ref="FH8" ca="1" si="74">FG8+1</f>
        <v>46073</v>
      </c>
      <c r="FI8" s="30">
        <f t="shared" ref="FI8" ca="1" si="75">FH8+1</f>
        <v>46074</v>
      </c>
      <c r="FJ8" s="31">
        <f t="shared" ref="FJ8" ca="1" si="76">FI8+1</f>
        <v>46075</v>
      </c>
      <c r="FK8" s="30">
        <f ca="1">FJ8+1</f>
        <v>46076</v>
      </c>
      <c r="FL8" s="30">
        <f ca="1">FK8+1</f>
        <v>46077</v>
      </c>
      <c r="FM8" s="30">
        <f t="shared" ref="FM8" ca="1" si="77">FL8+1</f>
        <v>46078</v>
      </c>
      <c r="FN8" s="30">
        <f t="shared" ref="FN8" ca="1" si="78">FM8+1</f>
        <v>46079</v>
      </c>
      <c r="FO8" s="30">
        <f t="shared" ref="FO8" ca="1" si="79">FN8+1</f>
        <v>46080</v>
      </c>
      <c r="FP8" s="30">
        <f t="shared" ref="FP8" ca="1" si="80">FO8+1</f>
        <v>46081</v>
      </c>
      <c r="FQ8" s="31">
        <f t="shared" ref="FQ8" ca="1" si="81">FP8+1</f>
        <v>46082</v>
      </c>
      <c r="FR8" s="30">
        <f ca="1">FQ8+1</f>
        <v>46083</v>
      </c>
      <c r="FS8" s="30">
        <f ca="1">FR8+1</f>
        <v>46084</v>
      </c>
      <c r="FT8" s="30">
        <f t="shared" ref="FT8" ca="1" si="82">FS8+1</f>
        <v>46085</v>
      </c>
      <c r="FU8" s="30">
        <f t="shared" ref="FU8" ca="1" si="83">FT8+1</f>
        <v>46086</v>
      </c>
      <c r="FV8" s="30">
        <f t="shared" ref="FV8" ca="1" si="84">FU8+1</f>
        <v>46087</v>
      </c>
      <c r="FW8" s="30">
        <f t="shared" ref="FW8" ca="1" si="85">FV8+1</f>
        <v>46088</v>
      </c>
      <c r="FX8" s="31">
        <f t="shared" ref="FX8" ca="1" si="86">FW8+1</f>
        <v>46089</v>
      </c>
      <c r="FY8" s="30">
        <f ca="1">FX8+1</f>
        <v>46090</v>
      </c>
      <c r="FZ8" s="30">
        <f ca="1">FY8+1</f>
        <v>46091</v>
      </c>
      <c r="GA8" s="30">
        <f t="shared" ref="GA8" ca="1" si="87">FZ8+1</f>
        <v>46092</v>
      </c>
      <c r="GB8" s="30">
        <f t="shared" ref="GB8" ca="1" si="88">GA8+1</f>
        <v>46093</v>
      </c>
      <c r="GC8" s="30">
        <f t="shared" ref="GC8" ca="1" si="89">GB8+1</f>
        <v>46094</v>
      </c>
      <c r="GD8" s="30">
        <f t="shared" ref="GD8" ca="1" si="90">GC8+1</f>
        <v>46095</v>
      </c>
      <c r="GE8" s="30">
        <f t="shared" ref="GE8" ca="1" si="91">GD8+1</f>
        <v>46096</v>
      </c>
      <c r="GF8" s="30">
        <f t="shared" ref="GF8" ca="1" si="92">GE8+1</f>
        <v>46097</v>
      </c>
      <c r="GG8" s="31">
        <f t="shared" ref="GG8" ca="1" si="93">GF8+1</f>
        <v>46098</v>
      </c>
      <c r="GH8" s="30">
        <f ca="1">GG8+1</f>
        <v>46099</v>
      </c>
      <c r="GI8" s="30">
        <f ca="1">GH8+1</f>
        <v>46100</v>
      </c>
      <c r="GJ8" s="30">
        <f t="shared" ref="GJ8" ca="1" si="94">GI8+1</f>
        <v>46101</v>
      </c>
      <c r="GK8" s="30">
        <f t="shared" ref="GK8" ca="1" si="95">GJ8+1</f>
        <v>46102</v>
      </c>
      <c r="GL8" s="30">
        <f t="shared" ref="GL8" ca="1" si="96">GK8+1</f>
        <v>46103</v>
      </c>
      <c r="GM8" s="30">
        <f t="shared" ref="GM8" ca="1" si="97">GL8+1</f>
        <v>46104</v>
      </c>
      <c r="GN8" s="31">
        <f t="shared" ref="GN8" ca="1" si="98">GM8+1</f>
        <v>46105</v>
      </c>
      <c r="GO8" s="30">
        <f ca="1">GN8+1</f>
        <v>46106</v>
      </c>
      <c r="GP8" s="30">
        <f ca="1">GO8+1</f>
        <v>46107</v>
      </c>
      <c r="GQ8" s="30">
        <f t="shared" ref="GQ8" ca="1" si="99">GP8+1</f>
        <v>46108</v>
      </c>
      <c r="GR8" s="30">
        <f t="shared" ref="GR8" ca="1" si="100">GQ8+1</f>
        <v>46109</v>
      </c>
      <c r="GS8" s="30">
        <f t="shared" ref="GS8" ca="1" si="101">GR8+1</f>
        <v>46110</v>
      </c>
      <c r="GT8" s="30">
        <f t="shared" ref="GT8" ca="1" si="102">GS8+1</f>
        <v>46111</v>
      </c>
      <c r="GU8" s="31">
        <f t="shared" ref="GU8" ca="1" si="103">GT8+1</f>
        <v>46112</v>
      </c>
      <c r="GV8" s="30">
        <f ca="1">GU8+1</f>
        <v>46113</v>
      </c>
      <c r="GW8" s="30">
        <f ca="1">GV8+1</f>
        <v>46114</v>
      </c>
      <c r="GX8" s="30">
        <f t="shared" ref="GX8" ca="1" si="104">GW8+1</f>
        <v>46115</v>
      </c>
      <c r="GY8" s="30">
        <f t="shared" ref="GY8" ca="1" si="105">GX8+1</f>
        <v>46116</v>
      </c>
      <c r="GZ8" s="30">
        <f t="shared" ref="GZ8" ca="1" si="106">GY8+1</f>
        <v>46117</v>
      </c>
      <c r="HA8" s="30">
        <f t="shared" ref="HA8" ca="1" si="107">GZ8+1</f>
        <v>46118</v>
      </c>
      <c r="HB8" s="31">
        <f t="shared" ref="HB8" ca="1" si="108">HA8+1</f>
        <v>46119</v>
      </c>
      <c r="HC8" s="30">
        <f ca="1">HB8+1</f>
        <v>46120</v>
      </c>
      <c r="HD8" s="30">
        <f ca="1">HC8+1</f>
        <v>46121</v>
      </c>
      <c r="HE8" s="30">
        <f t="shared" ref="HE8" ca="1" si="109">HD8+1</f>
        <v>46122</v>
      </c>
      <c r="HF8" s="30">
        <f t="shared" ref="HF8" ca="1" si="110">HE8+1</f>
        <v>46123</v>
      </c>
      <c r="HG8" s="30">
        <f t="shared" ref="HG8" ca="1" si="111">HF8+1</f>
        <v>46124</v>
      </c>
      <c r="HH8" s="30">
        <f t="shared" ref="HH8" ca="1" si="112">HG8+1</f>
        <v>46125</v>
      </c>
      <c r="HI8" s="30">
        <f t="shared" ref="HI8" ca="1" si="113">HH8+1</f>
        <v>46126</v>
      </c>
      <c r="HJ8" s="30">
        <f t="shared" ref="HJ8" ca="1" si="114">HI8+1</f>
        <v>46127</v>
      </c>
      <c r="HK8" s="31">
        <f t="shared" ref="HK8" ca="1" si="115">HJ8+1</f>
        <v>46128</v>
      </c>
      <c r="HL8" s="30">
        <f ca="1">HK8+1</f>
        <v>46129</v>
      </c>
      <c r="HM8" s="30">
        <f ca="1">HL8+1</f>
        <v>46130</v>
      </c>
      <c r="HN8" s="30">
        <f t="shared" ref="HN8" ca="1" si="116">HM8+1</f>
        <v>46131</v>
      </c>
      <c r="HO8" s="30">
        <f t="shared" ref="HO8" ca="1" si="117">HN8+1</f>
        <v>46132</v>
      </c>
      <c r="HP8" s="30">
        <f t="shared" ref="HP8" ca="1" si="118">HO8+1</f>
        <v>46133</v>
      </c>
      <c r="HQ8" s="30">
        <f t="shared" ref="HQ8" ca="1" si="119">HP8+1</f>
        <v>46134</v>
      </c>
      <c r="HR8" s="31">
        <f t="shared" ref="HR8" ca="1" si="120">HQ8+1</f>
        <v>46135</v>
      </c>
      <c r="HS8" s="30">
        <f ca="1">HR8+1</f>
        <v>46136</v>
      </c>
      <c r="HT8" s="30">
        <f ca="1">HS8+1</f>
        <v>46137</v>
      </c>
      <c r="HU8" s="30">
        <f t="shared" ref="HU8" ca="1" si="121">HT8+1</f>
        <v>46138</v>
      </c>
      <c r="HV8" s="30">
        <f t="shared" ref="HV8" ca="1" si="122">HU8+1</f>
        <v>46139</v>
      </c>
      <c r="HW8" s="30">
        <f t="shared" ref="HW8" ca="1" si="123">HV8+1</f>
        <v>46140</v>
      </c>
      <c r="HX8" s="30">
        <f t="shared" ref="HX8" ca="1" si="124">HW8+1</f>
        <v>46141</v>
      </c>
      <c r="HY8" s="31">
        <f t="shared" ref="HY8" ca="1" si="125">HX8+1</f>
        <v>46142</v>
      </c>
      <c r="HZ8" s="30">
        <f ca="1">HY8+1</f>
        <v>46143</v>
      </c>
      <c r="IA8" s="30">
        <f ca="1">HZ8+1</f>
        <v>46144</v>
      </c>
      <c r="IB8" s="30">
        <f t="shared" ref="IB8" ca="1" si="126">IA8+1</f>
        <v>46145</v>
      </c>
      <c r="IC8" s="30">
        <f t="shared" ref="IC8" ca="1" si="127">IB8+1</f>
        <v>46146</v>
      </c>
      <c r="ID8" s="30">
        <f t="shared" ref="ID8" ca="1" si="128">IC8+1</f>
        <v>46147</v>
      </c>
      <c r="IE8" s="30">
        <f t="shared" ref="IE8" ca="1" si="129">ID8+1</f>
        <v>46148</v>
      </c>
      <c r="IF8" s="31">
        <f t="shared" ref="IF8" ca="1" si="130">IE8+1</f>
        <v>46149</v>
      </c>
      <c r="IG8" s="30">
        <f ca="1">IF8+1</f>
        <v>46150</v>
      </c>
      <c r="IH8" s="30">
        <f ca="1">IG8+1</f>
        <v>46151</v>
      </c>
      <c r="II8" s="30">
        <f t="shared" ref="II8" ca="1" si="131">IH8+1</f>
        <v>46152</v>
      </c>
      <c r="IJ8" s="30">
        <f t="shared" ref="IJ8" ca="1" si="132">II8+1</f>
        <v>46153</v>
      </c>
      <c r="IK8" s="30">
        <f t="shared" ref="IK8" ca="1" si="133">IJ8+1</f>
        <v>46154</v>
      </c>
      <c r="IL8" s="30">
        <f t="shared" ref="IL8" ca="1" si="134">IK8+1</f>
        <v>46155</v>
      </c>
      <c r="IM8" s="30">
        <f t="shared" ref="IM8" ca="1" si="135">IL8+1</f>
        <v>46156</v>
      </c>
      <c r="IN8" s="30">
        <f t="shared" ref="IN8" ca="1" si="136">IM8+1</f>
        <v>46157</v>
      </c>
      <c r="IO8" s="31">
        <f t="shared" ref="IO8" ca="1" si="137">IN8+1</f>
        <v>46158</v>
      </c>
      <c r="IP8" s="30">
        <f ca="1">IO8+1</f>
        <v>46159</v>
      </c>
      <c r="IQ8" s="30">
        <f ca="1">IP8+1</f>
        <v>46160</v>
      </c>
      <c r="IR8" s="30">
        <f t="shared" ref="IR8" ca="1" si="138">IQ8+1</f>
        <v>46161</v>
      </c>
      <c r="IS8" s="30">
        <f t="shared" ref="IS8" ca="1" si="139">IR8+1</f>
        <v>46162</v>
      </c>
      <c r="IT8" s="30">
        <f t="shared" ref="IT8" ca="1" si="140">IS8+1</f>
        <v>46163</v>
      </c>
      <c r="IU8" s="30">
        <f t="shared" ref="IU8" ca="1" si="141">IT8+1</f>
        <v>46164</v>
      </c>
      <c r="IV8" s="31">
        <f t="shared" ref="IV8" ca="1" si="142">IU8+1</f>
        <v>46165</v>
      </c>
      <c r="IW8" s="30">
        <f ca="1">IV8+1</f>
        <v>46166</v>
      </c>
      <c r="IX8" s="30">
        <f ca="1">IW8+1</f>
        <v>46167</v>
      </c>
      <c r="IY8" s="30">
        <f t="shared" ref="IY8" ca="1" si="143">IX8+1</f>
        <v>46168</v>
      </c>
      <c r="IZ8" s="30">
        <f t="shared" ref="IZ8" ca="1" si="144">IY8+1</f>
        <v>46169</v>
      </c>
      <c r="JA8" s="30">
        <f t="shared" ref="JA8" ca="1" si="145">IZ8+1</f>
        <v>46170</v>
      </c>
      <c r="JB8" s="30">
        <f t="shared" ref="JB8" ca="1" si="146">JA8+1</f>
        <v>46171</v>
      </c>
      <c r="JC8" s="31">
        <f t="shared" ref="JC8" ca="1" si="147">JB8+1</f>
        <v>46172</v>
      </c>
      <c r="JD8" s="30">
        <f ca="1">JC8+1</f>
        <v>46173</v>
      </c>
      <c r="JE8" s="30">
        <f ca="1">JD8+1</f>
        <v>46174</v>
      </c>
      <c r="JF8" s="30">
        <f t="shared" ref="JF8" ca="1" si="148">JE8+1</f>
        <v>46175</v>
      </c>
      <c r="JG8" s="30">
        <f t="shared" ref="JG8" ca="1" si="149">JF8+1</f>
        <v>46176</v>
      </c>
      <c r="JH8" s="30">
        <f t="shared" ref="JH8" ca="1" si="150">JG8+1</f>
        <v>46177</v>
      </c>
      <c r="JI8" s="30">
        <f t="shared" ref="JI8" ca="1" si="151">JH8+1</f>
        <v>46178</v>
      </c>
      <c r="JJ8" s="31">
        <f t="shared" ref="JJ8" ca="1" si="152">JI8+1</f>
        <v>46179</v>
      </c>
      <c r="JK8" s="30">
        <f ca="1">JJ8+1</f>
        <v>46180</v>
      </c>
      <c r="JL8" s="30">
        <f ca="1">JK8+1</f>
        <v>46181</v>
      </c>
      <c r="JM8" s="30">
        <f t="shared" ref="JM8" ca="1" si="153">JL8+1</f>
        <v>46182</v>
      </c>
      <c r="JN8" s="30">
        <f t="shared" ref="JN8" ca="1" si="154">JM8+1</f>
        <v>46183</v>
      </c>
      <c r="JO8" s="30">
        <f t="shared" ref="JO8" ca="1" si="155">JN8+1</f>
        <v>46184</v>
      </c>
      <c r="JP8" s="30">
        <f t="shared" ref="JP8" ca="1" si="156">JO8+1</f>
        <v>46185</v>
      </c>
      <c r="JQ8" s="30">
        <f t="shared" ref="JQ8" ca="1" si="157">JP8+1</f>
        <v>46186</v>
      </c>
      <c r="JR8" s="30">
        <f t="shared" ref="JR8" ca="1" si="158">JQ8+1</f>
        <v>46187</v>
      </c>
      <c r="JS8" s="31">
        <f t="shared" ref="JS8" ca="1" si="159">JR8+1</f>
        <v>46188</v>
      </c>
      <c r="JT8" s="30">
        <f ca="1">JS8+1</f>
        <v>46189</v>
      </c>
      <c r="JU8" s="30">
        <f ca="1">JT8+1</f>
        <v>46190</v>
      </c>
      <c r="JV8" s="30">
        <f t="shared" ref="JV8" ca="1" si="160">JU8+1</f>
        <v>46191</v>
      </c>
      <c r="JW8" s="30">
        <f t="shared" ref="JW8" ca="1" si="161">JV8+1</f>
        <v>46192</v>
      </c>
      <c r="JX8" s="30">
        <f t="shared" ref="JX8" ca="1" si="162">JW8+1</f>
        <v>46193</v>
      </c>
      <c r="JY8" s="30">
        <f t="shared" ref="JY8" ca="1" si="163">JX8+1</f>
        <v>46194</v>
      </c>
      <c r="JZ8" s="31">
        <f t="shared" ref="JZ8" ca="1" si="164">JY8+1</f>
        <v>46195</v>
      </c>
      <c r="KA8" s="30">
        <f ca="1">JZ8+1</f>
        <v>46196</v>
      </c>
      <c r="KB8" s="30">
        <f ca="1">KA8+1</f>
        <v>46197</v>
      </c>
      <c r="KC8" s="30">
        <f t="shared" ref="KC8" ca="1" si="165">KB8+1</f>
        <v>46198</v>
      </c>
      <c r="KD8" s="30">
        <f t="shared" ref="KD8" ca="1" si="166">KC8+1</f>
        <v>46199</v>
      </c>
      <c r="KE8" s="30">
        <f t="shared" ref="KE8" ca="1" si="167">KD8+1</f>
        <v>46200</v>
      </c>
      <c r="KF8" s="30">
        <f t="shared" ref="KF8" ca="1" si="168">KE8+1</f>
        <v>46201</v>
      </c>
      <c r="KG8" s="31">
        <f t="shared" ref="KG8" ca="1" si="169">KF8+1</f>
        <v>46202</v>
      </c>
      <c r="KH8" s="30">
        <f ca="1">KG8+1</f>
        <v>46203</v>
      </c>
      <c r="KI8" s="30">
        <f ca="1">KH8+1</f>
        <v>46204</v>
      </c>
      <c r="KJ8" s="30">
        <f t="shared" ref="KJ8" ca="1" si="170">KI8+1</f>
        <v>46205</v>
      </c>
      <c r="KK8" s="30">
        <f t="shared" ref="KK8" ca="1" si="171">KJ8+1</f>
        <v>46206</v>
      </c>
      <c r="KL8" s="30">
        <f t="shared" ref="KL8" ca="1" si="172">KK8+1</f>
        <v>46207</v>
      </c>
      <c r="KM8" s="30">
        <f t="shared" ref="KM8" ca="1" si="173">KL8+1</f>
        <v>46208</v>
      </c>
      <c r="KN8" s="31">
        <f t="shared" ref="KN8" ca="1" si="174">KM8+1</f>
        <v>46209</v>
      </c>
      <c r="KO8" s="30">
        <f ca="1">KN8+1</f>
        <v>46210</v>
      </c>
      <c r="KP8" s="30">
        <f ca="1">KO8+1</f>
        <v>46211</v>
      </c>
      <c r="KQ8" s="30">
        <f t="shared" ref="KQ8" ca="1" si="175">KP8+1</f>
        <v>46212</v>
      </c>
      <c r="KR8" s="30">
        <f t="shared" ref="KR8" ca="1" si="176">KQ8+1</f>
        <v>46213</v>
      </c>
      <c r="KS8" s="30">
        <f t="shared" ref="KS8" ca="1" si="177">KR8+1</f>
        <v>46214</v>
      </c>
      <c r="KT8" s="30">
        <f t="shared" ref="KT8" ca="1" si="178">KS8+1</f>
        <v>46215</v>
      </c>
      <c r="KU8" s="31">
        <f t="shared" ref="KU8" ca="1" si="179">KT8+1</f>
        <v>46216</v>
      </c>
      <c r="KV8" s="30">
        <f ca="1">KU8+1</f>
        <v>46217</v>
      </c>
      <c r="KW8" s="30">
        <f ca="1">KV8+1</f>
        <v>46218</v>
      </c>
      <c r="KX8" s="30">
        <f t="shared" ref="KX8" ca="1" si="180">KW8+1</f>
        <v>46219</v>
      </c>
      <c r="KY8" s="30">
        <f t="shared" ref="KY8" ca="1" si="181">KX8+1</f>
        <v>46220</v>
      </c>
      <c r="KZ8" s="30">
        <f t="shared" ref="KZ8" ca="1" si="182">KY8+1</f>
        <v>46221</v>
      </c>
      <c r="LA8" s="30">
        <f t="shared" ref="LA8" ca="1" si="183">KZ8+1</f>
        <v>46222</v>
      </c>
      <c r="LB8" s="31">
        <f t="shared" ref="LB8" ca="1" si="184">LA8+1</f>
        <v>46223</v>
      </c>
      <c r="LC8" s="30">
        <f ca="1">LB8+1</f>
        <v>46224</v>
      </c>
      <c r="LD8" s="30">
        <f ca="1">LC8+1</f>
        <v>46225</v>
      </c>
      <c r="LE8" s="30">
        <f t="shared" ref="LE8" ca="1" si="185">LD8+1</f>
        <v>46226</v>
      </c>
      <c r="LF8" s="30">
        <f t="shared" ref="LF8" ca="1" si="186">LE8+1</f>
        <v>46227</v>
      </c>
      <c r="LG8" s="30">
        <f t="shared" ref="LG8" ca="1" si="187">LF8+1</f>
        <v>46228</v>
      </c>
      <c r="LH8" s="30">
        <f t="shared" ref="LH8" ca="1" si="188">LG8+1</f>
        <v>46229</v>
      </c>
      <c r="LI8" s="31">
        <f t="shared" ref="LI8" ca="1" si="189">LH8+1</f>
        <v>46230</v>
      </c>
      <c r="LJ8" s="30">
        <f ca="1">LI8+1</f>
        <v>46231</v>
      </c>
      <c r="LK8" s="30">
        <f ca="1">LJ8+1</f>
        <v>46232</v>
      </c>
      <c r="LL8" s="30">
        <f t="shared" ref="LL8" ca="1" si="190">LK8+1</f>
        <v>46233</v>
      </c>
      <c r="LM8" s="30">
        <f t="shared" ref="LM8" ca="1" si="191">LL8+1</f>
        <v>46234</v>
      </c>
      <c r="LN8" s="30">
        <f t="shared" ref="LN8" ca="1" si="192">LM8+1</f>
        <v>46235</v>
      </c>
      <c r="LO8" s="30">
        <f t="shared" ref="LO8" ca="1" si="193">LN8+1</f>
        <v>46236</v>
      </c>
      <c r="LP8" s="31">
        <f t="shared" ref="LP8" ca="1" si="194">LO8+1</f>
        <v>46237</v>
      </c>
      <c r="LQ8" s="30">
        <f ca="1">LP8+1</f>
        <v>46238</v>
      </c>
      <c r="LR8" s="30">
        <f ca="1">LQ8+1</f>
        <v>46239</v>
      </c>
      <c r="LS8" s="30">
        <f t="shared" ref="LS8" ca="1" si="195">LR8+1</f>
        <v>46240</v>
      </c>
      <c r="LT8" s="30">
        <f t="shared" ref="LT8" ca="1" si="196">LS8+1</f>
        <v>46241</v>
      </c>
      <c r="LU8" s="30">
        <f t="shared" ref="LU8" ca="1" si="197">LT8+1</f>
        <v>46242</v>
      </c>
      <c r="LV8" s="30">
        <f t="shared" ref="LV8" ca="1" si="198">LU8+1</f>
        <v>46243</v>
      </c>
      <c r="LW8" s="30">
        <f t="shared" ref="LW8" ca="1" si="199">LV8+1</f>
        <v>46244</v>
      </c>
      <c r="LX8" s="30">
        <f t="shared" ref="LX8" ca="1" si="200">LW8+1</f>
        <v>46245</v>
      </c>
    </row>
    <row r="9" spans="1:336" ht="14.85" hidden="1" x14ac:dyDescent="0.25">
      <c r="A9" s="7"/>
      <c r="B9" s="16"/>
      <c r="C9" s="16"/>
      <c r="D9" s="16"/>
      <c r="E9" s="16"/>
      <c r="F9" s="17"/>
      <c r="G9" s="17"/>
      <c r="H9" s="17"/>
      <c r="I9" s="17"/>
      <c r="J9" s="17"/>
      <c r="K9" s="23"/>
      <c r="L9" s="32"/>
      <c r="M9" s="33"/>
      <c r="N9" s="33"/>
      <c r="O9" s="33"/>
      <c r="P9" s="33"/>
      <c r="Q9" s="33"/>
      <c r="R9" s="33"/>
      <c r="S9" s="34"/>
      <c r="T9" s="33"/>
      <c r="U9" s="33"/>
      <c r="V9" s="33"/>
      <c r="W9" s="33"/>
      <c r="X9" s="33"/>
      <c r="Y9" s="35"/>
      <c r="Z9" s="33"/>
      <c r="AA9" s="33"/>
      <c r="AB9" s="33"/>
      <c r="AC9" s="33"/>
      <c r="AD9" s="33"/>
      <c r="AE9" s="33"/>
      <c r="AF9" s="35"/>
      <c r="AG9" s="33"/>
      <c r="AH9" s="33"/>
      <c r="AI9" s="33"/>
      <c r="AJ9" s="33"/>
      <c r="AK9" s="33"/>
      <c r="AL9" s="33"/>
      <c r="AM9" s="35"/>
      <c r="AN9" s="33"/>
      <c r="AO9" s="33"/>
      <c r="AP9" s="33"/>
      <c r="AQ9" s="33"/>
      <c r="AR9" s="33"/>
      <c r="AS9" s="33"/>
      <c r="AT9" s="35"/>
      <c r="AU9" s="33"/>
      <c r="AV9" s="33"/>
      <c r="AW9" s="33"/>
      <c r="AX9" s="33"/>
      <c r="AY9" s="33"/>
      <c r="AZ9" s="33"/>
      <c r="BA9" s="35"/>
      <c r="BB9" s="33"/>
      <c r="BC9" s="33"/>
      <c r="BD9" s="33"/>
      <c r="BE9" s="33"/>
      <c r="BF9" s="33"/>
      <c r="BG9" s="33"/>
      <c r="BH9" s="35"/>
      <c r="BI9" s="33"/>
      <c r="BJ9" s="33"/>
      <c r="BK9" s="33"/>
      <c r="BL9" s="33"/>
      <c r="BM9" s="33"/>
      <c r="BN9" s="33"/>
      <c r="BO9" s="33"/>
      <c r="BP9" s="33"/>
      <c r="BQ9" s="35"/>
      <c r="BR9" s="33"/>
      <c r="BS9" s="33"/>
      <c r="BT9" s="33"/>
      <c r="BU9" s="33"/>
      <c r="BV9" s="33"/>
      <c r="BW9" s="33"/>
      <c r="BX9" s="35"/>
      <c r="BY9" s="33"/>
      <c r="BZ9" s="33"/>
      <c r="CA9" s="33"/>
      <c r="CB9" s="33"/>
      <c r="CC9" s="33"/>
      <c r="CD9" s="33"/>
      <c r="CE9" s="35"/>
      <c r="CF9" s="33"/>
      <c r="CG9" s="33"/>
      <c r="CH9" s="33"/>
      <c r="CI9" s="33"/>
      <c r="CJ9" s="33"/>
      <c r="CK9" s="33"/>
      <c r="CL9" s="35"/>
      <c r="CM9" s="33"/>
      <c r="CN9" s="33"/>
      <c r="CO9" s="33"/>
      <c r="CP9" s="33"/>
      <c r="CQ9" s="33"/>
      <c r="CR9" s="33"/>
      <c r="CS9" s="33"/>
      <c r="CT9" s="33"/>
      <c r="CU9" s="35"/>
      <c r="CV9" s="33"/>
      <c r="CW9" s="33"/>
      <c r="CX9" s="33"/>
      <c r="CY9" s="33"/>
      <c r="CZ9" s="33"/>
      <c r="DA9" s="33"/>
      <c r="DB9" s="35"/>
      <c r="DC9" s="33"/>
      <c r="DD9" s="33"/>
      <c r="DE9" s="33"/>
      <c r="DF9" s="33"/>
      <c r="DG9" s="33"/>
      <c r="DH9" s="33"/>
      <c r="DI9" s="35"/>
      <c r="DJ9" s="33"/>
      <c r="DK9" s="33"/>
      <c r="DL9" s="33"/>
      <c r="DM9" s="33"/>
      <c r="DN9" s="33"/>
      <c r="DO9" s="33"/>
      <c r="DP9" s="35"/>
      <c r="DQ9" s="33"/>
      <c r="DR9" s="33"/>
      <c r="DS9" s="33"/>
      <c r="DT9" s="33"/>
      <c r="DU9" s="33"/>
      <c r="DV9" s="33"/>
      <c r="DW9" s="33"/>
      <c r="DX9" s="33"/>
      <c r="DY9" s="35"/>
      <c r="DZ9" s="33"/>
      <c r="EA9" s="33"/>
      <c r="EB9" s="33"/>
      <c r="EC9" s="33"/>
      <c r="ED9" s="33"/>
      <c r="EE9" s="33"/>
      <c r="EF9" s="35"/>
      <c r="EG9" s="33"/>
      <c r="EH9" s="33"/>
      <c r="EI9" s="33"/>
      <c r="EJ9" s="33"/>
      <c r="EK9" s="33"/>
      <c r="EL9" s="33"/>
      <c r="EM9" s="35"/>
      <c r="EN9" s="33"/>
      <c r="EO9" s="33"/>
      <c r="EP9" s="33"/>
      <c r="EQ9" s="33"/>
      <c r="ER9" s="33"/>
      <c r="ES9" s="33"/>
      <c r="ET9" s="35"/>
      <c r="EU9" s="33"/>
      <c r="EV9" s="33"/>
      <c r="EW9" s="33"/>
      <c r="EX9" s="33"/>
      <c r="EY9" s="33"/>
      <c r="EZ9" s="33"/>
      <c r="FA9" s="33"/>
      <c r="FB9" s="33"/>
      <c r="FC9" s="35"/>
      <c r="FD9" s="33"/>
      <c r="FE9" s="33"/>
      <c r="FF9" s="33"/>
      <c r="FG9" s="33"/>
      <c r="FH9" s="33"/>
      <c r="FI9" s="33"/>
      <c r="FJ9" s="35"/>
      <c r="FK9" s="33"/>
      <c r="FL9" s="33"/>
      <c r="FM9" s="33"/>
      <c r="FN9" s="33"/>
      <c r="FO9" s="33"/>
      <c r="FP9" s="33"/>
      <c r="FQ9" s="35"/>
      <c r="FR9" s="33"/>
      <c r="FS9" s="33"/>
      <c r="FT9" s="33"/>
      <c r="FU9" s="33"/>
      <c r="FV9" s="33"/>
      <c r="FW9" s="33"/>
      <c r="FX9" s="35"/>
      <c r="FY9" s="33"/>
      <c r="FZ9" s="33"/>
      <c r="GA9" s="33"/>
      <c r="GB9" s="33"/>
      <c r="GC9" s="33"/>
      <c r="GD9" s="33"/>
      <c r="GE9" s="33"/>
      <c r="GF9" s="33"/>
      <c r="GG9" s="35"/>
      <c r="GH9" s="33"/>
      <c r="GI9" s="33"/>
      <c r="GJ9" s="33"/>
      <c r="GK9" s="33"/>
      <c r="GL9" s="33"/>
      <c r="GM9" s="33"/>
      <c r="GN9" s="35"/>
      <c r="GO9" s="33"/>
      <c r="GP9" s="33"/>
      <c r="GQ9" s="33"/>
      <c r="GR9" s="33"/>
      <c r="GS9" s="33"/>
      <c r="GT9" s="33"/>
      <c r="GU9" s="35"/>
      <c r="GV9" s="33"/>
      <c r="GW9" s="33"/>
      <c r="GX9" s="33"/>
      <c r="GY9" s="33"/>
      <c r="GZ9" s="33"/>
      <c r="HA9" s="33"/>
      <c r="HB9" s="35"/>
      <c r="HC9" s="33"/>
      <c r="HD9" s="33"/>
      <c r="HE9" s="33"/>
      <c r="HF9" s="33"/>
      <c r="HG9" s="33"/>
      <c r="HH9" s="33"/>
      <c r="HI9" s="33"/>
      <c r="HJ9" s="33"/>
      <c r="HK9" s="35"/>
      <c r="HL9" s="33"/>
      <c r="HM9" s="33"/>
      <c r="HN9" s="33"/>
      <c r="HO9" s="33"/>
      <c r="HP9" s="33"/>
      <c r="HQ9" s="33"/>
      <c r="HR9" s="35"/>
      <c r="HS9" s="33"/>
      <c r="HT9" s="33"/>
      <c r="HU9" s="33"/>
      <c r="HV9" s="33"/>
      <c r="HW9" s="33"/>
      <c r="HX9" s="33"/>
      <c r="HY9" s="35"/>
      <c r="HZ9" s="33"/>
      <c r="IA9" s="33"/>
      <c r="IB9" s="33"/>
      <c r="IC9" s="33"/>
      <c r="ID9" s="33"/>
      <c r="IE9" s="33"/>
      <c r="IF9" s="35"/>
      <c r="IG9" s="33"/>
      <c r="IH9" s="33"/>
      <c r="II9" s="33"/>
      <c r="IJ9" s="33"/>
      <c r="IK9" s="33"/>
      <c r="IL9" s="33"/>
      <c r="IM9" s="33"/>
      <c r="IN9" s="33"/>
      <c r="IO9" s="35"/>
      <c r="IP9" s="33"/>
      <c r="IQ9" s="33"/>
      <c r="IR9" s="33"/>
      <c r="IS9" s="33"/>
      <c r="IT9" s="33"/>
      <c r="IU9" s="33"/>
      <c r="IV9" s="35"/>
      <c r="IW9" s="33"/>
      <c r="IX9" s="33"/>
      <c r="IY9" s="33"/>
      <c r="IZ9" s="33"/>
      <c r="JA9" s="33"/>
      <c r="JB9" s="33"/>
      <c r="JC9" s="35"/>
      <c r="JD9" s="33"/>
      <c r="JE9" s="33"/>
      <c r="JF9" s="33"/>
      <c r="JG9" s="33"/>
      <c r="JH9" s="33"/>
      <c r="JI9" s="33"/>
      <c r="JJ9" s="35"/>
      <c r="JK9" s="33"/>
      <c r="JL9" s="33"/>
      <c r="JM9" s="33"/>
      <c r="JN9" s="33"/>
      <c r="JO9" s="33"/>
      <c r="JP9" s="33"/>
      <c r="JQ9" s="33"/>
      <c r="JR9" s="33"/>
      <c r="JS9" s="35"/>
      <c r="JT9" s="33"/>
      <c r="JU9" s="33"/>
      <c r="JV9" s="33"/>
      <c r="JW9" s="33"/>
      <c r="JX9" s="33"/>
      <c r="JY9" s="33"/>
      <c r="JZ9" s="35"/>
      <c r="KA9" s="33"/>
      <c r="KB9" s="33"/>
      <c r="KC9" s="33"/>
      <c r="KD9" s="33"/>
      <c r="KE9" s="33"/>
      <c r="KF9" s="33"/>
      <c r="KG9" s="35"/>
      <c r="KH9" s="33"/>
      <c r="KI9" s="33"/>
      <c r="KJ9" s="33"/>
      <c r="KK9" s="33"/>
      <c r="KL9" s="33"/>
      <c r="KM9" s="33"/>
      <c r="KN9" s="35"/>
      <c r="KO9" s="33"/>
      <c r="KP9" s="33"/>
      <c r="KQ9" s="33"/>
      <c r="KR9" s="33"/>
      <c r="KS9" s="33"/>
      <c r="KT9" s="33"/>
      <c r="KU9" s="35"/>
      <c r="KV9" s="33"/>
      <c r="KW9" s="33"/>
      <c r="KX9" s="33"/>
      <c r="KY9" s="33"/>
      <c r="KZ9" s="33"/>
      <c r="LA9" s="33"/>
      <c r="LB9" s="35"/>
      <c r="LC9" s="33"/>
      <c r="LD9" s="33"/>
      <c r="LE9" s="33"/>
      <c r="LF9" s="33"/>
      <c r="LG9" s="33"/>
      <c r="LH9" s="33"/>
      <c r="LI9" s="35"/>
      <c r="LJ9" s="33"/>
      <c r="LK9" s="33"/>
      <c r="LL9" s="33"/>
      <c r="LM9" s="33"/>
      <c r="LN9" s="33"/>
      <c r="LO9" s="33"/>
      <c r="LP9" s="35"/>
      <c r="LQ9" s="33"/>
      <c r="LR9" s="33"/>
      <c r="LS9" s="33"/>
      <c r="LT9" s="33"/>
      <c r="LU9" s="33"/>
      <c r="LV9" s="33"/>
      <c r="LW9" s="33"/>
      <c r="LX9" s="33"/>
    </row>
    <row r="10" spans="1:336" ht="29.7" x14ac:dyDescent="0.25">
      <c r="A10" s="7"/>
      <c r="B10" s="77" t="s">
        <v>7</v>
      </c>
      <c r="C10" s="76" t="s">
        <v>51</v>
      </c>
      <c r="D10" s="76" t="s">
        <v>50</v>
      </c>
      <c r="E10" s="76" t="s">
        <v>8</v>
      </c>
      <c r="F10" s="76" t="s">
        <v>2</v>
      </c>
      <c r="G10" s="76" t="s">
        <v>3</v>
      </c>
      <c r="H10" s="76" t="s">
        <v>9</v>
      </c>
      <c r="I10" s="76" t="s">
        <v>55</v>
      </c>
      <c r="J10" s="76" t="s">
        <v>52</v>
      </c>
      <c r="K10" s="28"/>
      <c r="L10" s="68" t="str">
        <f ca="1">LEFT(TEXT(L8,"ddd"),1)</f>
        <v>S</v>
      </c>
      <c r="M10" s="68" t="str">
        <f t="shared" ref="M10:BN10" ca="1" si="201">LEFT(TEXT(M8,"ddd"),1)</f>
        <v>M</v>
      </c>
      <c r="N10" s="68" t="str">
        <f t="shared" ca="1" si="201"/>
        <v>T</v>
      </c>
      <c r="O10" s="68" t="str">
        <f t="shared" ca="1" si="201"/>
        <v>W</v>
      </c>
      <c r="P10" s="68" t="str">
        <f t="shared" ca="1" si="201"/>
        <v>T</v>
      </c>
      <c r="Q10" s="68" t="str">
        <f t="shared" ca="1" si="201"/>
        <v>F</v>
      </c>
      <c r="R10" s="68" t="str">
        <f t="shared" ca="1" si="201"/>
        <v>S</v>
      </c>
      <c r="S10" s="68" t="str">
        <f t="shared" ca="1" si="201"/>
        <v>S</v>
      </c>
      <c r="T10" s="68" t="str">
        <f t="shared" ca="1" si="201"/>
        <v>M</v>
      </c>
      <c r="U10" s="68" t="str">
        <f t="shared" ca="1" si="201"/>
        <v>T</v>
      </c>
      <c r="V10" s="68" t="str">
        <f t="shared" ca="1" si="201"/>
        <v>W</v>
      </c>
      <c r="W10" s="68" t="str">
        <f t="shared" ca="1" si="201"/>
        <v>T</v>
      </c>
      <c r="X10" s="68" t="str">
        <f t="shared" ca="1" si="201"/>
        <v>F</v>
      </c>
      <c r="Y10" s="68" t="str">
        <f t="shared" ca="1" si="201"/>
        <v>S</v>
      </c>
      <c r="Z10" s="68" t="str">
        <f t="shared" ca="1" si="201"/>
        <v>S</v>
      </c>
      <c r="AA10" s="68" t="str">
        <f t="shared" ca="1" si="201"/>
        <v>M</v>
      </c>
      <c r="AB10" s="68" t="str">
        <f t="shared" ca="1" si="201"/>
        <v>T</v>
      </c>
      <c r="AC10" s="68" t="str">
        <f t="shared" ca="1" si="201"/>
        <v>W</v>
      </c>
      <c r="AD10" s="68" t="str">
        <f t="shared" ca="1" si="201"/>
        <v>T</v>
      </c>
      <c r="AE10" s="68" t="str">
        <f t="shared" ca="1" si="201"/>
        <v>F</v>
      </c>
      <c r="AF10" s="68" t="str">
        <f t="shared" ca="1" si="201"/>
        <v>S</v>
      </c>
      <c r="AG10" s="68" t="str">
        <f t="shared" ca="1" si="201"/>
        <v>S</v>
      </c>
      <c r="AH10" s="68" t="str">
        <f t="shared" ca="1" si="201"/>
        <v>M</v>
      </c>
      <c r="AI10" s="68" t="str">
        <f t="shared" ca="1" si="201"/>
        <v>T</v>
      </c>
      <c r="AJ10" s="68" t="str">
        <f t="shared" ca="1" si="201"/>
        <v>W</v>
      </c>
      <c r="AK10" s="68" t="str">
        <f t="shared" ca="1" si="201"/>
        <v>T</v>
      </c>
      <c r="AL10" s="68" t="str">
        <f t="shared" ca="1" si="201"/>
        <v>F</v>
      </c>
      <c r="AM10" s="68" t="str">
        <f t="shared" ca="1" si="201"/>
        <v>S</v>
      </c>
      <c r="AN10" s="68" t="str">
        <f t="shared" ca="1" si="201"/>
        <v>S</v>
      </c>
      <c r="AO10" s="68" t="str">
        <f t="shared" ca="1" si="201"/>
        <v>M</v>
      </c>
      <c r="AP10" s="68" t="str">
        <f t="shared" ca="1" si="201"/>
        <v>T</v>
      </c>
      <c r="AQ10" s="68" t="str">
        <f t="shared" ca="1" si="201"/>
        <v>W</v>
      </c>
      <c r="AR10" s="68" t="str">
        <f t="shared" ca="1" si="201"/>
        <v>T</v>
      </c>
      <c r="AS10" s="68" t="str">
        <f t="shared" ca="1" si="201"/>
        <v>F</v>
      </c>
      <c r="AT10" s="68" t="str">
        <f t="shared" ca="1" si="201"/>
        <v>S</v>
      </c>
      <c r="AU10" s="68" t="str">
        <f t="shared" ca="1" si="201"/>
        <v>S</v>
      </c>
      <c r="AV10" s="68" t="str">
        <f t="shared" ca="1" si="201"/>
        <v>M</v>
      </c>
      <c r="AW10" s="68" t="str">
        <f t="shared" ca="1" si="201"/>
        <v>T</v>
      </c>
      <c r="AX10" s="68" t="str">
        <f t="shared" ca="1" si="201"/>
        <v>W</v>
      </c>
      <c r="AY10" s="68" t="str">
        <f t="shared" ca="1" si="201"/>
        <v>T</v>
      </c>
      <c r="AZ10" s="68" t="str">
        <f t="shared" ca="1" si="201"/>
        <v>F</v>
      </c>
      <c r="BA10" s="68" t="str">
        <f t="shared" ca="1" si="201"/>
        <v>S</v>
      </c>
      <c r="BB10" s="68" t="str">
        <f t="shared" ca="1" si="201"/>
        <v>S</v>
      </c>
      <c r="BC10" s="68" t="str">
        <f t="shared" ca="1" si="201"/>
        <v>M</v>
      </c>
      <c r="BD10" s="68" t="str">
        <f t="shared" ca="1" si="201"/>
        <v>T</v>
      </c>
      <c r="BE10" s="68" t="str">
        <f t="shared" ca="1" si="201"/>
        <v>W</v>
      </c>
      <c r="BF10" s="68" t="str">
        <f t="shared" ca="1" si="201"/>
        <v>T</v>
      </c>
      <c r="BG10" s="68" t="str">
        <f t="shared" ca="1" si="201"/>
        <v>F</v>
      </c>
      <c r="BH10" s="68" t="str">
        <f t="shared" ca="1" si="201"/>
        <v>S</v>
      </c>
      <c r="BI10" s="68" t="str">
        <f t="shared" ca="1" si="201"/>
        <v>S</v>
      </c>
      <c r="BJ10" s="68" t="str">
        <f t="shared" ca="1" si="201"/>
        <v>M</v>
      </c>
      <c r="BK10" s="68" t="str">
        <f t="shared" ca="1" si="201"/>
        <v>T</v>
      </c>
      <c r="BL10" s="68" t="str">
        <f t="shared" ca="1" si="201"/>
        <v>W</v>
      </c>
      <c r="BM10" s="68" t="str">
        <f t="shared" ca="1" si="201"/>
        <v>T</v>
      </c>
      <c r="BN10" s="68" t="str">
        <f t="shared" ca="1" si="201"/>
        <v>F</v>
      </c>
      <c r="BO10" s="68" t="str">
        <f t="shared" ref="BO10:DZ10" ca="1" si="202">LEFT(TEXT(BO8,"ddd"),1)</f>
        <v>S</v>
      </c>
      <c r="BP10" s="68" t="str">
        <f t="shared" ca="1" si="202"/>
        <v>S</v>
      </c>
      <c r="BQ10" s="68" t="str">
        <f t="shared" ca="1" si="202"/>
        <v>M</v>
      </c>
      <c r="BR10" s="68" t="str">
        <f t="shared" ca="1" si="202"/>
        <v>T</v>
      </c>
      <c r="BS10" s="68" t="str">
        <f t="shared" ca="1" si="202"/>
        <v>W</v>
      </c>
      <c r="BT10" s="68" t="str">
        <f t="shared" ca="1" si="202"/>
        <v>T</v>
      </c>
      <c r="BU10" s="68" t="str">
        <f t="shared" ca="1" si="202"/>
        <v>F</v>
      </c>
      <c r="BV10" s="68" t="str">
        <f t="shared" ca="1" si="202"/>
        <v>S</v>
      </c>
      <c r="BW10" s="68" t="str">
        <f t="shared" ca="1" si="202"/>
        <v>S</v>
      </c>
      <c r="BX10" s="68" t="str">
        <f t="shared" ca="1" si="202"/>
        <v>M</v>
      </c>
      <c r="BY10" s="68" t="str">
        <f t="shared" ca="1" si="202"/>
        <v>T</v>
      </c>
      <c r="BZ10" s="68" t="str">
        <f t="shared" ca="1" si="202"/>
        <v>W</v>
      </c>
      <c r="CA10" s="68" t="str">
        <f t="shared" ca="1" si="202"/>
        <v>T</v>
      </c>
      <c r="CB10" s="68" t="str">
        <f t="shared" ca="1" si="202"/>
        <v>F</v>
      </c>
      <c r="CC10" s="68" t="str">
        <f t="shared" ca="1" si="202"/>
        <v>S</v>
      </c>
      <c r="CD10" s="68" t="str">
        <f t="shared" ca="1" si="202"/>
        <v>S</v>
      </c>
      <c r="CE10" s="68" t="str">
        <f t="shared" ca="1" si="202"/>
        <v>M</v>
      </c>
      <c r="CF10" s="68" t="str">
        <f t="shared" ca="1" si="202"/>
        <v>T</v>
      </c>
      <c r="CG10" s="68" t="str">
        <f t="shared" ca="1" si="202"/>
        <v>W</v>
      </c>
      <c r="CH10" s="68" t="str">
        <f t="shared" ca="1" si="202"/>
        <v>T</v>
      </c>
      <c r="CI10" s="68" t="str">
        <f t="shared" ca="1" si="202"/>
        <v>F</v>
      </c>
      <c r="CJ10" s="68" t="str">
        <f t="shared" ca="1" si="202"/>
        <v>S</v>
      </c>
      <c r="CK10" s="68" t="str">
        <f t="shared" ca="1" si="202"/>
        <v>S</v>
      </c>
      <c r="CL10" s="68" t="str">
        <f t="shared" ca="1" si="202"/>
        <v>M</v>
      </c>
      <c r="CM10" s="68" t="str">
        <f t="shared" ca="1" si="202"/>
        <v>T</v>
      </c>
      <c r="CN10" s="68" t="str">
        <f t="shared" ca="1" si="202"/>
        <v>W</v>
      </c>
      <c r="CO10" s="68" t="str">
        <f t="shared" ca="1" si="202"/>
        <v>T</v>
      </c>
      <c r="CP10" s="68" t="str">
        <f t="shared" ca="1" si="202"/>
        <v>F</v>
      </c>
      <c r="CQ10" s="68" t="str">
        <f t="shared" ca="1" si="202"/>
        <v>S</v>
      </c>
      <c r="CR10" s="68" t="str">
        <f t="shared" ca="1" si="202"/>
        <v>S</v>
      </c>
      <c r="CS10" s="68" t="str">
        <f t="shared" ca="1" si="202"/>
        <v>M</v>
      </c>
      <c r="CT10" s="68" t="str">
        <f t="shared" ca="1" si="202"/>
        <v>T</v>
      </c>
      <c r="CU10" s="68" t="str">
        <f t="shared" ca="1" si="202"/>
        <v>W</v>
      </c>
      <c r="CV10" s="68" t="str">
        <f t="shared" ca="1" si="202"/>
        <v>T</v>
      </c>
      <c r="CW10" s="68" t="str">
        <f t="shared" ca="1" si="202"/>
        <v>F</v>
      </c>
      <c r="CX10" s="68" t="str">
        <f t="shared" ca="1" si="202"/>
        <v>S</v>
      </c>
      <c r="CY10" s="68" t="str">
        <f t="shared" ca="1" si="202"/>
        <v>S</v>
      </c>
      <c r="CZ10" s="68" t="str">
        <f t="shared" ca="1" si="202"/>
        <v>M</v>
      </c>
      <c r="DA10" s="68" t="str">
        <f t="shared" ca="1" si="202"/>
        <v>T</v>
      </c>
      <c r="DB10" s="68" t="str">
        <f t="shared" ca="1" si="202"/>
        <v>W</v>
      </c>
      <c r="DC10" s="68" t="str">
        <f t="shared" ca="1" si="202"/>
        <v>T</v>
      </c>
      <c r="DD10" s="68" t="str">
        <f t="shared" ca="1" si="202"/>
        <v>F</v>
      </c>
      <c r="DE10" s="68" t="str">
        <f t="shared" ca="1" si="202"/>
        <v>S</v>
      </c>
      <c r="DF10" s="68" t="str">
        <f t="shared" ca="1" si="202"/>
        <v>S</v>
      </c>
      <c r="DG10" s="68" t="str">
        <f t="shared" ca="1" si="202"/>
        <v>M</v>
      </c>
      <c r="DH10" s="68" t="str">
        <f t="shared" ca="1" si="202"/>
        <v>T</v>
      </c>
      <c r="DI10" s="68" t="str">
        <f t="shared" ca="1" si="202"/>
        <v>W</v>
      </c>
      <c r="DJ10" s="68" t="str">
        <f t="shared" ca="1" si="202"/>
        <v>T</v>
      </c>
      <c r="DK10" s="68" t="str">
        <f t="shared" ca="1" si="202"/>
        <v>F</v>
      </c>
      <c r="DL10" s="68" t="str">
        <f t="shared" ca="1" si="202"/>
        <v>S</v>
      </c>
      <c r="DM10" s="68" t="str">
        <f t="shared" ca="1" si="202"/>
        <v>S</v>
      </c>
      <c r="DN10" s="68" t="str">
        <f t="shared" ca="1" si="202"/>
        <v>M</v>
      </c>
      <c r="DO10" s="68" t="str">
        <f t="shared" ca="1" si="202"/>
        <v>T</v>
      </c>
      <c r="DP10" s="68" t="str">
        <f t="shared" ca="1" si="202"/>
        <v>W</v>
      </c>
      <c r="DQ10" s="68" t="str">
        <f t="shared" ca="1" si="202"/>
        <v>T</v>
      </c>
      <c r="DR10" s="68" t="str">
        <f t="shared" ca="1" si="202"/>
        <v>F</v>
      </c>
      <c r="DS10" s="68" t="str">
        <f t="shared" ca="1" si="202"/>
        <v>S</v>
      </c>
      <c r="DT10" s="68" t="str">
        <f t="shared" ca="1" si="202"/>
        <v>S</v>
      </c>
      <c r="DU10" s="68" t="str">
        <f t="shared" ca="1" si="202"/>
        <v>M</v>
      </c>
      <c r="DV10" s="68" t="str">
        <f t="shared" ca="1" si="202"/>
        <v>T</v>
      </c>
      <c r="DW10" s="68" t="str">
        <f t="shared" ca="1" si="202"/>
        <v>W</v>
      </c>
      <c r="DX10" s="68" t="str">
        <f t="shared" ca="1" si="202"/>
        <v>T</v>
      </c>
      <c r="DY10" s="68" t="str">
        <f t="shared" ca="1" si="202"/>
        <v>F</v>
      </c>
      <c r="DZ10" s="68" t="str">
        <f t="shared" ca="1" si="202"/>
        <v>S</v>
      </c>
      <c r="EA10" s="68" t="str">
        <f t="shared" ref="EA10:GL10" ca="1" si="203">LEFT(TEXT(EA8,"ddd"),1)</f>
        <v>S</v>
      </c>
      <c r="EB10" s="68" t="str">
        <f t="shared" ca="1" si="203"/>
        <v>M</v>
      </c>
      <c r="EC10" s="68" t="str">
        <f t="shared" ca="1" si="203"/>
        <v>T</v>
      </c>
      <c r="ED10" s="68" t="str">
        <f t="shared" ca="1" si="203"/>
        <v>W</v>
      </c>
      <c r="EE10" s="68" t="str">
        <f t="shared" ca="1" si="203"/>
        <v>T</v>
      </c>
      <c r="EF10" s="68" t="str">
        <f t="shared" ca="1" si="203"/>
        <v>F</v>
      </c>
      <c r="EG10" s="68" t="str">
        <f t="shared" ca="1" si="203"/>
        <v>S</v>
      </c>
      <c r="EH10" s="68" t="str">
        <f t="shared" ca="1" si="203"/>
        <v>S</v>
      </c>
      <c r="EI10" s="68" t="str">
        <f t="shared" ca="1" si="203"/>
        <v>M</v>
      </c>
      <c r="EJ10" s="68" t="str">
        <f t="shared" ca="1" si="203"/>
        <v>T</v>
      </c>
      <c r="EK10" s="68" t="str">
        <f t="shared" ca="1" si="203"/>
        <v>W</v>
      </c>
      <c r="EL10" s="68" t="str">
        <f t="shared" ca="1" si="203"/>
        <v>T</v>
      </c>
      <c r="EM10" s="68" t="str">
        <f t="shared" ca="1" si="203"/>
        <v>F</v>
      </c>
      <c r="EN10" s="68" t="str">
        <f t="shared" ca="1" si="203"/>
        <v>S</v>
      </c>
      <c r="EO10" s="68" t="str">
        <f t="shared" ca="1" si="203"/>
        <v>S</v>
      </c>
      <c r="EP10" s="68" t="str">
        <f t="shared" ca="1" si="203"/>
        <v>M</v>
      </c>
      <c r="EQ10" s="68" t="str">
        <f t="shared" ca="1" si="203"/>
        <v>T</v>
      </c>
      <c r="ER10" s="68" t="str">
        <f t="shared" ca="1" si="203"/>
        <v>W</v>
      </c>
      <c r="ES10" s="68" t="str">
        <f t="shared" ca="1" si="203"/>
        <v>T</v>
      </c>
      <c r="ET10" s="68" t="str">
        <f t="shared" ca="1" si="203"/>
        <v>F</v>
      </c>
      <c r="EU10" s="68" t="str">
        <f t="shared" ca="1" si="203"/>
        <v>S</v>
      </c>
      <c r="EV10" s="68" t="str">
        <f t="shared" ca="1" si="203"/>
        <v>S</v>
      </c>
      <c r="EW10" s="68" t="str">
        <f t="shared" ca="1" si="203"/>
        <v>M</v>
      </c>
      <c r="EX10" s="68" t="str">
        <f t="shared" ca="1" si="203"/>
        <v>T</v>
      </c>
      <c r="EY10" s="68" t="str">
        <f t="shared" ca="1" si="203"/>
        <v>W</v>
      </c>
      <c r="EZ10" s="68" t="str">
        <f t="shared" ca="1" si="203"/>
        <v>T</v>
      </c>
      <c r="FA10" s="68" t="str">
        <f t="shared" ca="1" si="203"/>
        <v>F</v>
      </c>
      <c r="FB10" s="68" t="str">
        <f t="shared" ca="1" si="203"/>
        <v>S</v>
      </c>
      <c r="FC10" s="68" t="str">
        <f t="shared" ca="1" si="203"/>
        <v>S</v>
      </c>
      <c r="FD10" s="68" t="str">
        <f t="shared" ca="1" si="203"/>
        <v>M</v>
      </c>
      <c r="FE10" s="68" t="str">
        <f t="shared" ca="1" si="203"/>
        <v>T</v>
      </c>
      <c r="FF10" s="68" t="str">
        <f t="shared" ca="1" si="203"/>
        <v>W</v>
      </c>
      <c r="FG10" s="68" t="str">
        <f t="shared" ca="1" si="203"/>
        <v>T</v>
      </c>
      <c r="FH10" s="68" t="str">
        <f t="shared" ca="1" si="203"/>
        <v>F</v>
      </c>
      <c r="FI10" s="68" t="str">
        <f t="shared" ca="1" si="203"/>
        <v>S</v>
      </c>
      <c r="FJ10" s="68" t="str">
        <f t="shared" ca="1" si="203"/>
        <v>S</v>
      </c>
      <c r="FK10" s="68" t="str">
        <f t="shared" ca="1" si="203"/>
        <v>M</v>
      </c>
      <c r="FL10" s="68" t="str">
        <f t="shared" ca="1" si="203"/>
        <v>T</v>
      </c>
      <c r="FM10" s="68" t="str">
        <f t="shared" ca="1" si="203"/>
        <v>W</v>
      </c>
      <c r="FN10" s="68" t="str">
        <f t="shared" ca="1" si="203"/>
        <v>T</v>
      </c>
      <c r="FO10" s="68" t="str">
        <f t="shared" ca="1" si="203"/>
        <v>F</v>
      </c>
      <c r="FP10" s="68" t="str">
        <f t="shared" ca="1" si="203"/>
        <v>S</v>
      </c>
      <c r="FQ10" s="68" t="str">
        <f t="shared" ca="1" si="203"/>
        <v>S</v>
      </c>
      <c r="FR10" s="68" t="str">
        <f t="shared" ca="1" si="203"/>
        <v>M</v>
      </c>
      <c r="FS10" s="68" t="str">
        <f t="shared" ca="1" si="203"/>
        <v>T</v>
      </c>
      <c r="FT10" s="68" t="str">
        <f t="shared" ca="1" si="203"/>
        <v>W</v>
      </c>
      <c r="FU10" s="68" t="str">
        <f t="shared" ca="1" si="203"/>
        <v>T</v>
      </c>
      <c r="FV10" s="68" t="str">
        <f t="shared" ca="1" si="203"/>
        <v>F</v>
      </c>
      <c r="FW10" s="68" t="str">
        <f t="shared" ca="1" si="203"/>
        <v>S</v>
      </c>
      <c r="FX10" s="68" t="str">
        <f t="shared" ca="1" si="203"/>
        <v>S</v>
      </c>
      <c r="FY10" s="68" t="str">
        <f t="shared" ca="1" si="203"/>
        <v>M</v>
      </c>
      <c r="FZ10" s="68" t="str">
        <f t="shared" ca="1" si="203"/>
        <v>T</v>
      </c>
      <c r="GA10" s="68" t="str">
        <f t="shared" ca="1" si="203"/>
        <v>W</v>
      </c>
      <c r="GB10" s="68" t="str">
        <f t="shared" ca="1" si="203"/>
        <v>T</v>
      </c>
      <c r="GC10" s="68" t="str">
        <f t="shared" ca="1" si="203"/>
        <v>F</v>
      </c>
      <c r="GD10" s="68" t="str">
        <f t="shared" ca="1" si="203"/>
        <v>S</v>
      </c>
      <c r="GE10" s="68" t="str">
        <f t="shared" ca="1" si="203"/>
        <v>S</v>
      </c>
      <c r="GF10" s="68" t="str">
        <f t="shared" ca="1" si="203"/>
        <v>M</v>
      </c>
      <c r="GG10" s="68" t="str">
        <f t="shared" ca="1" si="203"/>
        <v>T</v>
      </c>
      <c r="GH10" s="68" t="str">
        <f t="shared" ca="1" si="203"/>
        <v>W</v>
      </c>
      <c r="GI10" s="68" t="str">
        <f t="shared" ca="1" si="203"/>
        <v>T</v>
      </c>
      <c r="GJ10" s="68" t="str">
        <f t="shared" ca="1" si="203"/>
        <v>F</v>
      </c>
      <c r="GK10" s="68" t="str">
        <f t="shared" ca="1" si="203"/>
        <v>S</v>
      </c>
      <c r="GL10" s="68" t="str">
        <f t="shared" ca="1" si="203"/>
        <v>S</v>
      </c>
      <c r="GM10" s="68" t="str">
        <f t="shared" ref="GM10:IX10" ca="1" si="204">LEFT(TEXT(GM8,"ddd"),1)</f>
        <v>M</v>
      </c>
      <c r="GN10" s="68" t="str">
        <f t="shared" ca="1" si="204"/>
        <v>T</v>
      </c>
      <c r="GO10" s="68" t="str">
        <f t="shared" ca="1" si="204"/>
        <v>W</v>
      </c>
      <c r="GP10" s="68" t="str">
        <f t="shared" ca="1" si="204"/>
        <v>T</v>
      </c>
      <c r="GQ10" s="68" t="str">
        <f t="shared" ca="1" si="204"/>
        <v>F</v>
      </c>
      <c r="GR10" s="68" t="str">
        <f t="shared" ca="1" si="204"/>
        <v>S</v>
      </c>
      <c r="GS10" s="68" t="str">
        <f t="shared" ca="1" si="204"/>
        <v>S</v>
      </c>
      <c r="GT10" s="68" t="str">
        <f t="shared" ca="1" si="204"/>
        <v>M</v>
      </c>
      <c r="GU10" s="68" t="str">
        <f t="shared" ca="1" si="204"/>
        <v>T</v>
      </c>
      <c r="GV10" s="68" t="str">
        <f t="shared" ca="1" si="204"/>
        <v>W</v>
      </c>
      <c r="GW10" s="68" t="str">
        <f t="shared" ca="1" si="204"/>
        <v>T</v>
      </c>
      <c r="GX10" s="68" t="str">
        <f t="shared" ca="1" si="204"/>
        <v>F</v>
      </c>
      <c r="GY10" s="68" t="str">
        <f t="shared" ca="1" si="204"/>
        <v>S</v>
      </c>
      <c r="GZ10" s="68" t="str">
        <f t="shared" ca="1" si="204"/>
        <v>S</v>
      </c>
      <c r="HA10" s="68" t="str">
        <f t="shared" ca="1" si="204"/>
        <v>M</v>
      </c>
      <c r="HB10" s="68" t="str">
        <f t="shared" ca="1" si="204"/>
        <v>T</v>
      </c>
      <c r="HC10" s="68" t="str">
        <f t="shared" ca="1" si="204"/>
        <v>W</v>
      </c>
      <c r="HD10" s="68" t="str">
        <f t="shared" ca="1" si="204"/>
        <v>T</v>
      </c>
      <c r="HE10" s="68" t="str">
        <f t="shared" ca="1" si="204"/>
        <v>F</v>
      </c>
      <c r="HF10" s="68" t="str">
        <f t="shared" ca="1" si="204"/>
        <v>S</v>
      </c>
      <c r="HG10" s="68" t="str">
        <f t="shared" ca="1" si="204"/>
        <v>S</v>
      </c>
      <c r="HH10" s="68" t="str">
        <f t="shared" ca="1" si="204"/>
        <v>M</v>
      </c>
      <c r="HI10" s="68" t="str">
        <f t="shared" ca="1" si="204"/>
        <v>T</v>
      </c>
      <c r="HJ10" s="68" t="str">
        <f t="shared" ca="1" si="204"/>
        <v>W</v>
      </c>
      <c r="HK10" s="68" t="str">
        <f t="shared" ca="1" si="204"/>
        <v>T</v>
      </c>
      <c r="HL10" s="68" t="str">
        <f t="shared" ca="1" si="204"/>
        <v>F</v>
      </c>
      <c r="HM10" s="68" t="str">
        <f t="shared" ca="1" si="204"/>
        <v>S</v>
      </c>
      <c r="HN10" s="68" t="str">
        <f t="shared" ca="1" si="204"/>
        <v>S</v>
      </c>
      <c r="HO10" s="68" t="str">
        <f t="shared" ca="1" si="204"/>
        <v>M</v>
      </c>
      <c r="HP10" s="68" t="str">
        <f t="shared" ca="1" si="204"/>
        <v>T</v>
      </c>
      <c r="HQ10" s="68" t="str">
        <f t="shared" ca="1" si="204"/>
        <v>W</v>
      </c>
      <c r="HR10" s="68" t="str">
        <f t="shared" ca="1" si="204"/>
        <v>T</v>
      </c>
      <c r="HS10" s="68" t="str">
        <f t="shared" ca="1" si="204"/>
        <v>F</v>
      </c>
      <c r="HT10" s="68" t="str">
        <f t="shared" ca="1" si="204"/>
        <v>S</v>
      </c>
      <c r="HU10" s="68" t="str">
        <f t="shared" ca="1" si="204"/>
        <v>S</v>
      </c>
      <c r="HV10" s="68" t="str">
        <f t="shared" ca="1" si="204"/>
        <v>M</v>
      </c>
      <c r="HW10" s="68" t="str">
        <f t="shared" ca="1" si="204"/>
        <v>T</v>
      </c>
      <c r="HX10" s="68" t="str">
        <f t="shared" ca="1" si="204"/>
        <v>W</v>
      </c>
      <c r="HY10" s="68" t="str">
        <f t="shared" ca="1" si="204"/>
        <v>T</v>
      </c>
      <c r="HZ10" s="68" t="str">
        <f t="shared" ca="1" si="204"/>
        <v>F</v>
      </c>
      <c r="IA10" s="68" t="str">
        <f t="shared" ca="1" si="204"/>
        <v>S</v>
      </c>
      <c r="IB10" s="68" t="str">
        <f t="shared" ca="1" si="204"/>
        <v>S</v>
      </c>
      <c r="IC10" s="68" t="str">
        <f t="shared" ca="1" si="204"/>
        <v>M</v>
      </c>
      <c r="ID10" s="68" t="str">
        <f t="shared" ca="1" si="204"/>
        <v>T</v>
      </c>
      <c r="IE10" s="68" t="str">
        <f t="shared" ca="1" si="204"/>
        <v>W</v>
      </c>
      <c r="IF10" s="68" t="str">
        <f t="shared" ca="1" si="204"/>
        <v>T</v>
      </c>
      <c r="IG10" s="68" t="str">
        <f t="shared" ca="1" si="204"/>
        <v>F</v>
      </c>
      <c r="IH10" s="68" t="str">
        <f t="shared" ca="1" si="204"/>
        <v>S</v>
      </c>
      <c r="II10" s="68" t="str">
        <f t="shared" ca="1" si="204"/>
        <v>S</v>
      </c>
      <c r="IJ10" s="68" t="str">
        <f t="shared" ca="1" si="204"/>
        <v>M</v>
      </c>
      <c r="IK10" s="68" t="str">
        <f t="shared" ca="1" si="204"/>
        <v>T</v>
      </c>
      <c r="IL10" s="68" t="str">
        <f t="shared" ca="1" si="204"/>
        <v>W</v>
      </c>
      <c r="IM10" s="68" t="str">
        <f t="shared" ca="1" si="204"/>
        <v>T</v>
      </c>
      <c r="IN10" s="68" t="str">
        <f t="shared" ca="1" si="204"/>
        <v>F</v>
      </c>
      <c r="IO10" s="68" t="str">
        <f t="shared" ca="1" si="204"/>
        <v>S</v>
      </c>
      <c r="IP10" s="68" t="str">
        <f t="shared" ca="1" si="204"/>
        <v>S</v>
      </c>
      <c r="IQ10" s="68" t="str">
        <f t="shared" ca="1" si="204"/>
        <v>M</v>
      </c>
      <c r="IR10" s="68" t="str">
        <f t="shared" ca="1" si="204"/>
        <v>T</v>
      </c>
      <c r="IS10" s="68" t="str">
        <f t="shared" ca="1" si="204"/>
        <v>W</v>
      </c>
      <c r="IT10" s="68" t="str">
        <f t="shared" ca="1" si="204"/>
        <v>T</v>
      </c>
      <c r="IU10" s="68" t="str">
        <f t="shared" ca="1" si="204"/>
        <v>F</v>
      </c>
      <c r="IV10" s="68" t="str">
        <f t="shared" ca="1" si="204"/>
        <v>S</v>
      </c>
      <c r="IW10" s="68" t="str">
        <f t="shared" ca="1" si="204"/>
        <v>S</v>
      </c>
      <c r="IX10" s="68" t="str">
        <f t="shared" ca="1" si="204"/>
        <v>M</v>
      </c>
      <c r="IY10" s="68" t="str">
        <f t="shared" ref="IY10:LD10" ca="1" si="205">LEFT(TEXT(IY8,"ddd"),1)</f>
        <v>T</v>
      </c>
      <c r="IZ10" s="68" t="str">
        <f t="shared" ca="1" si="205"/>
        <v>W</v>
      </c>
      <c r="JA10" s="68" t="str">
        <f t="shared" ca="1" si="205"/>
        <v>T</v>
      </c>
      <c r="JB10" s="68" t="str">
        <f t="shared" ca="1" si="205"/>
        <v>F</v>
      </c>
      <c r="JC10" s="68" t="str">
        <f t="shared" ca="1" si="205"/>
        <v>S</v>
      </c>
      <c r="JD10" s="68" t="str">
        <f t="shared" ca="1" si="205"/>
        <v>S</v>
      </c>
      <c r="JE10" s="68" t="str">
        <f t="shared" ca="1" si="205"/>
        <v>M</v>
      </c>
      <c r="JF10" s="68" t="str">
        <f t="shared" ca="1" si="205"/>
        <v>T</v>
      </c>
      <c r="JG10" s="68" t="str">
        <f t="shared" ca="1" si="205"/>
        <v>W</v>
      </c>
      <c r="JH10" s="68" t="str">
        <f t="shared" ca="1" si="205"/>
        <v>T</v>
      </c>
      <c r="JI10" s="68" t="str">
        <f t="shared" ca="1" si="205"/>
        <v>F</v>
      </c>
      <c r="JJ10" s="68" t="str">
        <f t="shared" ca="1" si="205"/>
        <v>S</v>
      </c>
      <c r="JK10" s="68" t="str">
        <f t="shared" ca="1" si="205"/>
        <v>S</v>
      </c>
      <c r="JL10" s="68" t="str">
        <f t="shared" ca="1" si="205"/>
        <v>M</v>
      </c>
      <c r="JM10" s="68" t="str">
        <f t="shared" ca="1" si="205"/>
        <v>T</v>
      </c>
      <c r="JN10" s="68" t="str">
        <f t="shared" ca="1" si="205"/>
        <v>W</v>
      </c>
      <c r="JO10" s="68" t="str">
        <f t="shared" ca="1" si="205"/>
        <v>T</v>
      </c>
      <c r="JP10" s="68" t="str">
        <f t="shared" ca="1" si="205"/>
        <v>F</v>
      </c>
      <c r="JQ10" s="68" t="str">
        <f t="shared" ca="1" si="205"/>
        <v>S</v>
      </c>
      <c r="JR10" s="68" t="str">
        <f t="shared" ca="1" si="205"/>
        <v>S</v>
      </c>
      <c r="JS10" s="68" t="str">
        <f t="shared" ca="1" si="205"/>
        <v>M</v>
      </c>
      <c r="JT10" s="68" t="str">
        <f t="shared" ca="1" si="205"/>
        <v>T</v>
      </c>
      <c r="JU10" s="68" t="str">
        <f t="shared" ca="1" si="205"/>
        <v>W</v>
      </c>
      <c r="JV10" s="68" t="str">
        <f t="shared" ca="1" si="205"/>
        <v>T</v>
      </c>
      <c r="JW10" s="68" t="str">
        <f t="shared" ca="1" si="205"/>
        <v>F</v>
      </c>
      <c r="JX10" s="68" t="str">
        <f t="shared" ca="1" si="205"/>
        <v>S</v>
      </c>
      <c r="JY10" s="68" t="str">
        <f t="shared" ca="1" si="205"/>
        <v>S</v>
      </c>
      <c r="JZ10" s="68" t="str">
        <f t="shared" ca="1" si="205"/>
        <v>M</v>
      </c>
      <c r="KA10" s="68" t="str">
        <f t="shared" ca="1" si="205"/>
        <v>T</v>
      </c>
      <c r="KB10" s="68" t="str">
        <f t="shared" ca="1" si="205"/>
        <v>W</v>
      </c>
      <c r="KC10" s="68" t="str">
        <f t="shared" ca="1" si="205"/>
        <v>T</v>
      </c>
      <c r="KD10" s="68" t="str">
        <f t="shared" ca="1" si="205"/>
        <v>F</v>
      </c>
      <c r="KE10" s="68" t="str">
        <f t="shared" ca="1" si="205"/>
        <v>S</v>
      </c>
      <c r="KF10" s="68" t="str">
        <f t="shared" ca="1" si="205"/>
        <v>S</v>
      </c>
      <c r="KG10" s="68" t="str">
        <f t="shared" ca="1" si="205"/>
        <v>M</v>
      </c>
      <c r="KH10" s="68" t="str">
        <f t="shared" ca="1" si="205"/>
        <v>T</v>
      </c>
      <c r="KI10" s="68" t="str">
        <f t="shared" ca="1" si="205"/>
        <v>W</v>
      </c>
      <c r="KJ10" s="68" t="str">
        <f t="shared" ca="1" si="205"/>
        <v>T</v>
      </c>
      <c r="KK10" s="68" t="str">
        <f t="shared" ca="1" si="205"/>
        <v>F</v>
      </c>
      <c r="KL10" s="68" t="str">
        <f t="shared" ca="1" si="205"/>
        <v>S</v>
      </c>
      <c r="KM10" s="68" t="str">
        <f t="shared" ca="1" si="205"/>
        <v>S</v>
      </c>
      <c r="KN10" s="68" t="str">
        <f t="shared" ca="1" si="205"/>
        <v>M</v>
      </c>
      <c r="KO10" s="68" t="str">
        <f t="shared" ca="1" si="205"/>
        <v>T</v>
      </c>
      <c r="KP10" s="68" t="str">
        <f t="shared" ca="1" si="205"/>
        <v>W</v>
      </c>
      <c r="KQ10" s="68" t="str">
        <f t="shared" ca="1" si="205"/>
        <v>T</v>
      </c>
      <c r="KR10" s="68" t="str">
        <f t="shared" ca="1" si="205"/>
        <v>F</v>
      </c>
      <c r="KS10" s="68" t="str">
        <f t="shared" ca="1" si="205"/>
        <v>S</v>
      </c>
      <c r="KT10" s="68" t="str">
        <f t="shared" ca="1" si="205"/>
        <v>S</v>
      </c>
      <c r="KU10" s="68" t="str">
        <f t="shared" ca="1" si="205"/>
        <v>M</v>
      </c>
      <c r="KV10" s="68" t="str">
        <f t="shared" ca="1" si="205"/>
        <v>T</v>
      </c>
      <c r="KW10" s="68" t="str">
        <f t="shared" ca="1" si="205"/>
        <v>W</v>
      </c>
      <c r="KX10" s="68" t="str">
        <f t="shared" ca="1" si="205"/>
        <v>T</v>
      </c>
      <c r="KY10" s="68" t="str">
        <f t="shared" ca="1" si="205"/>
        <v>F</v>
      </c>
      <c r="KZ10" s="68" t="str">
        <f t="shared" ca="1" si="205"/>
        <v>S</v>
      </c>
      <c r="LA10" s="68" t="str">
        <f t="shared" ca="1" si="205"/>
        <v>S</v>
      </c>
      <c r="LB10" s="68" t="str">
        <f t="shared" ca="1" si="205"/>
        <v>M</v>
      </c>
      <c r="LC10" s="68" t="str">
        <f t="shared" ca="1" si="205"/>
        <v>T</v>
      </c>
      <c r="LD10" s="68" t="str">
        <f t="shared" ca="1" si="205"/>
        <v>W</v>
      </c>
      <c r="LE10" s="68" t="str">
        <f t="shared" ref="LE10:LX10" ca="1" si="206">LEFT(TEXT(LE8,"ddd"),1)</f>
        <v>T</v>
      </c>
      <c r="LF10" s="68" t="str">
        <f t="shared" ca="1" si="206"/>
        <v>F</v>
      </c>
      <c r="LG10" s="68" t="str">
        <f t="shared" ca="1" si="206"/>
        <v>S</v>
      </c>
      <c r="LH10" s="68" t="str">
        <f t="shared" ca="1" si="206"/>
        <v>S</v>
      </c>
      <c r="LI10" s="68" t="str">
        <f t="shared" ca="1" si="206"/>
        <v>M</v>
      </c>
      <c r="LJ10" s="68" t="str">
        <f t="shared" ca="1" si="206"/>
        <v>T</v>
      </c>
      <c r="LK10" s="68" t="str">
        <f t="shared" ca="1" si="206"/>
        <v>W</v>
      </c>
      <c r="LL10" s="68" t="str">
        <f t="shared" ca="1" si="206"/>
        <v>T</v>
      </c>
      <c r="LM10" s="68" t="str">
        <f t="shared" ca="1" si="206"/>
        <v>F</v>
      </c>
      <c r="LN10" s="68" t="str">
        <f t="shared" ca="1" si="206"/>
        <v>S</v>
      </c>
      <c r="LO10" s="68" t="str">
        <f t="shared" ca="1" si="206"/>
        <v>S</v>
      </c>
      <c r="LP10" s="68" t="str">
        <f t="shared" ca="1" si="206"/>
        <v>M</v>
      </c>
      <c r="LQ10" s="68" t="str">
        <f t="shared" ca="1" si="206"/>
        <v>T</v>
      </c>
      <c r="LR10" s="68" t="str">
        <f t="shared" ca="1" si="206"/>
        <v>W</v>
      </c>
      <c r="LS10" s="68" t="str">
        <f t="shared" ca="1" si="206"/>
        <v>T</v>
      </c>
      <c r="LT10" s="68" t="str">
        <f t="shared" ca="1" si="206"/>
        <v>F</v>
      </c>
      <c r="LU10" s="68" t="str">
        <f t="shared" ca="1" si="206"/>
        <v>S</v>
      </c>
      <c r="LV10" s="68" t="str">
        <f t="shared" ca="1" si="206"/>
        <v>S</v>
      </c>
      <c r="LW10" s="68" t="str">
        <f t="shared" ca="1" si="206"/>
        <v>M</v>
      </c>
      <c r="LX10" s="68" t="str">
        <f t="shared" ca="1" si="206"/>
        <v>T</v>
      </c>
    </row>
    <row r="11" spans="1:336" s="1" customFormat="1" ht="27.5" customHeight="1" x14ac:dyDescent="0.25">
      <c r="A11" s="60">
        <v>1</v>
      </c>
      <c r="B11" s="75" t="s">
        <v>16</v>
      </c>
      <c r="C11" s="53"/>
      <c r="D11" s="53"/>
      <c r="E11" s="53"/>
      <c r="F11" s="10"/>
      <c r="G11" s="71">
        <v>45921</v>
      </c>
      <c r="H11" s="12"/>
      <c r="I11" s="12" t="str">
        <f t="shared" ref="I11:I56" si="207">IF(OR(G11="",H11=""),"",NETWORKDAYS(G11,G11+H11))</f>
        <v/>
      </c>
      <c r="J11" s="12" t="str">
        <f ca="1">IF(OR(Milestones4352[[#This Row],[Start]]="",Milestones4352[[#This Row],[Days]]=""),"",(Milestones4352[[#This Row],[Start]]+Milestones4352[[#This Row],[Days]])-TODAY())</f>
        <v/>
      </c>
      <c r="K11" s="9"/>
      <c r="L11" s="69" t="str">
        <f ca="1">IF(AND($C11="Goal",L$8&gt;=$G11,L$8&lt;=$G11+$H11-1),2,IF(AND($C11="Milestone",L$8&gt;=$G11,L$8&lt;=$G11+$H11-1),1,""))</f>
        <v/>
      </c>
      <c r="M11" s="69" t="str">
        <f ca="1">IF(AND($C11="Goal",M$8&gt;=$G11,M$8&lt;=$G11+$H11-1),2,IF(AND($C11="Milestone",M$8&gt;=$G11,M$8&lt;=$G11+$H11-1),1,""))</f>
        <v/>
      </c>
      <c r="N11" s="69" t="str">
        <f ca="1">IF(AND($C11="Goal",N$8&gt;=$G11,N$8&lt;=$G11+$H11-1),2,IF(AND($C11="Milestone",N$8&gt;=$G11,N$8&lt;=$G11+$H11-1),1,""))</f>
        <v/>
      </c>
      <c r="O11" s="69" t="str">
        <f ca="1">IF(AND($C11="Goal",O$8&gt;=$G11,O$8&lt;=$G11+$H11-1),2,IF(AND($C11="Milestone",O$8&gt;=$G11,O$8&lt;=$G11+$H11-1),1,""))</f>
        <v/>
      </c>
      <c r="P11" s="69" t="str">
        <f ca="1">IF(AND($C11="Goal",P$8&gt;=$G11,P$8&lt;=$G11+$H11-1),2,IF(AND($C11="Milestone",P$8&gt;=$G11,P$8&lt;=$G11+$H11-1),1,""))</f>
        <v/>
      </c>
      <c r="Q11" s="69" t="str">
        <f ca="1">IF(AND($C11="Goal",Q$8&gt;=$G11,Q$8&lt;=$G11+$H11-1),2,IF(AND($C11="Milestone",Q$8&gt;=$G11,Q$8&lt;=$G11+$H11-1),1,""))</f>
        <v/>
      </c>
      <c r="R11" s="69" t="str">
        <f ca="1">IF(AND($C11="Goal",R$8&gt;=$G11,R$8&lt;=$G11+$H11-1),2,IF(AND($C11="Milestone",R$8&gt;=$G11,R$8&lt;=$G11+$H11-1),1,""))</f>
        <v/>
      </c>
      <c r="S11" s="69" t="str">
        <f ca="1">IF(AND($C11="Goal",S$8&gt;=$G11,S$8&lt;=$G11+$H11-1),2,IF(AND($C11="Milestone",S$8&gt;=$G11,S$8&lt;=$G11+$H11-1),1,""))</f>
        <v/>
      </c>
      <c r="T11" s="69" t="str">
        <f ca="1">IF(AND($C11="Goal",T$8&gt;=$G11,T$8&lt;=$G11+$H11-1),2,IF(AND($C11="Milestone",T$8&gt;=$G11,T$8&lt;=$G11+$H11-1),1,""))</f>
        <v/>
      </c>
      <c r="U11" s="69" t="str">
        <f ca="1">IF(AND($C11="Goal",U$8&gt;=$G11,U$8&lt;=$G11+$H11-1),2,IF(AND($C11="Milestone",U$8&gt;=$G11,U$8&lt;=$G11+$H11-1),1,""))</f>
        <v/>
      </c>
      <c r="V11" s="69" t="str">
        <f ca="1">IF(AND($C11="Goal",V$8&gt;=$G11,V$8&lt;=$G11+$H11-1),2,IF(AND($C11="Milestone",V$8&gt;=$G11,V$8&lt;=$G11+$H11-1),1,""))</f>
        <v/>
      </c>
      <c r="W11" s="69" t="str">
        <f ca="1">IF(AND($C11="Goal",W$8&gt;=$G11,W$8&lt;=$G11+$H11-1),2,IF(AND($C11="Milestone",W$8&gt;=$G11,W$8&lt;=$G11+$H11-1),1,""))</f>
        <v/>
      </c>
      <c r="X11" s="69" t="str">
        <f ca="1">IF(AND($C11="Goal",X$8&gt;=$G11,X$8&lt;=$G11+$H11-1),2,IF(AND($C11="Milestone",X$8&gt;=$G11,X$8&lt;=$G11+$H11-1),1,""))</f>
        <v/>
      </c>
      <c r="Y11" s="69" t="str">
        <f ca="1">IF(AND($C11="Goal",Y$8&gt;=$G11,Y$8&lt;=$G11+$H11-1),2,IF(AND($C11="Milestone",Y$8&gt;=$G11,Y$8&lt;=$G11+$H11-1),1,""))</f>
        <v/>
      </c>
      <c r="Z11" s="69" t="str">
        <f ca="1">IF(AND($C11="Goal",Z$8&gt;=$G11,Z$8&lt;=$G11+$H11-1),2,IF(AND($C11="Milestone",Z$8&gt;=$G11,Z$8&lt;=$G11+$H11-1),1,""))</f>
        <v/>
      </c>
      <c r="AA11" s="69" t="str">
        <f ca="1">IF(AND($C11="Goal",AA$8&gt;=$G11,AA$8&lt;=$G11+$H11-1),2,IF(AND($C11="Milestone",AA$8&gt;=$G11,AA$8&lt;=$G11+$H11-1),1,""))</f>
        <v/>
      </c>
      <c r="AB11" s="69" t="str">
        <f ca="1">IF(AND($C11="Goal",AB$8&gt;=$G11,AB$8&lt;=$G11+$H11-1),2,IF(AND($C11="Milestone",AB$8&gt;=$G11,AB$8&lt;=$G11+$H11-1),1,""))</f>
        <v/>
      </c>
      <c r="AC11" s="69" t="str">
        <f ca="1">IF(AND($C11="Goal",AC$8&gt;=$G11,AC$8&lt;=$G11+$H11-1),2,IF(AND($C11="Milestone",AC$8&gt;=$G11,AC$8&lt;=$G11+$H11-1),1,""))</f>
        <v/>
      </c>
      <c r="AD11" s="69" t="str">
        <f ca="1">IF(AND($C11="Goal",AD$8&gt;=$G11,AD$8&lt;=$G11+$H11-1),2,IF(AND($C11="Milestone",AD$8&gt;=$G11,AD$8&lt;=$G11+$H11-1),1,""))</f>
        <v/>
      </c>
      <c r="AE11" s="69" t="str">
        <f ca="1">IF(AND($C11="Goal",AE$8&gt;=$G11,AE$8&lt;=$G11+$H11-1),2,IF(AND($C11="Milestone",AE$8&gt;=$G11,AE$8&lt;=$G11+$H11-1),1,""))</f>
        <v/>
      </c>
      <c r="AF11" s="69" t="str">
        <f ca="1">IF(AND($C11="Goal",AF$8&gt;=$G11,AF$8&lt;=$G11+$H11-1),2,IF(AND($C11="Milestone",AF$8&gt;=$G11,AF$8&lt;=$G11+$H11-1),1,""))</f>
        <v/>
      </c>
      <c r="AG11" s="69" t="str">
        <f ca="1">IF(AND($C11="Goal",AG$8&gt;=$G11,AG$8&lt;=$G11+$H11-1),2,IF(AND($C11="Milestone",AG$8&gt;=$G11,AG$8&lt;=$G11+$H11-1),1,""))</f>
        <v/>
      </c>
      <c r="AH11" s="69" t="str">
        <f ca="1">IF(AND($C11="Goal",AH$8&gt;=$G11,AH$8&lt;=$G11+$H11-1),2,IF(AND($C11="Milestone",AH$8&gt;=$G11,AH$8&lt;=$G11+$H11-1),1,""))</f>
        <v/>
      </c>
      <c r="AI11" s="69" t="str">
        <f ca="1">IF(AND($C11="Goal",AI$8&gt;=$G11,AI$8&lt;=$G11+$H11-1),2,IF(AND($C11="Milestone",AI$8&gt;=$G11,AI$8&lt;=$G11+$H11-1),1,""))</f>
        <v/>
      </c>
      <c r="AJ11" s="69" t="str">
        <f ca="1">IF(AND($C11="Goal",AJ$8&gt;=$G11,AJ$8&lt;=$G11+$H11-1),2,IF(AND($C11="Milestone",AJ$8&gt;=$G11,AJ$8&lt;=$G11+$H11-1),1,""))</f>
        <v/>
      </c>
      <c r="AK11" s="69" t="str">
        <f ca="1">IF(AND($C11="Goal",AK$8&gt;=$G11,AK$8&lt;=$G11+$H11-1),2,IF(AND($C11="Milestone",AK$8&gt;=$G11,AK$8&lt;=$G11+$H11-1),1,""))</f>
        <v/>
      </c>
      <c r="AL11" s="69" t="str">
        <f ca="1">IF(AND($C11="Goal",AL$8&gt;=$G11,AL$8&lt;=$G11+$H11-1),2,IF(AND($C11="Milestone",AL$8&gt;=$G11,AL$8&lt;=$G11+$H11-1),1,""))</f>
        <v/>
      </c>
      <c r="AM11" s="69" t="str">
        <f ca="1">IF(AND($C11="Goal",AM$8&gt;=$G11,AM$8&lt;=$G11+$H11-1),2,IF(AND($C11="Milestone",AM$8&gt;=$G11,AM$8&lt;=$G11+$H11-1),1,""))</f>
        <v/>
      </c>
      <c r="AN11" s="69" t="str">
        <f ca="1">IF(AND($C11="Goal",AN$8&gt;=$G11,AN$8&lt;=$G11+$H11-1),2,IF(AND($C11="Milestone",AN$8&gt;=$G11,AN$8&lt;=$G11+$H11-1),1,""))</f>
        <v/>
      </c>
      <c r="AO11" s="69" t="str">
        <f ca="1">IF(AND($C11="Goal",AO$8&gt;=$G11,AO$8&lt;=$G11+$H11-1),2,IF(AND($C11="Milestone",AO$8&gt;=$G11,AO$8&lt;=$G11+$H11-1),1,""))</f>
        <v/>
      </c>
      <c r="AP11" s="69" t="str">
        <f ca="1">IF(AND($C11="Goal",AP$8&gt;=$G11,AP$8&lt;=$G11+$H11-1),2,IF(AND($C11="Milestone",AP$8&gt;=$G11,AP$8&lt;=$G11+$H11-1),1,""))</f>
        <v/>
      </c>
      <c r="AQ11" s="69" t="str">
        <f ca="1">IF(AND($C11="Goal",AQ$8&gt;=$G11,AQ$8&lt;=$G11+$H11-1),2,IF(AND($C11="Milestone",AQ$8&gt;=$G11,AQ$8&lt;=$G11+$H11-1),1,""))</f>
        <v/>
      </c>
      <c r="AR11" s="69" t="str">
        <f ca="1">IF(AND($C11="Goal",AR$8&gt;=$G11,AR$8&lt;=$G11+$H11-1),2,IF(AND($C11="Milestone",AR$8&gt;=$G11,AR$8&lt;=$G11+$H11-1),1,""))</f>
        <v/>
      </c>
      <c r="AS11" s="69" t="str">
        <f ca="1">IF(AND($C11="Goal",AS$8&gt;=$G11,AS$8&lt;=$G11+$H11-1),2,IF(AND($C11="Milestone",AS$8&gt;=$G11,AS$8&lt;=$G11+$H11-1),1,""))</f>
        <v/>
      </c>
      <c r="AT11" s="69" t="str">
        <f ca="1">IF(AND($C11="Goal",AT$8&gt;=$G11,AT$8&lt;=$G11+$H11-1),2,IF(AND($C11="Milestone",AT$8&gt;=$G11,AT$8&lt;=$G11+$H11-1),1,""))</f>
        <v/>
      </c>
      <c r="AU11" s="69" t="str">
        <f ca="1">IF(AND($C11="Goal",AU$8&gt;=$G11,AU$8&lt;=$G11+$H11-1),2,IF(AND($C11="Milestone",AU$8&gt;=$G11,AU$8&lt;=$G11+$H11-1),1,""))</f>
        <v/>
      </c>
      <c r="AV11" s="69" t="str">
        <f ca="1">IF(AND($C11="Goal",AV$8&gt;=$G11,AV$8&lt;=$G11+$H11-1),2,IF(AND($C11="Milestone",AV$8&gt;=$G11,AV$8&lt;=$G11+$H11-1),1,""))</f>
        <v/>
      </c>
      <c r="AW11" s="69" t="str">
        <f ca="1">IF(AND($C11="Goal",AW$8&gt;=$G11,AW$8&lt;=$G11+$H11-1),2,IF(AND($C11="Milestone",AW$8&gt;=$G11,AW$8&lt;=$G11+$H11-1),1,""))</f>
        <v/>
      </c>
      <c r="AX11" s="69" t="str">
        <f ca="1">IF(AND($C11="Goal",AX$8&gt;=$G11,AX$8&lt;=$G11+$H11-1),2,IF(AND($C11="Milestone",AX$8&gt;=$G11,AX$8&lt;=$G11+$H11-1),1,""))</f>
        <v/>
      </c>
      <c r="AY11" s="69" t="str">
        <f ca="1">IF(AND($C11="Goal",AY$8&gt;=$G11,AY$8&lt;=$G11+$H11-1),2,IF(AND($C11="Milestone",AY$8&gt;=$G11,AY$8&lt;=$G11+$H11-1),1,""))</f>
        <v/>
      </c>
      <c r="AZ11" s="69" t="str">
        <f ca="1">IF(AND($C11="Goal",AZ$8&gt;=$G11,AZ$8&lt;=$G11+$H11-1),2,IF(AND($C11="Milestone",AZ$8&gt;=$G11,AZ$8&lt;=$G11+$H11-1),1,""))</f>
        <v/>
      </c>
      <c r="BA11" s="69" t="str">
        <f ca="1">IF(AND($C11="Goal",BA$8&gt;=$G11,BA$8&lt;=$G11+$H11-1),2,IF(AND($C11="Milestone",BA$8&gt;=$G11,BA$8&lt;=$G11+$H11-1),1,""))</f>
        <v/>
      </c>
      <c r="BB11" s="69" t="str">
        <f ca="1">IF(AND($C11="Goal",BB$8&gt;=$G11,BB$8&lt;=$G11+$H11-1),2,IF(AND($C11="Milestone",BB$8&gt;=$G11,BB$8&lt;=$G11+$H11-1),1,""))</f>
        <v/>
      </c>
      <c r="BC11" s="69" t="str">
        <f ca="1">IF(AND($C11="Goal",BC$8&gt;=$G11,BC$8&lt;=$G11+$H11-1),2,IF(AND($C11="Milestone",BC$8&gt;=$G11,BC$8&lt;=$G11+$H11-1),1,""))</f>
        <v/>
      </c>
      <c r="BD11" s="69" t="str">
        <f ca="1">IF(AND($C11="Goal",BD$8&gt;=$G11,BD$8&lt;=$G11+$H11-1),2,IF(AND($C11="Milestone",BD$8&gt;=$G11,BD$8&lt;=$G11+$H11-1),1,""))</f>
        <v/>
      </c>
      <c r="BE11" s="69" t="str">
        <f ca="1">IF(AND($C11="Goal",BE$8&gt;=$G11,BE$8&lt;=$G11+$H11-1),2,IF(AND($C11="Milestone",BE$8&gt;=$G11,BE$8&lt;=$G11+$H11-1),1,""))</f>
        <v/>
      </c>
      <c r="BF11" s="69" t="str">
        <f ca="1">IF(AND($C11="Goal",BF$8&gt;=$G11,BF$8&lt;=$G11+$H11-1),2,IF(AND($C11="Milestone",BF$8&gt;=$G11,BF$8&lt;=$G11+$H11-1),1,""))</f>
        <v/>
      </c>
      <c r="BG11" s="69" t="str">
        <f ca="1">IF(AND($C11="Goal",BG$8&gt;=$G11,BG$8&lt;=$G11+$H11-1),2,IF(AND($C11="Milestone",BG$8&gt;=$G11,BG$8&lt;=$G11+$H11-1),1,""))</f>
        <v/>
      </c>
      <c r="BH11" s="69" t="str">
        <f ca="1">IF(AND($C11="Goal",BH$8&gt;=$G11,BH$8&lt;=$G11+$H11-1),2,IF(AND($C11="Milestone",BH$8&gt;=$G11,BH$8&lt;=$G11+$H11-1),1,""))</f>
        <v/>
      </c>
      <c r="BI11" s="69" t="str">
        <f ca="1">IF(AND($C11="Goal",BI$8&gt;=$G11,BI$8&lt;=$G11+$H11-1),2,IF(AND($C11="Milestone",BI$8&gt;=$G11,BI$8&lt;=$G11+$H11-1),1,""))</f>
        <v/>
      </c>
      <c r="BJ11" s="69" t="str">
        <f ca="1">IF(AND($C11="Goal",BJ$8&gt;=$G11,BJ$8&lt;=$G11+$H11-1),2,IF(AND($C11="Milestone",BJ$8&gt;=$G11,BJ$8&lt;=$G11+$H11-1),1,""))</f>
        <v/>
      </c>
      <c r="BK11" s="69" t="str">
        <f ca="1">IF(AND($C11="Goal",BK$8&gt;=$G11,BK$8&lt;=$G11+$H11-1),2,IF(AND($C11="Milestone",BK$8&gt;=$G11,BK$8&lt;=$G11+$H11-1),1,""))</f>
        <v/>
      </c>
      <c r="BL11" s="69" t="str">
        <f ca="1">IF(AND($C11="Goal",BL$8&gt;=$G11,BL$8&lt;=$G11+$H11-1),2,IF(AND($C11="Milestone",BL$8&gt;=$G11,BL$8&lt;=$G11+$H11-1),1,""))</f>
        <v/>
      </c>
      <c r="BM11" s="69" t="str">
        <f ca="1">IF(AND($C11="Goal",BM$8&gt;=$G11,BM$8&lt;=$G11+$H11-1),2,IF(AND($C11="Milestone",BM$8&gt;=$G11,BM$8&lt;=$G11+$H11-1),1,""))</f>
        <v/>
      </c>
      <c r="BN11" s="69" t="str">
        <f ca="1">IF(AND($C11="Goal",BN$8&gt;=$G11,BN$8&lt;=$G11+$H11-1),2,IF(AND($C11="Milestone",BN$8&gt;=$G11,BN$8&lt;=$G11+$H11-1),1,""))</f>
        <v/>
      </c>
      <c r="BO11" s="69" t="str">
        <f ca="1">IF(AND($C11="Goal",BO$8&gt;=$G11,BO$8&lt;=$G11+$H11-1),2,IF(AND($C11="Milestone",BO$8&gt;=$G11,BO$8&lt;=$G11+$H11-1),1,""))</f>
        <v/>
      </c>
      <c r="BP11" s="69" t="str">
        <f ca="1">IF(AND($C11="Goal",BP$8&gt;=$G11,BP$8&lt;=$G11+$H11-1),2,IF(AND($C11="Milestone",BP$8&gt;=$G11,BP$8&lt;=$G11+$H11-1),1,""))</f>
        <v/>
      </c>
      <c r="BQ11" s="69" t="str">
        <f ca="1">IF(AND($C11="Goal",BQ$8&gt;=$G11,BQ$8&lt;=$G11+$H11-1),2,IF(AND($C11="Milestone",BQ$8&gt;=$G11,BQ$8&lt;=$G11+$H11-1),1,""))</f>
        <v/>
      </c>
      <c r="BR11" s="69" t="str">
        <f ca="1">IF(AND($C11="Goal",BR$8&gt;=$G11,BR$8&lt;=$G11+$H11-1),2,IF(AND($C11="Milestone",BR$8&gt;=$G11,BR$8&lt;=$G11+$H11-1),1,""))</f>
        <v/>
      </c>
      <c r="BS11" s="69" t="str">
        <f ca="1">IF(AND($C11="Goal",BS$8&gt;=$G11,BS$8&lt;=$G11+$H11-1),2,IF(AND($C11="Milestone",BS$8&gt;=$G11,BS$8&lt;=$G11+$H11-1),1,""))</f>
        <v/>
      </c>
      <c r="BT11" s="69" t="str">
        <f ca="1">IF(AND($C11="Goal",BT$8&gt;=$G11,BT$8&lt;=$G11+$H11-1),2,IF(AND($C11="Milestone",BT$8&gt;=$G11,BT$8&lt;=$G11+$H11-1),1,""))</f>
        <v/>
      </c>
      <c r="BU11" s="69" t="str">
        <f ca="1">IF(AND($C11="Goal",BU$8&gt;=$G11,BU$8&lt;=$G11+$H11-1),2,IF(AND($C11="Milestone",BU$8&gt;=$G11,BU$8&lt;=$G11+$H11-1),1,""))</f>
        <v/>
      </c>
      <c r="BV11" s="69" t="str">
        <f ca="1">IF(AND($C11="Goal",BV$8&gt;=$G11,BV$8&lt;=$G11+$H11-1),2,IF(AND($C11="Milestone",BV$8&gt;=$G11,BV$8&lt;=$G11+$H11-1),1,""))</f>
        <v/>
      </c>
      <c r="BW11" s="69" t="str">
        <f ca="1">IF(AND($C11="Goal",BW$8&gt;=$G11,BW$8&lt;=$G11+$H11-1),2,IF(AND($C11="Milestone",BW$8&gt;=$G11,BW$8&lt;=$G11+$H11-1),1,""))</f>
        <v/>
      </c>
      <c r="BX11" s="69" t="str">
        <f ca="1">IF(AND($C11="Goal",BX$8&gt;=$G11,BX$8&lt;=$G11+$H11-1),2,IF(AND($C11="Milestone",BX$8&gt;=$G11,BX$8&lt;=$G11+$H11-1),1,""))</f>
        <v/>
      </c>
      <c r="BY11" s="69" t="str">
        <f ca="1">IF(AND($C11="Goal",BY$8&gt;=$G11,BY$8&lt;=$G11+$H11-1),2,IF(AND($C11="Milestone",BY$8&gt;=$G11,BY$8&lt;=$G11+$H11-1),1,""))</f>
        <v/>
      </c>
      <c r="BZ11" s="69" t="str">
        <f ca="1">IF(AND($C11="Goal",BZ$8&gt;=$G11,BZ$8&lt;=$G11+$H11-1),2,IF(AND($C11="Milestone",BZ$8&gt;=$G11,BZ$8&lt;=$G11+$H11-1),1,""))</f>
        <v/>
      </c>
      <c r="CA11" s="69" t="str">
        <f ca="1">IF(AND($C11="Goal",CA$8&gt;=$G11,CA$8&lt;=$G11+$H11-1),2,IF(AND($C11="Milestone",CA$8&gt;=$G11,CA$8&lt;=$G11+$H11-1),1,""))</f>
        <v/>
      </c>
      <c r="CB11" s="69" t="str">
        <f ca="1">IF(AND($C11="Goal",CB$8&gt;=$G11,CB$8&lt;=$G11+$H11-1),2,IF(AND($C11="Milestone",CB$8&gt;=$G11,CB$8&lt;=$G11+$H11-1),1,""))</f>
        <v/>
      </c>
      <c r="CC11" s="69" t="str">
        <f ca="1">IF(AND($C11="Goal",CC$8&gt;=$G11,CC$8&lt;=$G11+$H11-1),2,IF(AND($C11="Milestone",CC$8&gt;=$G11,CC$8&lt;=$G11+$H11-1),1,""))</f>
        <v/>
      </c>
      <c r="CD11" s="69" t="str">
        <f ca="1">IF(AND($C11="Goal",CD$8&gt;=$G11,CD$8&lt;=$G11+$H11-1),2,IF(AND($C11="Milestone",CD$8&gt;=$G11,CD$8&lt;=$G11+$H11-1),1,""))</f>
        <v/>
      </c>
      <c r="CE11" s="69" t="str">
        <f ca="1">IF(AND($C11="Goal",CE$8&gt;=$G11,CE$8&lt;=$G11+$H11-1),2,IF(AND($C11="Milestone",CE$8&gt;=$G11,CE$8&lt;=$G11+$H11-1),1,""))</f>
        <v/>
      </c>
      <c r="CF11" s="69" t="str">
        <f ca="1">IF(AND($C11="Goal",CF$8&gt;=$G11,CF$8&lt;=$G11+$H11-1),2,IF(AND($C11="Milestone",CF$8&gt;=$G11,CF$8&lt;=$G11+$H11-1),1,""))</f>
        <v/>
      </c>
      <c r="CG11" s="69" t="str">
        <f ca="1">IF(AND($C11="Goal",CG$8&gt;=$G11,CG$8&lt;=$G11+$H11-1),2,IF(AND($C11="Milestone",CG$8&gt;=$G11,CG$8&lt;=$G11+$H11-1),1,""))</f>
        <v/>
      </c>
      <c r="CH11" s="69" t="str">
        <f ca="1">IF(AND($C11="Goal",CH$8&gt;=$G11,CH$8&lt;=$G11+$H11-1),2,IF(AND($C11="Milestone",CH$8&gt;=$G11,CH$8&lt;=$G11+$H11-1),1,""))</f>
        <v/>
      </c>
      <c r="CI11" s="69" t="str">
        <f ca="1">IF(AND($C11="Goal",CI$8&gt;=$G11,CI$8&lt;=$G11+$H11-1),2,IF(AND($C11="Milestone",CI$8&gt;=$G11,CI$8&lt;=$G11+$H11-1),1,""))</f>
        <v/>
      </c>
      <c r="CJ11" s="69" t="str">
        <f ca="1">IF(AND($C11="Goal",CJ$8&gt;=$G11,CJ$8&lt;=$G11+$H11-1),2,IF(AND($C11="Milestone",CJ$8&gt;=$G11,CJ$8&lt;=$G11+$H11-1),1,""))</f>
        <v/>
      </c>
      <c r="CK11" s="69" t="str">
        <f ca="1">IF(AND($C11="Goal",CK$8&gt;=$G11,CK$8&lt;=$G11+$H11-1),2,IF(AND($C11="Milestone",CK$8&gt;=$G11,CK$8&lt;=$G11+$H11-1),1,""))</f>
        <v/>
      </c>
      <c r="CL11" s="69" t="str">
        <f ca="1">IF(AND($C11="Goal",CL$8&gt;=$G11,CL$8&lt;=$G11+$H11-1),2,IF(AND($C11="Milestone",CL$8&gt;=$G11,CL$8&lt;=$G11+$H11-1),1,""))</f>
        <v/>
      </c>
      <c r="CM11" s="69" t="str">
        <f ca="1">IF(AND($C11="Goal",CM$8&gt;=$G11,CM$8&lt;=$G11+$H11-1),2,IF(AND($C11="Milestone",CM$8&gt;=$G11,CM$8&lt;=$G11+$H11-1),1,""))</f>
        <v/>
      </c>
      <c r="CN11" s="69" t="str">
        <f ca="1">IF(AND($C11="Goal",CN$8&gt;=$G11,CN$8&lt;=$G11+$H11-1),2,IF(AND($C11="Milestone",CN$8&gt;=$G11,CN$8&lt;=$G11+$H11-1),1,""))</f>
        <v/>
      </c>
      <c r="CO11" s="69" t="str">
        <f ca="1">IF(AND($C11="Goal",CO$8&gt;=$G11,CO$8&lt;=$G11+$H11-1),2,IF(AND($C11="Milestone",CO$8&gt;=$G11,CO$8&lt;=$G11+$H11-1),1,""))</f>
        <v/>
      </c>
      <c r="CP11" s="69" t="str">
        <f ca="1">IF(AND($C11="Goal",CP$8&gt;=$G11,CP$8&lt;=$G11+$H11-1),2,IF(AND($C11="Milestone",CP$8&gt;=$G11,CP$8&lt;=$G11+$H11-1),1,""))</f>
        <v/>
      </c>
      <c r="CQ11" s="69" t="str">
        <f ca="1">IF(AND($C11="Goal",CQ$8&gt;=$G11,CQ$8&lt;=$G11+$H11-1),2,IF(AND($C11="Milestone",CQ$8&gt;=$G11,CQ$8&lt;=$G11+$H11-1),1,""))</f>
        <v/>
      </c>
      <c r="CR11" s="69" t="str">
        <f ca="1">IF(AND($C11="Goal",CR$8&gt;=$G11,CR$8&lt;=$G11+$H11-1),2,IF(AND($C11="Milestone",CR$8&gt;=$G11,CR$8&lt;=$G11+$H11-1),1,""))</f>
        <v/>
      </c>
      <c r="CS11" s="69" t="str">
        <f ca="1">IF(AND($C11="Goal",CS$8&gt;=$G11,CS$8&lt;=$G11+$H11-1),2,IF(AND($C11="Milestone",CS$8&gt;=$G11,CS$8&lt;=$G11+$H11-1),1,""))</f>
        <v/>
      </c>
      <c r="CT11" s="69" t="str">
        <f ca="1">IF(AND($C11="Goal",CT$8&gt;=$G11,CT$8&lt;=$G11+$H11-1),2,IF(AND($C11="Milestone",CT$8&gt;=$G11,CT$8&lt;=$G11+$H11-1),1,""))</f>
        <v/>
      </c>
      <c r="CU11" s="69" t="str">
        <f ca="1">IF(AND($C11="Goal",CU$8&gt;=$G11,CU$8&lt;=$G11+$H11-1),2,IF(AND($C11="Milestone",CU$8&gt;=$G11,CU$8&lt;=$G11+$H11-1),1,""))</f>
        <v/>
      </c>
      <c r="CV11" s="69" t="str">
        <f ca="1">IF(AND($C11="Goal",CV$8&gt;=$G11,CV$8&lt;=$G11+$H11-1),2,IF(AND($C11="Milestone",CV$8&gt;=$G11,CV$8&lt;=$G11+$H11-1),1,""))</f>
        <v/>
      </c>
      <c r="CW11" s="69" t="str">
        <f ca="1">IF(AND($C11="Goal",CW$8&gt;=$G11,CW$8&lt;=$G11+$H11-1),2,IF(AND($C11="Milestone",CW$8&gt;=$G11,CW$8&lt;=$G11+$H11-1),1,""))</f>
        <v/>
      </c>
      <c r="CX11" s="69" t="str">
        <f ca="1">IF(AND($C11="Goal",CX$8&gt;=$G11,CX$8&lt;=$G11+$H11-1),2,IF(AND($C11="Milestone",CX$8&gt;=$G11,CX$8&lt;=$G11+$H11-1),1,""))</f>
        <v/>
      </c>
      <c r="CY11" s="69" t="str">
        <f ca="1">IF(AND($C11="Goal",CY$8&gt;=$G11,CY$8&lt;=$G11+$H11-1),2,IF(AND($C11="Milestone",CY$8&gt;=$G11,CY$8&lt;=$G11+$H11-1),1,""))</f>
        <v/>
      </c>
      <c r="CZ11" s="69" t="str">
        <f ca="1">IF(AND($C11="Goal",CZ$8&gt;=$G11,CZ$8&lt;=$G11+$H11-1),2,IF(AND($C11="Milestone",CZ$8&gt;=$G11,CZ$8&lt;=$G11+$H11-1),1,""))</f>
        <v/>
      </c>
      <c r="DA11" s="69" t="str">
        <f ca="1">IF(AND($C11="Goal",DA$8&gt;=$G11,DA$8&lt;=$G11+$H11-1),2,IF(AND($C11="Milestone",DA$8&gt;=$G11,DA$8&lt;=$G11+$H11-1),1,""))</f>
        <v/>
      </c>
      <c r="DB11" s="69" t="str">
        <f ca="1">IF(AND($C11="Goal",DB$8&gt;=$G11,DB$8&lt;=$G11+$H11-1),2,IF(AND($C11="Milestone",DB$8&gt;=$G11,DB$8&lt;=$G11+$H11-1),1,""))</f>
        <v/>
      </c>
      <c r="DC11" s="69" t="str">
        <f ca="1">IF(AND($C11="Goal",DC$8&gt;=$G11,DC$8&lt;=$G11+$H11-1),2,IF(AND($C11="Milestone",DC$8&gt;=$G11,DC$8&lt;=$G11+$H11-1),1,""))</f>
        <v/>
      </c>
      <c r="DD11" s="69" t="str">
        <f ca="1">IF(AND($C11="Goal",DD$8&gt;=$G11,DD$8&lt;=$G11+$H11-1),2,IF(AND($C11="Milestone",DD$8&gt;=$G11,DD$8&lt;=$G11+$H11-1),1,""))</f>
        <v/>
      </c>
      <c r="DE11" s="69" t="str">
        <f ca="1">IF(AND($C11="Goal",DE$8&gt;=$G11,DE$8&lt;=$G11+$H11-1),2,IF(AND($C11="Milestone",DE$8&gt;=$G11,DE$8&lt;=$G11+$H11-1),1,""))</f>
        <v/>
      </c>
      <c r="DF11" s="69" t="str">
        <f ca="1">IF(AND($C11="Goal",DF$8&gt;=$G11,DF$8&lt;=$G11+$H11-1),2,IF(AND($C11="Milestone",DF$8&gt;=$G11,DF$8&lt;=$G11+$H11-1),1,""))</f>
        <v/>
      </c>
      <c r="DG11" s="69" t="str">
        <f ca="1">IF(AND($C11="Goal",DG$8&gt;=$G11,DG$8&lt;=$G11+$H11-1),2,IF(AND($C11="Milestone",DG$8&gt;=$G11,DG$8&lt;=$G11+$H11-1),1,""))</f>
        <v/>
      </c>
      <c r="DH11" s="69" t="str">
        <f ca="1">IF(AND($C11="Goal",DH$8&gt;=$G11,DH$8&lt;=$G11+$H11-1),2,IF(AND($C11="Milestone",DH$8&gt;=$G11,DH$8&lt;=$G11+$H11-1),1,""))</f>
        <v/>
      </c>
      <c r="DI11" s="69" t="str">
        <f ca="1">IF(AND($C11="Goal",DI$8&gt;=$G11,DI$8&lt;=$G11+$H11-1),2,IF(AND($C11="Milestone",DI$8&gt;=$G11,DI$8&lt;=$G11+$H11-1),1,""))</f>
        <v/>
      </c>
      <c r="DJ11" s="69" t="str">
        <f ca="1">IF(AND($C11="Goal",DJ$8&gt;=$G11,DJ$8&lt;=$G11+$H11-1),2,IF(AND($C11="Milestone",DJ$8&gt;=$G11,DJ$8&lt;=$G11+$H11-1),1,""))</f>
        <v/>
      </c>
      <c r="DK11" s="69" t="str">
        <f ca="1">IF(AND($C11="Goal",DK$8&gt;=$G11,DK$8&lt;=$G11+$H11-1),2,IF(AND($C11="Milestone",DK$8&gt;=$G11,DK$8&lt;=$G11+$H11-1),1,""))</f>
        <v/>
      </c>
      <c r="DL11" s="69" t="str">
        <f ca="1">IF(AND($C11="Goal",DL$8&gt;=$G11,DL$8&lt;=$G11+$H11-1),2,IF(AND($C11="Milestone",DL$8&gt;=$G11,DL$8&lt;=$G11+$H11-1),1,""))</f>
        <v/>
      </c>
      <c r="DM11" s="69" t="str">
        <f ca="1">IF(AND($C11="Goal",DM$8&gt;=$G11,DM$8&lt;=$G11+$H11-1),2,IF(AND($C11="Milestone",DM$8&gt;=$G11,DM$8&lt;=$G11+$H11-1),1,""))</f>
        <v/>
      </c>
      <c r="DN11" s="69" t="str">
        <f ca="1">IF(AND($C11="Goal",DN$8&gt;=$G11,DN$8&lt;=$G11+$H11-1),2,IF(AND($C11="Milestone",DN$8&gt;=$G11,DN$8&lt;=$G11+$H11-1),1,""))</f>
        <v/>
      </c>
      <c r="DO11" s="69" t="str">
        <f ca="1">IF(AND($C11="Goal",DO$8&gt;=$G11,DO$8&lt;=$G11+$H11-1),2,IF(AND($C11="Milestone",DO$8&gt;=$G11,DO$8&lt;=$G11+$H11-1),1,""))</f>
        <v/>
      </c>
      <c r="DP11" s="69" t="str">
        <f ca="1">IF(AND($C11="Goal",DP$8&gt;=$G11,DP$8&lt;=$G11+$H11-1),2,IF(AND($C11="Milestone",DP$8&gt;=$G11,DP$8&lt;=$G11+$H11-1),1,""))</f>
        <v/>
      </c>
      <c r="DQ11" s="69" t="str">
        <f ca="1">IF(AND($C11="Goal",DQ$8&gt;=$G11,DQ$8&lt;=$G11+$H11-1),2,IF(AND($C11="Milestone",DQ$8&gt;=$G11,DQ$8&lt;=$G11+$H11-1),1,""))</f>
        <v/>
      </c>
      <c r="DR11" s="69" t="str">
        <f ca="1">IF(AND($C11="Goal",DR$8&gt;=$G11,DR$8&lt;=$G11+$H11-1),2,IF(AND($C11="Milestone",DR$8&gt;=$G11,DR$8&lt;=$G11+$H11-1),1,""))</f>
        <v/>
      </c>
      <c r="DS11" s="69" t="str">
        <f ca="1">IF(AND($C11="Goal",DS$8&gt;=$G11,DS$8&lt;=$G11+$H11-1),2,IF(AND($C11="Milestone",DS$8&gt;=$G11,DS$8&lt;=$G11+$H11-1),1,""))</f>
        <v/>
      </c>
      <c r="DT11" s="69" t="str">
        <f ca="1">IF(AND($C11="Goal",DT$8&gt;=$G11,DT$8&lt;=$G11+$H11-1),2,IF(AND($C11="Milestone",DT$8&gt;=$G11,DT$8&lt;=$G11+$H11-1),1,""))</f>
        <v/>
      </c>
      <c r="DU11" s="69" t="str">
        <f ca="1">IF(AND($C11="Goal",DU$8&gt;=$G11,DU$8&lt;=$G11+$H11-1),2,IF(AND($C11="Milestone",DU$8&gt;=$G11,DU$8&lt;=$G11+$H11-1),1,""))</f>
        <v/>
      </c>
      <c r="DV11" s="69" t="str">
        <f ca="1">IF(AND($C11="Goal",DV$8&gt;=$G11,DV$8&lt;=$G11+$H11-1),2,IF(AND($C11="Milestone",DV$8&gt;=$G11,DV$8&lt;=$G11+$H11-1),1,""))</f>
        <v/>
      </c>
      <c r="DW11" s="69" t="str">
        <f ca="1">IF(AND($C11="Goal",DW$8&gt;=$G11,DW$8&lt;=$G11+$H11-1),2,IF(AND($C11="Milestone",DW$8&gt;=$G11,DW$8&lt;=$G11+$H11-1),1,""))</f>
        <v/>
      </c>
      <c r="DX11" s="69" t="str">
        <f ca="1">IF(AND($C11="Goal",DX$8&gt;=$G11,DX$8&lt;=$G11+$H11-1),2,IF(AND($C11="Milestone",DX$8&gt;=$G11,DX$8&lt;=$G11+$H11-1),1,""))</f>
        <v/>
      </c>
      <c r="DY11" s="69" t="str">
        <f ca="1">IF(AND($C11="Goal",DY$8&gt;=$G11,DY$8&lt;=$G11+$H11-1),2,IF(AND($C11="Milestone",DY$8&gt;=$G11,DY$8&lt;=$G11+$H11-1),1,""))</f>
        <v/>
      </c>
      <c r="DZ11" s="69" t="str">
        <f ca="1">IF(AND($C11="Goal",DZ$8&gt;=$G11,DZ$8&lt;=$G11+$H11-1),2,IF(AND($C11="Milestone",DZ$8&gt;=$G11,DZ$8&lt;=$G11+$H11-1),1,""))</f>
        <v/>
      </c>
      <c r="EA11" s="69" t="str">
        <f ca="1">IF(AND($C11="Goal",EA$8&gt;=$G11,EA$8&lt;=$G11+$H11-1),2,IF(AND($C11="Milestone",EA$8&gt;=$G11,EA$8&lt;=$G11+$H11-1),1,""))</f>
        <v/>
      </c>
      <c r="EB11" s="69" t="str">
        <f ca="1">IF(AND($C11="Goal",EB$8&gt;=$G11,EB$8&lt;=$G11+$H11-1),2,IF(AND($C11="Milestone",EB$8&gt;=$G11,EB$8&lt;=$G11+$H11-1),1,""))</f>
        <v/>
      </c>
      <c r="EC11" s="69" t="str">
        <f ca="1">IF(AND($C11="Goal",EC$8&gt;=$G11,EC$8&lt;=$G11+$H11-1),2,IF(AND($C11="Milestone",EC$8&gt;=$G11,EC$8&lt;=$G11+$H11-1),1,""))</f>
        <v/>
      </c>
      <c r="ED11" s="69" t="str">
        <f ca="1">IF(AND($C11="Goal",ED$8&gt;=$G11,ED$8&lt;=$G11+$H11-1),2,IF(AND($C11="Milestone",ED$8&gt;=$G11,ED$8&lt;=$G11+$H11-1),1,""))</f>
        <v/>
      </c>
      <c r="EE11" s="69" t="str">
        <f ca="1">IF(AND($C11="Goal",EE$8&gt;=$G11,EE$8&lt;=$G11+$H11-1),2,IF(AND($C11="Milestone",EE$8&gt;=$G11,EE$8&lt;=$G11+$H11-1),1,""))</f>
        <v/>
      </c>
      <c r="EF11" s="69" t="str">
        <f ca="1">IF(AND($C11="Goal",EF$8&gt;=$G11,EF$8&lt;=$G11+$H11-1),2,IF(AND($C11="Milestone",EF$8&gt;=$G11,EF$8&lt;=$G11+$H11-1),1,""))</f>
        <v/>
      </c>
      <c r="EG11" s="69" t="str">
        <f ca="1">IF(AND($C11="Goal",EG$8&gt;=$G11,EG$8&lt;=$G11+$H11-1),2,IF(AND($C11="Milestone",EG$8&gt;=$G11,EG$8&lt;=$G11+$H11-1),1,""))</f>
        <v/>
      </c>
      <c r="EH11" s="69" t="str">
        <f ca="1">IF(AND($C11="Goal",EH$8&gt;=$G11,EH$8&lt;=$G11+$H11-1),2,IF(AND($C11="Milestone",EH$8&gt;=$G11,EH$8&lt;=$G11+$H11-1),1,""))</f>
        <v/>
      </c>
      <c r="EI11" s="69" t="str">
        <f ca="1">IF(AND($C11="Goal",EI$8&gt;=$G11,EI$8&lt;=$G11+$H11-1),2,IF(AND($C11="Milestone",EI$8&gt;=$G11,EI$8&lt;=$G11+$H11-1),1,""))</f>
        <v/>
      </c>
      <c r="EJ11" s="69" t="str">
        <f ca="1">IF(AND($C11="Goal",EJ$8&gt;=$G11,EJ$8&lt;=$G11+$H11-1),2,IF(AND($C11="Milestone",EJ$8&gt;=$G11,EJ$8&lt;=$G11+$H11-1),1,""))</f>
        <v/>
      </c>
      <c r="EK11" s="69" t="str">
        <f ca="1">IF(AND($C11="Goal",EK$8&gt;=$G11,EK$8&lt;=$G11+$H11-1),2,IF(AND($C11="Milestone",EK$8&gt;=$G11,EK$8&lt;=$G11+$H11-1),1,""))</f>
        <v/>
      </c>
      <c r="EL11" s="69" t="str">
        <f ca="1">IF(AND($C11="Goal",EL$8&gt;=$G11,EL$8&lt;=$G11+$H11-1),2,IF(AND($C11="Milestone",EL$8&gt;=$G11,EL$8&lt;=$G11+$H11-1),1,""))</f>
        <v/>
      </c>
      <c r="EM11" s="69" t="str">
        <f ca="1">IF(AND($C11="Goal",EM$8&gt;=$G11,EM$8&lt;=$G11+$H11-1),2,IF(AND($C11="Milestone",EM$8&gt;=$G11,EM$8&lt;=$G11+$H11-1),1,""))</f>
        <v/>
      </c>
      <c r="EN11" s="69" t="str">
        <f ca="1">IF(AND($C11="Goal",EN$8&gt;=$G11,EN$8&lt;=$G11+$H11-1),2,IF(AND($C11="Milestone",EN$8&gt;=$G11,EN$8&lt;=$G11+$H11-1),1,""))</f>
        <v/>
      </c>
      <c r="EO11" s="69" t="str">
        <f ca="1">IF(AND($C11="Goal",EO$8&gt;=$G11,EO$8&lt;=$G11+$H11-1),2,IF(AND($C11="Milestone",EO$8&gt;=$G11,EO$8&lt;=$G11+$H11-1),1,""))</f>
        <v/>
      </c>
      <c r="EP11" s="69" t="str">
        <f ca="1">IF(AND($C11="Goal",EP$8&gt;=$G11,EP$8&lt;=$G11+$H11-1),2,IF(AND($C11="Milestone",EP$8&gt;=$G11,EP$8&lt;=$G11+$H11-1),1,""))</f>
        <v/>
      </c>
      <c r="EQ11" s="69" t="str">
        <f ca="1">IF(AND($C11="Goal",EQ$8&gt;=$G11,EQ$8&lt;=$G11+$H11-1),2,IF(AND($C11="Milestone",EQ$8&gt;=$G11,EQ$8&lt;=$G11+$H11-1),1,""))</f>
        <v/>
      </c>
      <c r="ER11" s="69" t="str">
        <f ca="1">IF(AND($C11="Goal",ER$8&gt;=$G11,ER$8&lt;=$G11+$H11-1),2,IF(AND($C11="Milestone",ER$8&gt;=$G11,ER$8&lt;=$G11+$H11-1),1,""))</f>
        <v/>
      </c>
      <c r="ES11" s="69" t="str">
        <f ca="1">IF(AND($C11="Goal",ES$8&gt;=$G11,ES$8&lt;=$G11+$H11-1),2,IF(AND($C11="Milestone",ES$8&gt;=$G11,ES$8&lt;=$G11+$H11-1),1,""))</f>
        <v/>
      </c>
      <c r="ET11" s="69" t="str">
        <f ca="1">IF(AND($C11="Goal",ET$8&gt;=$G11,ET$8&lt;=$G11+$H11-1),2,IF(AND($C11="Milestone",ET$8&gt;=$G11,ET$8&lt;=$G11+$H11-1),1,""))</f>
        <v/>
      </c>
      <c r="EU11" s="69" t="str">
        <f ca="1">IF(AND($C11="Goal",EU$8&gt;=$G11,EU$8&lt;=$G11+$H11-1),2,IF(AND($C11="Milestone",EU$8&gt;=$G11,EU$8&lt;=$G11+$H11-1),1,""))</f>
        <v/>
      </c>
      <c r="EV11" s="69" t="str">
        <f ca="1">IF(AND($C11="Goal",EV$8&gt;=$G11,EV$8&lt;=$G11+$H11-1),2,IF(AND($C11="Milestone",EV$8&gt;=$G11,EV$8&lt;=$G11+$H11-1),1,""))</f>
        <v/>
      </c>
      <c r="EW11" s="69" t="str">
        <f ca="1">IF(AND($C11="Goal",EW$8&gt;=$G11,EW$8&lt;=$G11+$H11-1),2,IF(AND($C11="Milestone",EW$8&gt;=$G11,EW$8&lt;=$G11+$H11-1),1,""))</f>
        <v/>
      </c>
      <c r="EX11" s="69" t="str">
        <f ca="1">IF(AND($C11="Goal",EX$8&gt;=$G11,EX$8&lt;=$G11+$H11-1),2,IF(AND($C11="Milestone",EX$8&gt;=$G11,EX$8&lt;=$G11+$H11-1),1,""))</f>
        <v/>
      </c>
      <c r="EY11" s="69" t="str">
        <f ca="1">IF(AND($C11="Goal",EY$8&gt;=$G11,EY$8&lt;=$G11+$H11-1),2,IF(AND($C11="Milestone",EY$8&gt;=$G11,EY$8&lt;=$G11+$H11-1),1,""))</f>
        <v/>
      </c>
      <c r="EZ11" s="69" t="str">
        <f ca="1">IF(AND($C11="Goal",EZ$8&gt;=$G11,EZ$8&lt;=$G11+$H11-1),2,IF(AND($C11="Milestone",EZ$8&gt;=$G11,EZ$8&lt;=$G11+$H11-1),1,""))</f>
        <v/>
      </c>
      <c r="FA11" s="69" t="str">
        <f ca="1">IF(AND($C11="Goal",FA$8&gt;=$G11,FA$8&lt;=$G11+$H11-1),2,IF(AND($C11="Milestone",FA$8&gt;=$G11,FA$8&lt;=$G11+$H11-1),1,""))</f>
        <v/>
      </c>
      <c r="FB11" s="69" t="str">
        <f ca="1">IF(AND($C11="Goal",FB$8&gt;=$G11,FB$8&lt;=$G11+$H11-1),2,IF(AND($C11="Milestone",FB$8&gt;=$G11,FB$8&lt;=$G11+$H11-1),1,""))</f>
        <v/>
      </c>
      <c r="FC11" s="69" t="str">
        <f ca="1">IF(AND($C11="Goal",FC$8&gt;=$G11,FC$8&lt;=$G11+$H11-1),2,IF(AND($C11="Milestone",FC$8&gt;=$G11,FC$8&lt;=$G11+$H11-1),1,""))</f>
        <v/>
      </c>
      <c r="FD11" s="69" t="str">
        <f ca="1">IF(AND($C11="Goal",FD$8&gt;=$G11,FD$8&lt;=$G11+$H11-1),2,IF(AND($C11="Milestone",FD$8&gt;=$G11,FD$8&lt;=$G11+$H11-1),1,""))</f>
        <v/>
      </c>
      <c r="FE11" s="69" t="str">
        <f ca="1">IF(AND($C11="Goal",FE$8&gt;=$G11,FE$8&lt;=$G11+$H11-1),2,IF(AND($C11="Milestone",FE$8&gt;=$G11,FE$8&lt;=$G11+$H11-1),1,""))</f>
        <v/>
      </c>
      <c r="FF11" s="69" t="str">
        <f ca="1">IF(AND($C11="Goal",FF$8&gt;=$G11,FF$8&lt;=$G11+$H11-1),2,IF(AND($C11="Milestone",FF$8&gt;=$G11,FF$8&lt;=$G11+$H11-1),1,""))</f>
        <v/>
      </c>
      <c r="FG11" s="69" t="str">
        <f ca="1">IF(AND($C11="Goal",FG$8&gt;=$G11,FG$8&lt;=$G11+$H11-1),2,IF(AND($C11="Milestone",FG$8&gt;=$G11,FG$8&lt;=$G11+$H11-1),1,""))</f>
        <v/>
      </c>
      <c r="FH11" s="69" t="str">
        <f ca="1">IF(AND($C11="Goal",FH$8&gt;=$G11,FH$8&lt;=$G11+$H11-1),2,IF(AND($C11="Milestone",FH$8&gt;=$G11,FH$8&lt;=$G11+$H11-1),1,""))</f>
        <v/>
      </c>
      <c r="FI11" s="69" t="str">
        <f ca="1">IF(AND($C11="Goal",FI$8&gt;=$G11,FI$8&lt;=$G11+$H11-1),2,IF(AND($C11="Milestone",FI$8&gt;=$G11,FI$8&lt;=$G11+$H11-1),1,""))</f>
        <v/>
      </c>
      <c r="FJ11" s="69" t="str">
        <f ca="1">IF(AND($C11="Goal",FJ$8&gt;=$G11,FJ$8&lt;=$G11+$H11-1),2,IF(AND($C11="Milestone",FJ$8&gt;=$G11,FJ$8&lt;=$G11+$H11-1),1,""))</f>
        <v/>
      </c>
      <c r="FK11" s="69" t="str">
        <f ca="1">IF(AND($C11="Goal",FK$8&gt;=$G11,FK$8&lt;=$G11+$H11-1),2,IF(AND($C11="Milestone",FK$8&gt;=$G11,FK$8&lt;=$G11+$H11-1),1,""))</f>
        <v/>
      </c>
      <c r="FL11" s="69" t="str">
        <f ca="1">IF(AND($C11="Goal",FL$8&gt;=$G11,FL$8&lt;=$G11+$H11-1),2,IF(AND($C11="Milestone",FL$8&gt;=$G11,FL$8&lt;=$G11+$H11-1),1,""))</f>
        <v/>
      </c>
      <c r="FM11" s="69" t="str">
        <f ca="1">IF(AND($C11="Goal",FM$8&gt;=$G11,FM$8&lt;=$G11+$H11-1),2,IF(AND($C11="Milestone",FM$8&gt;=$G11,FM$8&lt;=$G11+$H11-1),1,""))</f>
        <v/>
      </c>
      <c r="FN11" s="69" t="str">
        <f ca="1">IF(AND($C11="Goal",FN$8&gt;=$G11,FN$8&lt;=$G11+$H11-1),2,IF(AND($C11="Milestone",FN$8&gt;=$G11,FN$8&lt;=$G11+$H11-1),1,""))</f>
        <v/>
      </c>
      <c r="FO11" s="69" t="str">
        <f ca="1">IF(AND($C11="Goal",FO$8&gt;=$G11,FO$8&lt;=$G11+$H11-1),2,IF(AND($C11="Milestone",FO$8&gt;=$G11,FO$8&lt;=$G11+$H11-1),1,""))</f>
        <v/>
      </c>
      <c r="FP11" s="69" t="str">
        <f ca="1">IF(AND($C11="Goal",FP$8&gt;=$G11,FP$8&lt;=$G11+$H11-1),2,IF(AND($C11="Milestone",FP$8&gt;=$G11,FP$8&lt;=$G11+$H11-1),1,""))</f>
        <v/>
      </c>
      <c r="FQ11" s="69" t="str">
        <f ca="1">IF(AND($C11="Goal",FQ$8&gt;=$G11,FQ$8&lt;=$G11+$H11-1),2,IF(AND($C11="Milestone",FQ$8&gt;=$G11,FQ$8&lt;=$G11+$H11-1),1,""))</f>
        <v/>
      </c>
      <c r="FR11" s="69" t="str">
        <f ca="1">IF(AND($C11="Goal",FR$8&gt;=$G11,FR$8&lt;=$G11+$H11-1),2,IF(AND($C11="Milestone",FR$8&gt;=$G11,FR$8&lt;=$G11+$H11-1),1,""))</f>
        <v/>
      </c>
      <c r="FS11" s="69" t="str">
        <f ca="1">IF(AND($C11="Goal",FS$8&gt;=$G11,FS$8&lt;=$G11+$H11-1),2,IF(AND($C11="Milestone",FS$8&gt;=$G11,FS$8&lt;=$G11+$H11-1),1,""))</f>
        <v/>
      </c>
      <c r="FT11" s="69" t="str">
        <f ca="1">IF(AND($C11="Goal",FT$8&gt;=$G11,FT$8&lt;=$G11+$H11-1),2,IF(AND($C11="Milestone",FT$8&gt;=$G11,FT$8&lt;=$G11+$H11-1),1,""))</f>
        <v/>
      </c>
      <c r="FU11" s="69" t="str">
        <f ca="1">IF(AND($C11="Goal",FU$8&gt;=$G11,FU$8&lt;=$G11+$H11-1),2,IF(AND($C11="Milestone",FU$8&gt;=$G11,FU$8&lt;=$G11+$H11-1),1,""))</f>
        <v/>
      </c>
      <c r="FV11" s="69" t="str">
        <f ca="1">IF(AND($C11="Goal",FV$8&gt;=$G11,FV$8&lt;=$G11+$H11-1),2,IF(AND($C11="Milestone",FV$8&gt;=$G11,FV$8&lt;=$G11+$H11-1),1,""))</f>
        <v/>
      </c>
      <c r="FW11" s="69" t="str">
        <f ca="1">IF(AND($C11="Goal",FW$8&gt;=$G11,FW$8&lt;=$G11+$H11-1),2,IF(AND($C11="Milestone",FW$8&gt;=$G11,FW$8&lt;=$G11+$H11-1),1,""))</f>
        <v/>
      </c>
      <c r="FX11" s="69" t="str">
        <f ca="1">IF(AND($C11="Goal",FX$8&gt;=$G11,FX$8&lt;=$G11+$H11-1),2,IF(AND($C11="Milestone",FX$8&gt;=$G11,FX$8&lt;=$G11+$H11-1),1,""))</f>
        <v/>
      </c>
      <c r="FY11" s="69" t="str">
        <f ca="1">IF(AND($C11="Goal",FY$8&gt;=$G11,FY$8&lt;=$G11+$H11-1),2,IF(AND($C11="Milestone",FY$8&gt;=$G11,FY$8&lt;=$G11+$H11-1),1,""))</f>
        <v/>
      </c>
      <c r="FZ11" s="69" t="str">
        <f ca="1">IF(AND($C11="Goal",FZ$8&gt;=$G11,FZ$8&lt;=$G11+$H11-1),2,IF(AND($C11="Milestone",FZ$8&gt;=$G11,FZ$8&lt;=$G11+$H11-1),1,""))</f>
        <v/>
      </c>
      <c r="GA11" s="69" t="str">
        <f ca="1">IF(AND($C11="Goal",GA$8&gt;=$G11,GA$8&lt;=$G11+$H11-1),2,IF(AND($C11="Milestone",GA$8&gt;=$G11,GA$8&lt;=$G11+$H11-1),1,""))</f>
        <v/>
      </c>
      <c r="GB11" s="69" t="str">
        <f ca="1">IF(AND($C11="Goal",GB$8&gt;=$G11,GB$8&lt;=$G11+$H11-1),2,IF(AND($C11="Milestone",GB$8&gt;=$G11,GB$8&lt;=$G11+$H11-1),1,""))</f>
        <v/>
      </c>
      <c r="GC11" s="69" t="str">
        <f ca="1">IF(AND($C11="Goal",GC$8&gt;=$G11,GC$8&lt;=$G11+$H11-1),2,IF(AND($C11="Milestone",GC$8&gt;=$G11,GC$8&lt;=$G11+$H11-1),1,""))</f>
        <v/>
      </c>
      <c r="GD11" s="69" t="str">
        <f ca="1">IF(AND($C11="Goal",GD$8&gt;=$G11,GD$8&lt;=$G11+$H11-1),2,IF(AND($C11="Milestone",GD$8&gt;=$G11,GD$8&lt;=$G11+$H11-1),1,""))</f>
        <v/>
      </c>
      <c r="GE11" s="69" t="str">
        <f ca="1">IF(AND($C11="Goal",GE$8&gt;=$G11,GE$8&lt;=$G11+$H11-1),2,IF(AND($C11="Milestone",GE$8&gt;=$G11,GE$8&lt;=$G11+$H11-1),1,""))</f>
        <v/>
      </c>
      <c r="GF11" s="69" t="str">
        <f ca="1">IF(AND($C11="Goal",GF$8&gt;=$G11,GF$8&lt;=$G11+$H11-1),2,IF(AND($C11="Milestone",GF$8&gt;=$G11,GF$8&lt;=$G11+$H11-1),1,""))</f>
        <v/>
      </c>
      <c r="GG11" s="69" t="str">
        <f ca="1">IF(AND($C11="Goal",GG$8&gt;=$G11,GG$8&lt;=$G11+$H11-1),2,IF(AND($C11="Milestone",GG$8&gt;=$G11,GG$8&lt;=$G11+$H11-1),1,""))</f>
        <v/>
      </c>
      <c r="GH11" s="69" t="str">
        <f ca="1">IF(AND($C11="Goal",GH$8&gt;=$G11,GH$8&lt;=$G11+$H11-1),2,IF(AND($C11="Milestone",GH$8&gt;=$G11,GH$8&lt;=$G11+$H11-1),1,""))</f>
        <v/>
      </c>
      <c r="GI11" s="69" t="str">
        <f ca="1">IF(AND($C11="Goal",GI$8&gt;=$G11,GI$8&lt;=$G11+$H11-1),2,IF(AND($C11="Milestone",GI$8&gt;=$G11,GI$8&lt;=$G11+$H11-1),1,""))</f>
        <v/>
      </c>
      <c r="GJ11" s="69" t="str">
        <f ca="1">IF(AND($C11="Goal",GJ$8&gt;=$G11,GJ$8&lt;=$G11+$H11-1),2,IF(AND($C11="Milestone",GJ$8&gt;=$G11,GJ$8&lt;=$G11+$H11-1),1,""))</f>
        <v/>
      </c>
      <c r="GK11" s="69" t="str">
        <f ca="1">IF(AND($C11="Goal",GK$8&gt;=$G11,GK$8&lt;=$G11+$H11-1),2,IF(AND($C11="Milestone",GK$8&gt;=$G11,GK$8&lt;=$G11+$H11-1),1,""))</f>
        <v/>
      </c>
      <c r="GL11" s="69" t="str">
        <f ca="1">IF(AND($C11="Goal",GL$8&gt;=$G11,GL$8&lt;=$G11+$H11-1),2,IF(AND($C11="Milestone",GL$8&gt;=$G11,GL$8&lt;=$G11+$H11-1),1,""))</f>
        <v/>
      </c>
      <c r="GM11" s="69" t="str">
        <f ca="1">IF(AND($C11="Goal",GM$8&gt;=$G11,GM$8&lt;=$G11+$H11-1),2,IF(AND($C11="Milestone",GM$8&gt;=$G11,GM$8&lt;=$G11+$H11-1),1,""))</f>
        <v/>
      </c>
      <c r="GN11" s="69" t="str">
        <f ca="1">IF(AND($C11="Goal",GN$8&gt;=$G11,GN$8&lt;=$G11+$H11-1),2,IF(AND($C11="Milestone",GN$8&gt;=$G11,GN$8&lt;=$G11+$H11-1),1,""))</f>
        <v/>
      </c>
      <c r="GO11" s="69" t="str">
        <f ca="1">IF(AND($C11="Goal",GO$8&gt;=$G11,GO$8&lt;=$G11+$H11-1),2,IF(AND($C11="Milestone",GO$8&gt;=$G11,GO$8&lt;=$G11+$H11-1),1,""))</f>
        <v/>
      </c>
      <c r="GP11" s="69" t="str">
        <f ca="1">IF(AND($C11="Goal",GP$8&gt;=$G11,GP$8&lt;=$G11+$H11-1),2,IF(AND($C11="Milestone",GP$8&gt;=$G11,GP$8&lt;=$G11+$H11-1),1,""))</f>
        <v/>
      </c>
      <c r="GQ11" s="69" t="str">
        <f ca="1">IF(AND($C11="Goal",GQ$8&gt;=$G11,GQ$8&lt;=$G11+$H11-1),2,IF(AND($C11="Milestone",GQ$8&gt;=$G11,GQ$8&lt;=$G11+$H11-1),1,""))</f>
        <v/>
      </c>
      <c r="GR11" s="69" t="str">
        <f ca="1">IF(AND($C11="Goal",GR$8&gt;=$G11,GR$8&lt;=$G11+$H11-1),2,IF(AND($C11="Milestone",GR$8&gt;=$G11,GR$8&lt;=$G11+$H11-1),1,""))</f>
        <v/>
      </c>
      <c r="GS11" s="69" t="str">
        <f ca="1">IF(AND($C11="Goal",GS$8&gt;=$G11,GS$8&lt;=$G11+$H11-1),2,IF(AND($C11="Milestone",GS$8&gt;=$G11,GS$8&lt;=$G11+$H11-1),1,""))</f>
        <v/>
      </c>
      <c r="GT11" s="69" t="str">
        <f ca="1">IF(AND($C11="Goal",GT$8&gt;=$G11,GT$8&lt;=$G11+$H11-1),2,IF(AND($C11="Milestone",GT$8&gt;=$G11,GT$8&lt;=$G11+$H11-1),1,""))</f>
        <v/>
      </c>
      <c r="GU11" s="69" t="str">
        <f ca="1">IF(AND($C11="Goal",GU$8&gt;=$G11,GU$8&lt;=$G11+$H11-1),2,IF(AND($C11="Milestone",GU$8&gt;=$G11,GU$8&lt;=$G11+$H11-1),1,""))</f>
        <v/>
      </c>
      <c r="GV11" s="69" t="str">
        <f ca="1">IF(AND($C11="Goal",GV$8&gt;=$G11,GV$8&lt;=$G11+$H11-1),2,IF(AND($C11="Milestone",GV$8&gt;=$G11,GV$8&lt;=$G11+$H11-1),1,""))</f>
        <v/>
      </c>
      <c r="GW11" s="69" t="str">
        <f ca="1">IF(AND($C11="Goal",GW$8&gt;=$G11,GW$8&lt;=$G11+$H11-1),2,IF(AND($C11="Milestone",GW$8&gt;=$G11,GW$8&lt;=$G11+$H11-1),1,""))</f>
        <v/>
      </c>
      <c r="GX11" s="69" t="str">
        <f ca="1">IF(AND($C11="Goal",GX$8&gt;=$G11,GX$8&lt;=$G11+$H11-1),2,IF(AND($C11="Milestone",GX$8&gt;=$G11,GX$8&lt;=$G11+$H11-1),1,""))</f>
        <v/>
      </c>
      <c r="GY11" s="69" t="str">
        <f ca="1">IF(AND($C11="Goal",GY$8&gt;=$G11,GY$8&lt;=$G11+$H11-1),2,IF(AND($C11="Milestone",GY$8&gt;=$G11,GY$8&lt;=$G11+$H11-1),1,""))</f>
        <v/>
      </c>
      <c r="GZ11" s="69" t="str">
        <f ca="1">IF(AND($C11="Goal",GZ$8&gt;=$G11,GZ$8&lt;=$G11+$H11-1),2,IF(AND($C11="Milestone",GZ$8&gt;=$G11,GZ$8&lt;=$G11+$H11-1),1,""))</f>
        <v/>
      </c>
      <c r="HA11" s="69" t="str">
        <f ca="1">IF(AND($C11="Goal",HA$8&gt;=$G11,HA$8&lt;=$G11+$H11-1),2,IF(AND($C11="Milestone",HA$8&gt;=$G11,HA$8&lt;=$G11+$H11-1),1,""))</f>
        <v/>
      </c>
      <c r="HB11" s="69" t="str">
        <f ca="1">IF(AND($C11="Goal",HB$8&gt;=$G11,HB$8&lt;=$G11+$H11-1),2,IF(AND($C11="Milestone",HB$8&gt;=$G11,HB$8&lt;=$G11+$H11-1),1,""))</f>
        <v/>
      </c>
      <c r="HC11" s="69" t="str">
        <f ca="1">IF(AND($C11="Goal",HC$8&gt;=$G11,HC$8&lt;=$G11+$H11-1),2,IF(AND($C11="Milestone",HC$8&gt;=$G11,HC$8&lt;=$G11+$H11-1),1,""))</f>
        <v/>
      </c>
      <c r="HD11" s="69" t="str">
        <f ca="1">IF(AND($C11="Goal",HD$8&gt;=$G11,HD$8&lt;=$G11+$H11-1),2,IF(AND($C11="Milestone",HD$8&gt;=$G11,HD$8&lt;=$G11+$H11-1),1,""))</f>
        <v/>
      </c>
      <c r="HE11" s="69" t="str">
        <f ca="1">IF(AND($C11="Goal",HE$8&gt;=$G11,HE$8&lt;=$G11+$H11-1),2,IF(AND($C11="Milestone",HE$8&gt;=$G11,HE$8&lt;=$G11+$H11-1),1,""))</f>
        <v/>
      </c>
      <c r="HF11" s="69" t="str">
        <f ca="1">IF(AND($C11="Goal",HF$8&gt;=$G11,HF$8&lt;=$G11+$H11-1),2,IF(AND($C11="Milestone",HF$8&gt;=$G11,HF$8&lt;=$G11+$H11-1),1,""))</f>
        <v/>
      </c>
      <c r="HG11" s="69" t="str">
        <f ca="1">IF(AND($C11="Goal",HG$8&gt;=$G11,HG$8&lt;=$G11+$H11-1),2,IF(AND($C11="Milestone",HG$8&gt;=$G11,HG$8&lt;=$G11+$H11-1),1,""))</f>
        <v/>
      </c>
      <c r="HH11" s="69" t="str">
        <f ca="1">IF(AND($C11="Goal",HH$8&gt;=$G11,HH$8&lt;=$G11+$H11-1),2,IF(AND($C11="Milestone",HH$8&gt;=$G11,HH$8&lt;=$G11+$H11-1),1,""))</f>
        <v/>
      </c>
      <c r="HI11" s="69" t="str">
        <f ca="1">IF(AND($C11="Goal",HI$8&gt;=$G11,HI$8&lt;=$G11+$H11-1),2,IF(AND($C11="Milestone",HI$8&gt;=$G11,HI$8&lt;=$G11+$H11-1),1,""))</f>
        <v/>
      </c>
      <c r="HJ11" s="69" t="str">
        <f ca="1">IF(AND($C11="Goal",HJ$8&gt;=$G11,HJ$8&lt;=$G11+$H11-1),2,IF(AND($C11="Milestone",HJ$8&gt;=$G11,HJ$8&lt;=$G11+$H11-1),1,""))</f>
        <v/>
      </c>
      <c r="HK11" s="69" t="str">
        <f ca="1">IF(AND($C11="Goal",HK$8&gt;=$G11,HK$8&lt;=$G11+$H11-1),2,IF(AND($C11="Milestone",HK$8&gt;=$G11,HK$8&lt;=$G11+$H11-1),1,""))</f>
        <v/>
      </c>
      <c r="HL11" s="69" t="str">
        <f ca="1">IF(AND($C11="Goal",HL$8&gt;=$G11,HL$8&lt;=$G11+$H11-1),2,IF(AND($C11="Milestone",HL$8&gt;=$G11,HL$8&lt;=$G11+$H11-1),1,""))</f>
        <v/>
      </c>
      <c r="HM11" s="69" t="str">
        <f ca="1">IF(AND($C11="Goal",HM$8&gt;=$G11,HM$8&lt;=$G11+$H11-1),2,IF(AND($C11="Milestone",HM$8&gt;=$G11,HM$8&lt;=$G11+$H11-1),1,""))</f>
        <v/>
      </c>
      <c r="HN11" s="69" t="str">
        <f ca="1">IF(AND($C11="Goal",HN$8&gt;=$G11,HN$8&lt;=$G11+$H11-1),2,IF(AND($C11="Milestone",HN$8&gt;=$G11,HN$8&lt;=$G11+$H11-1),1,""))</f>
        <v/>
      </c>
      <c r="HO11" s="69" t="str">
        <f ca="1">IF(AND($C11="Goal",HO$8&gt;=$G11,HO$8&lt;=$G11+$H11-1),2,IF(AND($C11="Milestone",HO$8&gt;=$G11,HO$8&lt;=$G11+$H11-1),1,""))</f>
        <v/>
      </c>
      <c r="HP11" s="69" t="str">
        <f ca="1">IF(AND($C11="Goal",HP$8&gt;=$G11,HP$8&lt;=$G11+$H11-1),2,IF(AND($C11="Milestone",HP$8&gt;=$G11,HP$8&lt;=$G11+$H11-1),1,""))</f>
        <v/>
      </c>
      <c r="HQ11" s="69" t="str">
        <f ca="1">IF(AND($C11="Goal",HQ$8&gt;=$G11,HQ$8&lt;=$G11+$H11-1),2,IF(AND($C11="Milestone",HQ$8&gt;=$G11,HQ$8&lt;=$G11+$H11-1),1,""))</f>
        <v/>
      </c>
      <c r="HR11" s="69" t="str">
        <f ca="1">IF(AND($C11="Goal",HR$8&gt;=$G11,HR$8&lt;=$G11+$H11-1),2,IF(AND($C11="Milestone",HR$8&gt;=$G11,HR$8&lt;=$G11+$H11-1),1,""))</f>
        <v/>
      </c>
      <c r="HS11" s="69" t="str">
        <f ca="1">IF(AND($C11="Goal",HS$8&gt;=$G11,HS$8&lt;=$G11+$H11-1),2,IF(AND($C11="Milestone",HS$8&gt;=$G11,HS$8&lt;=$G11+$H11-1),1,""))</f>
        <v/>
      </c>
      <c r="HT11" s="69" t="str">
        <f ca="1">IF(AND($C11="Goal",HT$8&gt;=$G11,HT$8&lt;=$G11+$H11-1),2,IF(AND($C11="Milestone",HT$8&gt;=$G11,HT$8&lt;=$G11+$H11-1),1,""))</f>
        <v/>
      </c>
      <c r="HU11" s="69" t="str">
        <f ca="1">IF(AND($C11="Goal",HU$8&gt;=$G11,HU$8&lt;=$G11+$H11-1),2,IF(AND($C11="Milestone",HU$8&gt;=$G11,HU$8&lt;=$G11+$H11-1),1,""))</f>
        <v/>
      </c>
      <c r="HV11" s="69" t="str">
        <f ca="1">IF(AND($C11="Goal",HV$8&gt;=$G11,HV$8&lt;=$G11+$H11-1),2,IF(AND($C11="Milestone",HV$8&gt;=$G11,HV$8&lt;=$G11+$H11-1),1,""))</f>
        <v/>
      </c>
      <c r="HW11" s="69" t="str">
        <f ca="1">IF(AND($C11="Goal",HW$8&gt;=$G11,HW$8&lt;=$G11+$H11-1),2,IF(AND($C11="Milestone",HW$8&gt;=$G11,HW$8&lt;=$G11+$H11-1),1,""))</f>
        <v/>
      </c>
      <c r="HX11" s="69" t="str">
        <f ca="1">IF(AND($C11="Goal",HX$8&gt;=$G11,HX$8&lt;=$G11+$H11-1),2,IF(AND($C11="Milestone",HX$8&gt;=$G11,HX$8&lt;=$G11+$H11-1),1,""))</f>
        <v/>
      </c>
      <c r="HY11" s="69" t="str">
        <f ca="1">IF(AND($C11="Goal",HY$8&gt;=$G11,HY$8&lt;=$G11+$H11-1),2,IF(AND($C11="Milestone",HY$8&gt;=$G11,HY$8&lt;=$G11+$H11-1),1,""))</f>
        <v/>
      </c>
      <c r="HZ11" s="69" t="str">
        <f ca="1">IF(AND($C11="Goal",HZ$8&gt;=$G11,HZ$8&lt;=$G11+$H11-1),2,IF(AND($C11="Milestone",HZ$8&gt;=$G11,HZ$8&lt;=$G11+$H11-1),1,""))</f>
        <v/>
      </c>
      <c r="IA11" s="69" t="str">
        <f ca="1">IF(AND($C11="Goal",IA$8&gt;=$G11,IA$8&lt;=$G11+$H11-1),2,IF(AND($C11="Milestone",IA$8&gt;=$G11,IA$8&lt;=$G11+$H11-1),1,""))</f>
        <v/>
      </c>
      <c r="IB11" s="69" t="str">
        <f ca="1">IF(AND($C11="Goal",IB$8&gt;=$G11,IB$8&lt;=$G11+$H11-1),2,IF(AND($C11="Milestone",IB$8&gt;=$G11,IB$8&lt;=$G11+$H11-1),1,""))</f>
        <v/>
      </c>
      <c r="IC11" s="69" t="str">
        <f ca="1">IF(AND($C11="Goal",IC$8&gt;=$G11,IC$8&lt;=$G11+$H11-1),2,IF(AND($C11="Milestone",IC$8&gt;=$G11,IC$8&lt;=$G11+$H11-1),1,""))</f>
        <v/>
      </c>
      <c r="ID11" s="69" t="str">
        <f ca="1">IF(AND($C11="Goal",ID$8&gt;=$G11,ID$8&lt;=$G11+$H11-1),2,IF(AND($C11="Milestone",ID$8&gt;=$G11,ID$8&lt;=$G11+$H11-1),1,""))</f>
        <v/>
      </c>
      <c r="IE11" s="69" t="str">
        <f ca="1">IF(AND($C11="Goal",IE$8&gt;=$G11,IE$8&lt;=$G11+$H11-1),2,IF(AND($C11="Milestone",IE$8&gt;=$G11,IE$8&lt;=$G11+$H11-1),1,""))</f>
        <v/>
      </c>
      <c r="IF11" s="69" t="str">
        <f ca="1">IF(AND($C11="Goal",IF$8&gt;=$G11,IF$8&lt;=$G11+$H11-1),2,IF(AND($C11="Milestone",IF$8&gt;=$G11,IF$8&lt;=$G11+$H11-1),1,""))</f>
        <v/>
      </c>
      <c r="IG11" s="69" t="str">
        <f ca="1">IF(AND($C11="Goal",IG$8&gt;=$G11,IG$8&lt;=$G11+$H11-1),2,IF(AND($C11="Milestone",IG$8&gt;=$G11,IG$8&lt;=$G11+$H11-1),1,""))</f>
        <v/>
      </c>
      <c r="IH11" s="69" t="str">
        <f ca="1">IF(AND($C11="Goal",IH$8&gt;=$G11,IH$8&lt;=$G11+$H11-1),2,IF(AND($C11="Milestone",IH$8&gt;=$G11,IH$8&lt;=$G11+$H11-1),1,""))</f>
        <v/>
      </c>
      <c r="II11" s="69" t="str">
        <f ca="1">IF(AND($C11="Goal",II$8&gt;=$G11,II$8&lt;=$G11+$H11-1),2,IF(AND($C11="Milestone",II$8&gt;=$G11,II$8&lt;=$G11+$H11-1),1,""))</f>
        <v/>
      </c>
      <c r="IJ11" s="69" t="str">
        <f ca="1">IF(AND($C11="Goal",IJ$8&gt;=$G11,IJ$8&lt;=$G11+$H11-1),2,IF(AND($C11="Milestone",IJ$8&gt;=$G11,IJ$8&lt;=$G11+$H11-1),1,""))</f>
        <v/>
      </c>
      <c r="IK11" s="69" t="str">
        <f ca="1">IF(AND($C11="Goal",IK$8&gt;=$G11,IK$8&lt;=$G11+$H11-1),2,IF(AND($C11="Milestone",IK$8&gt;=$G11,IK$8&lt;=$G11+$H11-1),1,""))</f>
        <v/>
      </c>
      <c r="IL11" s="69" t="str">
        <f ca="1">IF(AND($C11="Goal",IL$8&gt;=$G11,IL$8&lt;=$G11+$H11-1),2,IF(AND($C11="Milestone",IL$8&gt;=$G11,IL$8&lt;=$G11+$H11-1),1,""))</f>
        <v/>
      </c>
      <c r="IM11" s="69" t="str">
        <f ca="1">IF(AND($C11="Goal",IM$8&gt;=$G11,IM$8&lt;=$G11+$H11-1),2,IF(AND($C11="Milestone",IM$8&gt;=$G11,IM$8&lt;=$G11+$H11-1),1,""))</f>
        <v/>
      </c>
      <c r="IN11" s="69" t="str">
        <f ca="1">IF(AND($C11="Goal",IN$8&gt;=$G11,IN$8&lt;=$G11+$H11-1),2,IF(AND($C11="Milestone",IN$8&gt;=$G11,IN$8&lt;=$G11+$H11-1),1,""))</f>
        <v/>
      </c>
      <c r="IO11" s="69" t="str">
        <f ca="1">IF(AND($C11="Goal",IO$8&gt;=$G11,IO$8&lt;=$G11+$H11-1),2,IF(AND($C11="Milestone",IO$8&gt;=$G11,IO$8&lt;=$G11+$H11-1),1,""))</f>
        <v/>
      </c>
      <c r="IP11" s="69" t="str">
        <f ca="1">IF(AND($C11="Goal",IP$8&gt;=$G11,IP$8&lt;=$G11+$H11-1),2,IF(AND($C11="Milestone",IP$8&gt;=$G11,IP$8&lt;=$G11+$H11-1),1,""))</f>
        <v/>
      </c>
      <c r="IQ11" s="69" t="str">
        <f ca="1">IF(AND($C11="Goal",IQ$8&gt;=$G11,IQ$8&lt;=$G11+$H11-1),2,IF(AND($C11="Milestone",IQ$8&gt;=$G11,IQ$8&lt;=$G11+$H11-1),1,""))</f>
        <v/>
      </c>
      <c r="IR11" s="69" t="str">
        <f ca="1">IF(AND($C11="Goal",IR$8&gt;=$G11,IR$8&lt;=$G11+$H11-1),2,IF(AND($C11="Milestone",IR$8&gt;=$G11,IR$8&lt;=$G11+$H11-1),1,""))</f>
        <v/>
      </c>
      <c r="IS11" s="69" t="str">
        <f ca="1">IF(AND($C11="Goal",IS$8&gt;=$G11,IS$8&lt;=$G11+$H11-1),2,IF(AND($C11="Milestone",IS$8&gt;=$G11,IS$8&lt;=$G11+$H11-1),1,""))</f>
        <v/>
      </c>
      <c r="IT11" s="69" t="str">
        <f ca="1">IF(AND($C11="Goal",IT$8&gt;=$G11,IT$8&lt;=$G11+$H11-1),2,IF(AND($C11="Milestone",IT$8&gt;=$G11,IT$8&lt;=$G11+$H11-1),1,""))</f>
        <v/>
      </c>
      <c r="IU11" s="69" t="str">
        <f ca="1">IF(AND($C11="Goal",IU$8&gt;=$G11,IU$8&lt;=$G11+$H11-1),2,IF(AND($C11="Milestone",IU$8&gt;=$G11,IU$8&lt;=$G11+$H11-1),1,""))</f>
        <v/>
      </c>
      <c r="IV11" s="69" t="str">
        <f ca="1">IF(AND($C11="Goal",IV$8&gt;=$G11,IV$8&lt;=$G11+$H11-1),2,IF(AND($C11="Milestone",IV$8&gt;=$G11,IV$8&lt;=$G11+$H11-1),1,""))</f>
        <v/>
      </c>
      <c r="IW11" s="69" t="str">
        <f ca="1">IF(AND($C11="Goal",IW$8&gt;=$G11,IW$8&lt;=$G11+$H11-1),2,IF(AND($C11="Milestone",IW$8&gt;=$G11,IW$8&lt;=$G11+$H11-1),1,""))</f>
        <v/>
      </c>
      <c r="IX11" s="69" t="str">
        <f ca="1">IF(AND($C11="Goal",IX$8&gt;=$G11,IX$8&lt;=$G11+$H11-1),2,IF(AND($C11="Milestone",IX$8&gt;=$G11,IX$8&lt;=$G11+$H11-1),1,""))</f>
        <v/>
      </c>
      <c r="IY11" s="69" t="str">
        <f ca="1">IF(AND($C11="Goal",IY$8&gt;=$G11,IY$8&lt;=$G11+$H11-1),2,IF(AND($C11="Milestone",IY$8&gt;=$G11,IY$8&lt;=$G11+$H11-1),1,""))</f>
        <v/>
      </c>
      <c r="IZ11" s="69" t="str">
        <f ca="1">IF(AND($C11="Goal",IZ$8&gt;=$G11,IZ$8&lt;=$G11+$H11-1),2,IF(AND($C11="Milestone",IZ$8&gt;=$G11,IZ$8&lt;=$G11+$H11-1),1,""))</f>
        <v/>
      </c>
      <c r="JA11" s="69" t="str">
        <f ca="1">IF(AND($C11="Goal",JA$8&gt;=$G11,JA$8&lt;=$G11+$H11-1),2,IF(AND($C11="Milestone",JA$8&gt;=$G11,JA$8&lt;=$G11+$H11-1),1,""))</f>
        <v/>
      </c>
      <c r="JB11" s="69" t="str">
        <f ca="1">IF(AND($C11="Goal",JB$8&gt;=$G11,JB$8&lt;=$G11+$H11-1),2,IF(AND($C11="Milestone",JB$8&gt;=$G11,JB$8&lt;=$G11+$H11-1),1,""))</f>
        <v/>
      </c>
      <c r="JC11" s="69" t="str">
        <f ca="1">IF(AND($C11="Goal",JC$8&gt;=$G11,JC$8&lt;=$G11+$H11-1),2,IF(AND($C11="Milestone",JC$8&gt;=$G11,JC$8&lt;=$G11+$H11-1),1,""))</f>
        <v/>
      </c>
      <c r="JD11" s="69" t="str">
        <f ca="1">IF(AND($C11="Goal",JD$8&gt;=$G11,JD$8&lt;=$G11+$H11-1),2,IF(AND($C11="Milestone",JD$8&gt;=$G11,JD$8&lt;=$G11+$H11-1),1,""))</f>
        <v/>
      </c>
      <c r="JE11" s="69" t="str">
        <f ca="1">IF(AND($C11="Goal",JE$8&gt;=$G11,JE$8&lt;=$G11+$H11-1),2,IF(AND($C11="Milestone",JE$8&gt;=$G11,JE$8&lt;=$G11+$H11-1),1,""))</f>
        <v/>
      </c>
      <c r="JF11" s="69" t="str">
        <f ca="1">IF(AND($C11="Goal",JF$8&gt;=$G11,JF$8&lt;=$G11+$H11-1),2,IF(AND($C11="Milestone",JF$8&gt;=$G11,JF$8&lt;=$G11+$H11-1),1,""))</f>
        <v/>
      </c>
      <c r="JG11" s="69" t="str">
        <f ca="1">IF(AND($C11="Goal",JG$8&gt;=$G11,JG$8&lt;=$G11+$H11-1),2,IF(AND($C11="Milestone",JG$8&gt;=$G11,JG$8&lt;=$G11+$H11-1),1,""))</f>
        <v/>
      </c>
      <c r="JH11" s="69" t="str">
        <f ca="1">IF(AND($C11="Goal",JH$8&gt;=$G11,JH$8&lt;=$G11+$H11-1),2,IF(AND($C11="Milestone",JH$8&gt;=$G11,JH$8&lt;=$G11+$H11-1),1,""))</f>
        <v/>
      </c>
      <c r="JI11" s="69" t="str">
        <f ca="1">IF(AND($C11="Goal",JI$8&gt;=$G11,JI$8&lt;=$G11+$H11-1),2,IF(AND($C11="Milestone",JI$8&gt;=$G11,JI$8&lt;=$G11+$H11-1),1,""))</f>
        <v/>
      </c>
      <c r="JJ11" s="69" t="str">
        <f ca="1">IF(AND($C11="Goal",JJ$8&gt;=$G11,JJ$8&lt;=$G11+$H11-1),2,IF(AND($C11="Milestone",JJ$8&gt;=$G11,JJ$8&lt;=$G11+$H11-1),1,""))</f>
        <v/>
      </c>
      <c r="JK11" s="69" t="str">
        <f ca="1">IF(AND($C11="Goal",JK$8&gt;=$G11,JK$8&lt;=$G11+$H11-1),2,IF(AND($C11="Milestone",JK$8&gt;=$G11,JK$8&lt;=$G11+$H11-1),1,""))</f>
        <v/>
      </c>
      <c r="JL11" s="69" t="str">
        <f ca="1">IF(AND($C11="Goal",JL$8&gt;=$G11,JL$8&lt;=$G11+$H11-1),2,IF(AND($C11="Milestone",JL$8&gt;=$G11,JL$8&lt;=$G11+$H11-1),1,""))</f>
        <v/>
      </c>
      <c r="JM11" s="69" t="str">
        <f ca="1">IF(AND($C11="Goal",JM$8&gt;=$G11,JM$8&lt;=$G11+$H11-1),2,IF(AND($C11="Milestone",JM$8&gt;=$G11,JM$8&lt;=$G11+$H11-1),1,""))</f>
        <v/>
      </c>
      <c r="JN11" s="69" t="str">
        <f ca="1">IF(AND($C11="Goal",JN$8&gt;=$G11,JN$8&lt;=$G11+$H11-1),2,IF(AND($C11="Milestone",JN$8&gt;=$G11,JN$8&lt;=$G11+$H11-1),1,""))</f>
        <v/>
      </c>
      <c r="JO11" s="69" t="str">
        <f ca="1">IF(AND($C11="Goal",JO$8&gt;=$G11,JO$8&lt;=$G11+$H11-1),2,IF(AND($C11="Milestone",JO$8&gt;=$G11,JO$8&lt;=$G11+$H11-1),1,""))</f>
        <v/>
      </c>
      <c r="JP11" s="69" t="str">
        <f ca="1">IF(AND($C11="Goal",JP$8&gt;=$G11,JP$8&lt;=$G11+$H11-1),2,IF(AND($C11="Milestone",JP$8&gt;=$G11,JP$8&lt;=$G11+$H11-1),1,""))</f>
        <v/>
      </c>
      <c r="JQ11" s="69" t="str">
        <f ca="1">IF(AND($C11="Goal",JQ$8&gt;=$G11,JQ$8&lt;=$G11+$H11-1),2,IF(AND($C11="Milestone",JQ$8&gt;=$G11,JQ$8&lt;=$G11+$H11-1),1,""))</f>
        <v/>
      </c>
      <c r="JR11" s="69" t="str">
        <f ca="1">IF(AND($C11="Goal",JR$8&gt;=$G11,JR$8&lt;=$G11+$H11-1),2,IF(AND($C11="Milestone",JR$8&gt;=$G11,JR$8&lt;=$G11+$H11-1),1,""))</f>
        <v/>
      </c>
      <c r="JS11" s="69" t="str">
        <f ca="1">IF(AND($C11="Goal",JS$8&gt;=$G11,JS$8&lt;=$G11+$H11-1),2,IF(AND($C11="Milestone",JS$8&gt;=$G11,JS$8&lt;=$G11+$H11-1),1,""))</f>
        <v/>
      </c>
      <c r="JT11" s="69" t="str">
        <f ca="1">IF(AND($C11="Goal",JT$8&gt;=$G11,JT$8&lt;=$G11+$H11-1),2,IF(AND($C11="Milestone",JT$8&gt;=$G11,JT$8&lt;=$G11+$H11-1),1,""))</f>
        <v/>
      </c>
      <c r="JU11" s="69" t="str">
        <f ca="1">IF(AND($C11="Goal",JU$8&gt;=$G11,JU$8&lt;=$G11+$H11-1),2,IF(AND($C11="Milestone",JU$8&gt;=$G11,JU$8&lt;=$G11+$H11-1),1,""))</f>
        <v/>
      </c>
      <c r="JV11" s="69" t="str">
        <f ca="1">IF(AND($C11="Goal",JV$8&gt;=$G11,JV$8&lt;=$G11+$H11-1),2,IF(AND($C11="Milestone",JV$8&gt;=$G11,JV$8&lt;=$G11+$H11-1),1,""))</f>
        <v/>
      </c>
      <c r="JW11" s="69" t="str">
        <f ca="1">IF(AND($C11="Goal",JW$8&gt;=$G11,JW$8&lt;=$G11+$H11-1),2,IF(AND($C11="Milestone",JW$8&gt;=$G11,JW$8&lt;=$G11+$H11-1),1,""))</f>
        <v/>
      </c>
      <c r="JX11" s="69" t="str">
        <f ca="1">IF(AND($C11="Goal",JX$8&gt;=$G11,JX$8&lt;=$G11+$H11-1),2,IF(AND($C11="Milestone",JX$8&gt;=$G11,JX$8&lt;=$G11+$H11-1),1,""))</f>
        <v/>
      </c>
      <c r="JY11" s="69" t="str">
        <f ca="1">IF(AND($C11="Goal",JY$8&gt;=$G11,JY$8&lt;=$G11+$H11-1),2,IF(AND($C11="Milestone",JY$8&gt;=$G11,JY$8&lt;=$G11+$H11-1),1,""))</f>
        <v/>
      </c>
      <c r="JZ11" s="69" t="str">
        <f ca="1">IF(AND($C11="Goal",JZ$8&gt;=$G11,JZ$8&lt;=$G11+$H11-1),2,IF(AND($C11="Milestone",JZ$8&gt;=$G11,JZ$8&lt;=$G11+$H11-1),1,""))</f>
        <v/>
      </c>
      <c r="KA11" s="69" t="str">
        <f ca="1">IF(AND($C11="Goal",KA$8&gt;=$G11,KA$8&lt;=$G11+$H11-1),2,IF(AND($C11="Milestone",KA$8&gt;=$G11,KA$8&lt;=$G11+$H11-1),1,""))</f>
        <v/>
      </c>
      <c r="KB11" s="69" t="str">
        <f ca="1">IF(AND($C11="Goal",KB$8&gt;=$G11,KB$8&lt;=$G11+$H11-1),2,IF(AND($C11="Milestone",KB$8&gt;=$G11,KB$8&lt;=$G11+$H11-1),1,""))</f>
        <v/>
      </c>
      <c r="KC11" s="69" t="str">
        <f ca="1">IF(AND($C11="Goal",KC$8&gt;=$G11,KC$8&lt;=$G11+$H11-1),2,IF(AND($C11="Milestone",KC$8&gt;=$G11,KC$8&lt;=$G11+$H11-1),1,""))</f>
        <v/>
      </c>
      <c r="KD11" s="69" t="str">
        <f ca="1">IF(AND($C11="Goal",KD$8&gt;=$G11,KD$8&lt;=$G11+$H11-1),2,IF(AND($C11="Milestone",KD$8&gt;=$G11,KD$8&lt;=$G11+$H11-1),1,""))</f>
        <v/>
      </c>
      <c r="KE11" s="69" t="str">
        <f ca="1">IF(AND($C11="Goal",KE$8&gt;=$G11,KE$8&lt;=$G11+$H11-1),2,IF(AND($C11="Milestone",KE$8&gt;=$G11,KE$8&lt;=$G11+$H11-1),1,""))</f>
        <v/>
      </c>
      <c r="KF11" s="69" t="str">
        <f ca="1">IF(AND($C11="Goal",KF$8&gt;=$G11,KF$8&lt;=$G11+$H11-1),2,IF(AND($C11="Milestone",KF$8&gt;=$G11,KF$8&lt;=$G11+$H11-1),1,""))</f>
        <v/>
      </c>
      <c r="KG11" s="69" t="str">
        <f ca="1">IF(AND($C11="Goal",KG$8&gt;=$G11,KG$8&lt;=$G11+$H11-1),2,IF(AND($C11="Milestone",KG$8&gt;=$G11,KG$8&lt;=$G11+$H11-1),1,""))</f>
        <v/>
      </c>
      <c r="KH11" s="69" t="str">
        <f ca="1">IF(AND($C11="Goal",KH$8&gt;=$G11,KH$8&lt;=$G11+$H11-1),2,IF(AND($C11="Milestone",KH$8&gt;=$G11,KH$8&lt;=$G11+$H11-1),1,""))</f>
        <v/>
      </c>
      <c r="KI11" s="69" t="str">
        <f ca="1">IF(AND($C11="Goal",KI$8&gt;=$G11,KI$8&lt;=$G11+$H11-1),2,IF(AND($C11="Milestone",KI$8&gt;=$G11,KI$8&lt;=$G11+$H11-1),1,""))</f>
        <v/>
      </c>
      <c r="KJ11" s="69" t="str">
        <f ca="1">IF(AND($C11="Goal",KJ$8&gt;=$G11,KJ$8&lt;=$G11+$H11-1),2,IF(AND($C11="Milestone",KJ$8&gt;=$G11,KJ$8&lt;=$G11+$H11-1),1,""))</f>
        <v/>
      </c>
      <c r="KK11" s="69" t="str">
        <f ca="1">IF(AND($C11="Goal",KK$8&gt;=$G11,KK$8&lt;=$G11+$H11-1),2,IF(AND($C11="Milestone",KK$8&gt;=$G11,KK$8&lt;=$G11+$H11-1),1,""))</f>
        <v/>
      </c>
      <c r="KL11" s="69" t="str">
        <f ca="1">IF(AND($C11="Goal",KL$8&gt;=$G11,KL$8&lt;=$G11+$H11-1),2,IF(AND($C11="Milestone",KL$8&gt;=$G11,KL$8&lt;=$G11+$H11-1),1,""))</f>
        <v/>
      </c>
      <c r="KM11" s="69" t="str">
        <f ca="1">IF(AND($C11="Goal",KM$8&gt;=$G11,KM$8&lt;=$G11+$H11-1),2,IF(AND($C11="Milestone",KM$8&gt;=$G11,KM$8&lt;=$G11+$H11-1),1,""))</f>
        <v/>
      </c>
      <c r="KN11" s="69" t="str">
        <f ca="1">IF(AND($C11="Goal",KN$8&gt;=$G11,KN$8&lt;=$G11+$H11-1),2,IF(AND($C11="Milestone",KN$8&gt;=$G11,KN$8&lt;=$G11+$H11-1),1,""))</f>
        <v/>
      </c>
      <c r="KO11" s="69" t="str">
        <f ca="1">IF(AND($C11="Goal",KO$8&gt;=$G11,KO$8&lt;=$G11+$H11-1),2,IF(AND($C11="Milestone",KO$8&gt;=$G11,KO$8&lt;=$G11+$H11-1),1,""))</f>
        <v/>
      </c>
      <c r="KP11" s="69" t="str">
        <f ca="1">IF(AND($C11="Goal",KP$8&gt;=$G11,KP$8&lt;=$G11+$H11-1),2,IF(AND($C11="Milestone",KP$8&gt;=$G11,KP$8&lt;=$G11+$H11-1),1,""))</f>
        <v/>
      </c>
      <c r="KQ11" s="69" t="str">
        <f ca="1">IF(AND($C11="Goal",KQ$8&gt;=$G11,KQ$8&lt;=$G11+$H11-1),2,IF(AND($C11="Milestone",KQ$8&gt;=$G11,KQ$8&lt;=$G11+$H11-1),1,""))</f>
        <v/>
      </c>
      <c r="KR11" s="69" t="str">
        <f ca="1">IF(AND($C11="Goal",KR$8&gt;=$G11,KR$8&lt;=$G11+$H11-1),2,IF(AND($C11="Milestone",KR$8&gt;=$G11,KR$8&lt;=$G11+$H11-1),1,""))</f>
        <v/>
      </c>
      <c r="KS11" s="69" t="str">
        <f ca="1">IF(AND($C11="Goal",KS$8&gt;=$G11,KS$8&lt;=$G11+$H11-1),2,IF(AND($C11="Milestone",KS$8&gt;=$G11,KS$8&lt;=$G11+$H11-1),1,""))</f>
        <v/>
      </c>
      <c r="KT11" s="69" t="str">
        <f ca="1">IF(AND($C11="Goal",KT$8&gt;=$G11,KT$8&lt;=$G11+$H11-1),2,IF(AND($C11="Milestone",KT$8&gt;=$G11,KT$8&lt;=$G11+$H11-1),1,""))</f>
        <v/>
      </c>
      <c r="KU11" s="69" t="str">
        <f ca="1">IF(AND($C11="Goal",KU$8&gt;=$G11,KU$8&lt;=$G11+$H11-1),2,IF(AND($C11="Milestone",KU$8&gt;=$G11,KU$8&lt;=$G11+$H11-1),1,""))</f>
        <v/>
      </c>
      <c r="KV11" s="69" t="str">
        <f ca="1">IF(AND($C11="Goal",KV$8&gt;=$G11,KV$8&lt;=$G11+$H11-1),2,IF(AND($C11="Milestone",KV$8&gt;=$G11,KV$8&lt;=$G11+$H11-1),1,""))</f>
        <v/>
      </c>
      <c r="KW11" s="69" t="str">
        <f ca="1">IF(AND($C11="Goal",KW$8&gt;=$G11,KW$8&lt;=$G11+$H11-1),2,IF(AND($C11="Milestone",KW$8&gt;=$G11,KW$8&lt;=$G11+$H11-1),1,""))</f>
        <v/>
      </c>
      <c r="KX11" s="69" t="str">
        <f ca="1">IF(AND($C11="Goal",KX$8&gt;=$G11,KX$8&lt;=$G11+$H11-1),2,IF(AND($C11="Milestone",KX$8&gt;=$G11,KX$8&lt;=$G11+$H11-1),1,""))</f>
        <v/>
      </c>
      <c r="KY11" s="69" t="str">
        <f ca="1">IF(AND($C11="Goal",KY$8&gt;=$G11,KY$8&lt;=$G11+$H11-1),2,IF(AND($C11="Milestone",KY$8&gt;=$G11,KY$8&lt;=$G11+$H11-1),1,""))</f>
        <v/>
      </c>
      <c r="KZ11" s="69" t="str">
        <f ca="1">IF(AND($C11="Goal",KZ$8&gt;=$G11,KZ$8&lt;=$G11+$H11-1),2,IF(AND($C11="Milestone",KZ$8&gt;=$G11,KZ$8&lt;=$G11+$H11-1),1,""))</f>
        <v/>
      </c>
      <c r="LA11" s="69" t="str">
        <f ca="1">IF(AND($C11="Goal",LA$8&gt;=$G11,LA$8&lt;=$G11+$H11-1),2,IF(AND($C11="Milestone",LA$8&gt;=$G11,LA$8&lt;=$G11+$H11-1),1,""))</f>
        <v/>
      </c>
      <c r="LB11" s="69" t="str">
        <f ca="1">IF(AND($C11="Goal",LB$8&gt;=$G11,LB$8&lt;=$G11+$H11-1),2,IF(AND($C11="Milestone",LB$8&gt;=$G11,LB$8&lt;=$G11+$H11-1),1,""))</f>
        <v/>
      </c>
      <c r="LC11" s="69" t="str">
        <f ca="1">IF(AND($C11="Goal",LC$8&gt;=$G11,LC$8&lt;=$G11+$H11-1),2,IF(AND($C11="Milestone",LC$8&gt;=$G11,LC$8&lt;=$G11+$H11-1),1,""))</f>
        <v/>
      </c>
      <c r="LD11" s="69" t="str">
        <f ca="1">IF(AND($C11="Goal",LD$8&gt;=$G11,LD$8&lt;=$G11+$H11-1),2,IF(AND($C11="Milestone",LD$8&gt;=$G11,LD$8&lt;=$G11+$H11-1),1,""))</f>
        <v/>
      </c>
      <c r="LE11" s="69" t="str">
        <f ca="1">IF(AND($C11="Goal",LE$8&gt;=$G11,LE$8&lt;=$G11+$H11-1),2,IF(AND($C11="Milestone",LE$8&gt;=$G11,LE$8&lt;=$G11+$H11-1),1,""))</f>
        <v/>
      </c>
      <c r="LF11" s="69" t="str">
        <f ca="1">IF(AND($C11="Goal",LF$8&gt;=$G11,LF$8&lt;=$G11+$H11-1),2,IF(AND($C11="Milestone",LF$8&gt;=$G11,LF$8&lt;=$G11+$H11-1),1,""))</f>
        <v/>
      </c>
      <c r="LG11" s="69" t="str">
        <f ca="1">IF(AND($C11="Goal",LG$8&gt;=$G11,LG$8&lt;=$G11+$H11-1),2,IF(AND($C11="Milestone",LG$8&gt;=$G11,LG$8&lt;=$G11+$H11-1),1,""))</f>
        <v/>
      </c>
      <c r="LH11" s="69" t="str">
        <f ca="1">IF(AND($C11="Goal",LH$8&gt;=$G11,LH$8&lt;=$G11+$H11-1),2,IF(AND($C11="Milestone",LH$8&gt;=$G11,LH$8&lt;=$G11+$H11-1),1,""))</f>
        <v/>
      </c>
      <c r="LI11" s="69" t="str">
        <f ca="1">IF(AND($C11="Goal",LI$8&gt;=$G11,LI$8&lt;=$G11+$H11-1),2,IF(AND($C11="Milestone",LI$8&gt;=$G11,LI$8&lt;=$G11+$H11-1),1,""))</f>
        <v/>
      </c>
      <c r="LJ11" s="69" t="str">
        <f ca="1">IF(AND($C11="Goal",LJ$8&gt;=$G11,LJ$8&lt;=$G11+$H11-1),2,IF(AND($C11="Milestone",LJ$8&gt;=$G11,LJ$8&lt;=$G11+$H11-1),1,""))</f>
        <v/>
      </c>
      <c r="LK11" s="69" t="str">
        <f ca="1">IF(AND($C11="Goal",LK$8&gt;=$G11,LK$8&lt;=$G11+$H11-1),2,IF(AND($C11="Milestone",LK$8&gt;=$G11,LK$8&lt;=$G11+$H11-1),1,""))</f>
        <v/>
      </c>
      <c r="LL11" s="69" t="str">
        <f ca="1">IF(AND($C11="Goal",LL$8&gt;=$G11,LL$8&lt;=$G11+$H11-1),2,IF(AND($C11="Milestone",LL$8&gt;=$G11,LL$8&lt;=$G11+$H11-1),1,""))</f>
        <v/>
      </c>
      <c r="LM11" s="69" t="str">
        <f ca="1">IF(AND($C11="Goal",LM$8&gt;=$G11,LM$8&lt;=$G11+$H11-1),2,IF(AND($C11="Milestone",LM$8&gt;=$G11,LM$8&lt;=$G11+$H11-1),1,""))</f>
        <v/>
      </c>
      <c r="LN11" s="69" t="str">
        <f ca="1">IF(AND($C11="Goal",LN$8&gt;=$G11,LN$8&lt;=$G11+$H11-1),2,IF(AND($C11="Milestone",LN$8&gt;=$G11,LN$8&lt;=$G11+$H11-1),1,""))</f>
        <v/>
      </c>
      <c r="LO11" s="69" t="str">
        <f ca="1">IF(AND($C11="Goal",LO$8&gt;=$G11,LO$8&lt;=$G11+$H11-1),2,IF(AND($C11="Milestone",LO$8&gt;=$G11,LO$8&lt;=$G11+$H11-1),1,""))</f>
        <v/>
      </c>
      <c r="LP11" s="69" t="str">
        <f ca="1">IF(AND($C11="Goal",LP$8&gt;=$G11,LP$8&lt;=$G11+$H11-1),2,IF(AND($C11="Milestone",LP$8&gt;=$G11,LP$8&lt;=$G11+$H11-1),1,""))</f>
        <v/>
      </c>
      <c r="LQ11" s="69" t="str">
        <f ca="1">IF(AND($C11="Goal",LQ$8&gt;=$G11,LQ$8&lt;=$G11+$H11-1),2,IF(AND($C11="Milestone",LQ$8&gt;=$G11,LQ$8&lt;=$G11+$H11-1),1,""))</f>
        <v/>
      </c>
      <c r="LR11" s="69" t="str">
        <f ca="1">IF(AND($C11="Goal",LR$8&gt;=$G11,LR$8&lt;=$G11+$H11-1),2,IF(AND($C11="Milestone",LR$8&gt;=$G11,LR$8&lt;=$G11+$H11-1),1,""))</f>
        <v/>
      </c>
      <c r="LS11" s="69" t="str">
        <f ca="1">IF(AND($C11="Goal",LS$8&gt;=$G11,LS$8&lt;=$G11+$H11-1),2,IF(AND($C11="Milestone",LS$8&gt;=$G11,LS$8&lt;=$G11+$H11-1),1,""))</f>
        <v/>
      </c>
      <c r="LT11" s="69" t="str">
        <f ca="1">IF(AND($C11="Goal",LT$8&gt;=$G11,LT$8&lt;=$G11+$H11-1),2,IF(AND($C11="Milestone",LT$8&gt;=$G11,LT$8&lt;=$G11+$H11-1),1,""))</f>
        <v/>
      </c>
      <c r="LU11" s="69" t="str">
        <f ca="1">IF(AND($C11="Goal",LU$8&gt;=$G11,LU$8&lt;=$G11+$H11-1),2,IF(AND($C11="Milestone",LU$8&gt;=$G11,LU$8&lt;=$G11+$H11-1),1,""))</f>
        <v/>
      </c>
      <c r="LV11" s="69" t="str">
        <f ca="1">IF(AND($C11="Goal",LV$8&gt;=$G11,LV$8&lt;=$G11+$H11-1),2,IF(AND($C11="Milestone",LV$8&gt;=$G11,LV$8&lt;=$G11+$H11-1),1,""))</f>
        <v/>
      </c>
      <c r="LW11" s="69" t="str">
        <f ca="1">IF(AND($C11="Goal",LW$8&gt;=$G11,LW$8&lt;=$G11+$H11-1),2,IF(AND($C11="Milestone",LW$8&gt;=$G11,LW$8&lt;=$G11+$H11-1),1,""))</f>
        <v/>
      </c>
      <c r="LX11" s="69" t="str">
        <f ca="1">IF(AND($C11="Goal",LX$8&gt;=$G11,LX$8&lt;=$G11+$H11-1),2,IF(AND($C11="Milestone",LX$8&gt;=$G11,LX$8&lt;=$G11+$H11-1),1,""))</f>
        <v/>
      </c>
    </row>
    <row r="12" spans="1:336" s="1" customFormat="1" ht="27.5" customHeight="1" x14ac:dyDescent="0.25">
      <c r="A12" s="7"/>
      <c r="B12" s="47" t="s">
        <v>17</v>
      </c>
      <c r="C12" s="58"/>
      <c r="D12" s="58" t="str">
        <f ca="1">IF(G12="","",
IF(G12+Milestones4352[[#This Row],[Days]]="","",
IF(OR(F12=1,F12=100%),"Complete",
CHOOSE(
  1
  + --(((1-IF(F12&gt;1,F12/100,F12))*POWER(2.718281828,(60-MAX(0,G12+Milestones4352[[#This Row],[Days]]-TODAY()))/12))&gt;=0.6)
  + --(((1-IF(F12&gt;1,F12/100,F12))*POWER(2.718281828,(60-MAX(0,G12+Milestones4352[[#This Row],[Days]]-TODAY()))/12))&gt;=1.2)
  + --(((1-IF(F12&gt;1,F12/100,F12))*POWER(2.718281828,(60-MAX(0,G12+Milestones4352[[#This Row],[Days]]-TODAY()))/12))&gt;=2),
  "On track","Low risk","Medium risk","High risk"
))))</f>
        <v>Complete</v>
      </c>
      <c r="E12" s="58" t="s">
        <v>0</v>
      </c>
      <c r="F12" s="56">
        <v>1</v>
      </c>
      <c r="G12" s="70">
        <f>G11+H11</f>
        <v>45921</v>
      </c>
      <c r="H12" s="57">
        <v>10</v>
      </c>
      <c r="I12" s="57">
        <f t="shared" si="207"/>
        <v>8</v>
      </c>
      <c r="J12" s="12">
        <f ca="1">IF(OR(Milestones4352[[#This Row],[Start]]="",Milestones4352[[#This Row],[Days]]=""),"",(Milestones4352[[#This Row],[Start]]+Milestones4352[[#This Row],[Days]])-TODAY())</f>
        <v>-18</v>
      </c>
      <c r="K12" s="9"/>
      <c r="L12" s="69" t="str">
        <f ca="1">IF(AND($C12="Goal",L$8&gt;=$G12,L$8&lt;=$G12+$H12-1),2,IF(AND($C12="Milestone",L$8&gt;=$G12,L$8&lt;=$G12+$H12-1),1,""))</f>
        <v/>
      </c>
      <c r="M12" s="69" t="str">
        <f ca="1">IF(AND($C12="Goal",M$8&gt;=$G12,M$8&lt;=$G12+$H12-1),2,IF(AND($C12="Milestone",M$8&gt;=$G12,M$8&lt;=$G12+$H12-1),1,""))</f>
        <v/>
      </c>
      <c r="N12" s="69" t="str">
        <f ca="1">IF(AND($C12="Goal",N$8&gt;=$G12,N$8&lt;=$G12+$H12-1),2,IF(AND($C12="Milestone",N$8&gt;=$G12,N$8&lt;=$G12+$H12-1),1,""))</f>
        <v/>
      </c>
      <c r="O12" s="69" t="str">
        <f ca="1">IF(AND($C12="Goal",O$8&gt;=$G12,O$8&lt;=$G12+$H12-1),2,IF(AND($C12="Milestone",O$8&gt;=$G12,O$8&lt;=$G12+$H12-1),1,""))</f>
        <v/>
      </c>
      <c r="P12" s="69" t="str">
        <f ca="1">IF(AND($C12="Goal",P$8&gt;=$G12,P$8&lt;=$G12+$H12-1),2,IF(AND($C12="Milestone",P$8&gt;=$G12,P$8&lt;=$G12+$H12-1),1,""))</f>
        <v/>
      </c>
      <c r="Q12" s="69" t="str">
        <f ca="1">IF(AND($C12="Goal",Q$8&gt;=$G12,Q$8&lt;=$G12+$H12-1),2,IF(AND($C12="Milestone",Q$8&gt;=$G12,Q$8&lt;=$G12+$H12-1),1,""))</f>
        <v/>
      </c>
      <c r="R12" s="69" t="str">
        <f ca="1">IF(AND($C12="Goal",R$8&gt;=$G12,R$8&lt;=$G12+$H12-1),2,IF(AND($C12="Milestone",R$8&gt;=$G12,R$8&lt;=$G12+$H12-1),1,""))</f>
        <v/>
      </c>
      <c r="S12" s="69" t="str">
        <f ca="1">IF(AND($C12="Goal",S$8&gt;=$G12,S$8&lt;=$G12+$H12-1),2,IF(AND($C12="Milestone",S$8&gt;=$G12,S$8&lt;=$G12+$H12-1),1,""))</f>
        <v/>
      </c>
      <c r="T12" s="69" t="str">
        <f ca="1">IF(AND($C12="Goal",T$8&gt;=$G12,T$8&lt;=$G12+$H12-1),2,IF(AND($C12="Milestone",T$8&gt;=$G12,T$8&lt;=$G12+$H12-1),1,""))</f>
        <v/>
      </c>
      <c r="U12" s="69" t="str">
        <f ca="1">IF(AND($C12="Goal",U$8&gt;=$G12,U$8&lt;=$G12+$H12-1),2,IF(AND($C12="Milestone",U$8&gt;=$G12,U$8&lt;=$G12+$H12-1),1,""))</f>
        <v/>
      </c>
      <c r="V12" s="69" t="str">
        <f ca="1">IF(AND($C12="Goal",V$8&gt;=$G12,V$8&lt;=$G12+$H12-1),2,IF(AND($C12="Milestone",V$8&gt;=$G12,V$8&lt;=$G12+$H12-1),1,""))</f>
        <v/>
      </c>
      <c r="W12" s="69" t="str">
        <f ca="1">IF(AND($C12="Goal",W$8&gt;=$G12,W$8&lt;=$G12+$H12-1),2,IF(AND($C12="Milestone",W$8&gt;=$G12,W$8&lt;=$G12+$H12-1),1,""))</f>
        <v/>
      </c>
      <c r="X12" s="69" t="str">
        <f ca="1">IF(AND($C12="Goal",X$8&gt;=$G12,X$8&lt;=$G12+$H12-1),2,IF(AND($C12="Milestone",X$8&gt;=$G12,X$8&lt;=$G12+$H12-1),1,""))</f>
        <v/>
      </c>
      <c r="Y12" s="69" t="str">
        <f ca="1">IF(AND($C12="Goal",Y$8&gt;=$G12,Y$8&lt;=$G12+$H12-1),2,IF(AND($C12="Milestone",Y$8&gt;=$G12,Y$8&lt;=$G12+$H12-1),1,""))</f>
        <v/>
      </c>
      <c r="Z12" s="69" t="str">
        <f ca="1">IF(AND($C12="Goal",Z$8&gt;=$G12,Z$8&lt;=$G12+$H12-1),2,IF(AND($C12="Milestone",Z$8&gt;=$G12,Z$8&lt;=$G12+$H12-1),1,""))</f>
        <v/>
      </c>
      <c r="AA12" s="69" t="str">
        <f ca="1">IF(AND($C12="Goal",AA$8&gt;=$G12,AA$8&lt;=$G12+$H12-1),2,IF(AND($C12="Milestone",AA$8&gt;=$G12,AA$8&lt;=$G12+$H12-1),1,""))</f>
        <v/>
      </c>
      <c r="AB12" s="69" t="str">
        <f ca="1">IF(AND($C12="Goal",AB$8&gt;=$G12,AB$8&lt;=$G12+$H12-1),2,IF(AND($C12="Milestone",AB$8&gt;=$G12,AB$8&lt;=$G12+$H12-1),1,""))</f>
        <v/>
      </c>
      <c r="AC12" s="69" t="str">
        <f ca="1">IF(AND($C12="Goal",AC$8&gt;=$G12,AC$8&lt;=$G12+$H12-1),2,IF(AND($C12="Milestone",AC$8&gt;=$G12,AC$8&lt;=$G12+$H12-1),1,""))</f>
        <v/>
      </c>
      <c r="AD12" s="69" t="str">
        <f ca="1">IF(AND($C12="Goal",AD$8&gt;=$G12,AD$8&lt;=$G12+$H12-1),2,IF(AND($C12="Milestone",AD$8&gt;=$G12,AD$8&lt;=$G12+$H12-1),1,""))</f>
        <v/>
      </c>
      <c r="AE12" s="69" t="str">
        <f ca="1">IF(AND($C12="Goal",AE$8&gt;=$G12,AE$8&lt;=$G12+$H12-1),2,IF(AND($C12="Milestone",AE$8&gt;=$G12,AE$8&lt;=$G12+$H12-1),1,""))</f>
        <v/>
      </c>
      <c r="AF12" s="69" t="str">
        <f ca="1">IF(AND($C12="Goal",AF$8&gt;=$G12,AF$8&lt;=$G12+$H12-1),2,IF(AND($C12="Milestone",AF$8&gt;=$G12,AF$8&lt;=$G12+$H12-1),1,""))</f>
        <v/>
      </c>
      <c r="AG12" s="69" t="str">
        <f ca="1">IF(AND($C12="Goal",AG$8&gt;=$G12,AG$8&lt;=$G12+$H12-1),2,IF(AND($C12="Milestone",AG$8&gt;=$G12,AG$8&lt;=$G12+$H12-1),1,""))</f>
        <v/>
      </c>
      <c r="AH12" s="69" t="str">
        <f ca="1">IF(AND($C12="Goal",AH$8&gt;=$G12,AH$8&lt;=$G12+$H12-1),2,IF(AND($C12="Milestone",AH$8&gt;=$G12,AH$8&lt;=$G12+$H12-1),1,""))</f>
        <v/>
      </c>
      <c r="AI12" s="69" t="str">
        <f ca="1">IF(AND($C12="Goal",AI$8&gt;=$G12,AI$8&lt;=$G12+$H12-1),2,IF(AND($C12="Milestone",AI$8&gt;=$G12,AI$8&lt;=$G12+$H12-1),1,""))</f>
        <v/>
      </c>
      <c r="AJ12" s="69" t="str">
        <f ca="1">IF(AND($C12="Goal",AJ$8&gt;=$G12,AJ$8&lt;=$G12+$H12-1),2,IF(AND($C12="Milestone",AJ$8&gt;=$G12,AJ$8&lt;=$G12+$H12-1),1,""))</f>
        <v/>
      </c>
      <c r="AK12" s="69" t="str">
        <f ca="1">IF(AND($C12="Goal",AK$8&gt;=$G12,AK$8&lt;=$G12+$H12-1),2,IF(AND($C12="Milestone",AK$8&gt;=$G12,AK$8&lt;=$G12+$H12-1),1,""))</f>
        <v/>
      </c>
      <c r="AL12" s="69" t="str">
        <f ca="1">IF(AND($C12="Goal",AL$8&gt;=$G12,AL$8&lt;=$G12+$H12-1),2,IF(AND($C12="Milestone",AL$8&gt;=$G12,AL$8&lt;=$G12+$H12-1),1,""))</f>
        <v/>
      </c>
      <c r="AM12" s="69" t="str">
        <f ca="1">IF(AND($C12="Goal",AM$8&gt;=$G12,AM$8&lt;=$G12+$H12-1),2,IF(AND($C12="Milestone",AM$8&gt;=$G12,AM$8&lt;=$G12+$H12-1),1,""))</f>
        <v/>
      </c>
      <c r="AN12" s="69" t="str">
        <f ca="1">IF(AND($C12="Goal",AN$8&gt;=$G12,AN$8&lt;=$G12+$H12-1),2,IF(AND($C12="Milestone",AN$8&gt;=$G12,AN$8&lt;=$G12+$H12-1),1,""))</f>
        <v/>
      </c>
      <c r="AO12" s="69" t="str">
        <f ca="1">IF(AND($C12="Goal",AO$8&gt;=$G12,AO$8&lt;=$G12+$H12-1),2,IF(AND($C12="Milestone",AO$8&gt;=$G12,AO$8&lt;=$G12+$H12-1),1,""))</f>
        <v/>
      </c>
      <c r="AP12" s="69" t="str">
        <f ca="1">IF(AND($C12="Goal",AP$8&gt;=$G12,AP$8&lt;=$G12+$H12-1),2,IF(AND($C12="Milestone",AP$8&gt;=$G12,AP$8&lt;=$G12+$H12-1),1,""))</f>
        <v/>
      </c>
      <c r="AQ12" s="69" t="str">
        <f ca="1">IF(AND($C12="Goal",AQ$8&gt;=$G12,AQ$8&lt;=$G12+$H12-1),2,IF(AND($C12="Milestone",AQ$8&gt;=$G12,AQ$8&lt;=$G12+$H12-1),1,""))</f>
        <v/>
      </c>
      <c r="AR12" s="69" t="str">
        <f ca="1">IF(AND($C12="Goal",AR$8&gt;=$G12,AR$8&lt;=$G12+$H12-1),2,IF(AND($C12="Milestone",AR$8&gt;=$G12,AR$8&lt;=$G12+$H12-1),1,""))</f>
        <v/>
      </c>
      <c r="AS12" s="69" t="str">
        <f ca="1">IF(AND($C12="Goal",AS$8&gt;=$G12,AS$8&lt;=$G12+$H12-1),2,IF(AND($C12="Milestone",AS$8&gt;=$G12,AS$8&lt;=$G12+$H12-1),1,""))</f>
        <v/>
      </c>
      <c r="AT12" s="69" t="str">
        <f ca="1">IF(AND($C12="Goal",AT$8&gt;=$G12,AT$8&lt;=$G12+$H12-1),2,IF(AND($C12="Milestone",AT$8&gt;=$G12,AT$8&lt;=$G12+$H12-1),1,""))</f>
        <v/>
      </c>
      <c r="AU12" s="69" t="str">
        <f ca="1">IF(AND($C12="Goal",AU$8&gt;=$G12,AU$8&lt;=$G12+$H12-1),2,IF(AND($C12="Milestone",AU$8&gt;=$G12,AU$8&lt;=$G12+$H12-1),1,""))</f>
        <v/>
      </c>
      <c r="AV12" s="69" t="str">
        <f ca="1">IF(AND($C12="Goal",AV$8&gt;=$G12,AV$8&lt;=$G12+$H12-1),2,IF(AND($C12="Milestone",AV$8&gt;=$G12,AV$8&lt;=$G12+$H12-1),1,""))</f>
        <v/>
      </c>
      <c r="AW12" s="69" t="str">
        <f ca="1">IF(AND($C12="Goal",AW$8&gt;=$G12,AW$8&lt;=$G12+$H12-1),2,IF(AND($C12="Milestone",AW$8&gt;=$G12,AW$8&lt;=$G12+$H12-1),1,""))</f>
        <v/>
      </c>
      <c r="AX12" s="69" t="str">
        <f ca="1">IF(AND($C12="Goal",AX$8&gt;=$G12,AX$8&lt;=$G12+$H12-1),2,IF(AND($C12="Milestone",AX$8&gt;=$G12,AX$8&lt;=$G12+$H12-1),1,""))</f>
        <v/>
      </c>
      <c r="AY12" s="69" t="str">
        <f ca="1">IF(AND($C12="Goal",AY$8&gt;=$G12,AY$8&lt;=$G12+$H12-1),2,IF(AND($C12="Milestone",AY$8&gt;=$G12,AY$8&lt;=$G12+$H12-1),1,""))</f>
        <v/>
      </c>
      <c r="AZ12" s="69" t="str">
        <f ca="1">IF(AND($C12="Goal",AZ$8&gt;=$G12,AZ$8&lt;=$G12+$H12-1),2,IF(AND($C12="Milestone",AZ$8&gt;=$G12,AZ$8&lt;=$G12+$H12-1),1,""))</f>
        <v/>
      </c>
      <c r="BA12" s="69" t="str">
        <f ca="1">IF(AND($C12="Goal",BA$8&gt;=$G12,BA$8&lt;=$G12+$H12-1),2,IF(AND($C12="Milestone",BA$8&gt;=$G12,BA$8&lt;=$G12+$H12-1),1,""))</f>
        <v/>
      </c>
      <c r="BB12" s="69" t="str">
        <f ca="1">IF(AND($C12="Goal",BB$8&gt;=$G12,BB$8&lt;=$G12+$H12-1),2,IF(AND($C12="Milestone",BB$8&gt;=$G12,BB$8&lt;=$G12+$H12-1),1,""))</f>
        <v/>
      </c>
      <c r="BC12" s="69" t="str">
        <f ca="1">IF(AND($C12="Goal",BC$8&gt;=$G12,BC$8&lt;=$G12+$H12-1),2,IF(AND($C12="Milestone",BC$8&gt;=$G12,BC$8&lt;=$G12+$H12-1),1,""))</f>
        <v/>
      </c>
      <c r="BD12" s="69" t="str">
        <f ca="1">IF(AND($C12="Goal",BD$8&gt;=$G12,BD$8&lt;=$G12+$H12-1),2,IF(AND($C12="Milestone",BD$8&gt;=$G12,BD$8&lt;=$G12+$H12-1),1,""))</f>
        <v/>
      </c>
      <c r="BE12" s="69" t="str">
        <f ca="1">IF(AND($C12="Goal",BE$8&gt;=$G12,BE$8&lt;=$G12+$H12-1),2,IF(AND($C12="Milestone",BE$8&gt;=$G12,BE$8&lt;=$G12+$H12-1),1,""))</f>
        <v/>
      </c>
      <c r="BF12" s="69" t="str">
        <f ca="1">IF(AND($C12="Goal",BF$8&gt;=$G12,BF$8&lt;=$G12+$H12-1),2,IF(AND($C12="Milestone",BF$8&gt;=$G12,BF$8&lt;=$G12+$H12-1),1,""))</f>
        <v/>
      </c>
      <c r="BG12" s="69" t="str">
        <f ca="1">IF(AND($C12="Goal",BG$8&gt;=$G12,BG$8&lt;=$G12+$H12-1),2,IF(AND($C12="Milestone",BG$8&gt;=$G12,BG$8&lt;=$G12+$H12-1),1,""))</f>
        <v/>
      </c>
      <c r="BH12" s="69" t="str">
        <f ca="1">IF(AND($C12="Goal",BH$8&gt;=$G12,BH$8&lt;=$G12+$H12-1),2,IF(AND($C12="Milestone",BH$8&gt;=$G12,BH$8&lt;=$G12+$H12-1),1,""))</f>
        <v/>
      </c>
      <c r="BI12" s="69" t="str">
        <f ca="1">IF(AND($C12="Goal",BI$8&gt;=$G12,BI$8&lt;=$G12+$H12-1),2,IF(AND($C12="Milestone",BI$8&gt;=$G12,BI$8&lt;=$G12+$H12-1),1,""))</f>
        <v/>
      </c>
      <c r="BJ12" s="69" t="str">
        <f ca="1">IF(AND($C12="Goal",BJ$8&gt;=$G12,BJ$8&lt;=$G12+$H12-1),2,IF(AND($C12="Milestone",BJ$8&gt;=$G12,BJ$8&lt;=$G12+$H12-1),1,""))</f>
        <v/>
      </c>
      <c r="BK12" s="69" t="str">
        <f ca="1">IF(AND($C12="Goal",BK$8&gt;=$G12,BK$8&lt;=$G12+$H12-1),2,IF(AND($C12="Milestone",BK$8&gt;=$G12,BK$8&lt;=$G12+$H12-1),1,""))</f>
        <v/>
      </c>
      <c r="BL12" s="69" t="str">
        <f ca="1">IF(AND($C12="Goal",BL$8&gt;=$G12,BL$8&lt;=$G12+$H12-1),2,IF(AND($C12="Milestone",BL$8&gt;=$G12,BL$8&lt;=$G12+$H12-1),1,""))</f>
        <v/>
      </c>
      <c r="BM12" s="69" t="str">
        <f ca="1">IF(AND($C12="Goal",BM$8&gt;=$G12,BM$8&lt;=$G12+$H12-1),2,IF(AND($C12="Milestone",BM$8&gt;=$G12,BM$8&lt;=$G12+$H12-1),1,""))</f>
        <v/>
      </c>
      <c r="BN12" s="69" t="str">
        <f ca="1">IF(AND($C12="Goal",BN$8&gt;=$G12,BN$8&lt;=$G12+$H12-1),2,IF(AND($C12="Milestone",BN$8&gt;=$G12,BN$8&lt;=$G12+$H12-1),1,""))</f>
        <v/>
      </c>
      <c r="BO12" s="69" t="str">
        <f ca="1">IF(AND($C12="Goal",BO$8&gt;=$G12,BO$8&lt;=$G12+$H12-1),2,IF(AND($C12="Milestone",BO$8&gt;=$G12,BO$8&lt;=$G12+$H12-1),1,""))</f>
        <v/>
      </c>
      <c r="BP12" s="69" t="str">
        <f ca="1">IF(AND($C12="Goal",BP$8&gt;=$G12,BP$8&lt;=$G12+$H12-1),2,IF(AND($C12="Milestone",BP$8&gt;=$G12,BP$8&lt;=$G12+$H12-1),1,""))</f>
        <v/>
      </c>
      <c r="BQ12" s="69" t="str">
        <f ca="1">IF(AND($C12="Goal",BQ$8&gt;=$G12,BQ$8&lt;=$G12+$H12-1),2,IF(AND($C12="Milestone",BQ$8&gt;=$G12,BQ$8&lt;=$G12+$H12-1),1,""))</f>
        <v/>
      </c>
      <c r="BR12" s="69" t="str">
        <f ca="1">IF(AND($C12="Goal",BR$8&gt;=$G12,BR$8&lt;=$G12+$H12-1),2,IF(AND($C12="Milestone",BR$8&gt;=$G12,BR$8&lt;=$G12+$H12-1),1,""))</f>
        <v/>
      </c>
      <c r="BS12" s="69" t="str">
        <f ca="1">IF(AND($C12="Goal",BS$8&gt;=$G12,BS$8&lt;=$G12+$H12-1),2,IF(AND($C12="Milestone",BS$8&gt;=$G12,BS$8&lt;=$G12+$H12-1),1,""))</f>
        <v/>
      </c>
      <c r="BT12" s="69" t="str">
        <f ca="1">IF(AND($C12="Goal",BT$8&gt;=$G12,BT$8&lt;=$G12+$H12-1),2,IF(AND($C12="Milestone",BT$8&gt;=$G12,BT$8&lt;=$G12+$H12-1),1,""))</f>
        <v/>
      </c>
      <c r="BU12" s="69" t="str">
        <f ca="1">IF(AND($C12="Goal",BU$8&gt;=$G12,BU$8&lt;=$G12+$H12-1),2,IF(AND($C12="Milestone",BU$8&gt;=$G12,BU$8&lt;=$G12+$H12-1),1,""))</f>
        <v/>
      </c>
      <c r="BV12" s="69" t="str">
        <f ca="1">IF(AND($C12="Goal",BV$8&gt;=$G12,BV$8&lt;=$G12+$H12-1),2,IF(AND($C12="Milestone",BV$8&gt;=$G12,BV$8&lt;=$G12+$H12-1),1,""))</f>
        <v/>
      </c>
      <c r="BW12" s="69" t="str">
        <f ca="1">IF(AND($C12="Goal",BW$8&gt;=$G12,BW$8&lt;=$G12+$H12-1),2,IF(AND($C12="Milestone",BW$8&gt;=$G12,BW$8&lt;=$G12+$H12-1),1,""))</f>
        <v/>
      </c>
      <c r="BX12" s="69" t="str">
        <f ca="1">IF(AND($C12="Goal",BX$8&gt;=$G12,BX$8&lt;=$G12+$H12-1),2,IF(AND($C12="Milestone",BX$8&gt;=$G12,BX$8&lt;=$G12+$H12-1),1,""))</f>
        <v/>
      </c>
      <c r="BY12" s="69" t="str">
        <f ca="1">IF(AND($C12="Goal",BY$8&gt;=$G12,BY$8&lt;=$G12+$H12-1),2,IF(AND($C12="Milestone",BY$8&gt;=$G12,BY$8&lt;=$G12+$H12-1),1,""))</f>
        <v/>
      </c>
      <c r="BZ12" s="69" t="str">
        <f ca="1">IF(AND($C12="Goal",BZ$8&gt;=$G12,BZ$8&lt;=$G12+$H12-1),2,IF(AND($C12="Milestone",BZ$8&gt;=$G12,BZ$8&lt;=$G12+$H12-1),1,""))</f>
        <v/>
      </c>
      <c r="CA12" s="69" t="str">
        <f ca="1">IF(AND($C12="Goal",CA$8&gt;=$G12,CA$8&lt;=$G12+$H12-1),2,IF(AND($C12="Milestone",CA$8&gt;=$G12,CA$8&lt;=$G12+$H12-1),1,""))</f>
        <v/>
      </c>
      <c r="CB12" s="69" t="str">
        <f ca="1">IF(AND($C12="Goal",CB$8&gt;=$G12,CB$8&lt;=$G12+$H12-1),2,IF(AND($C12="Milestone",CB$8&gt;=$G12,CB$8&lt;=$G12+$H12-1),1,""))</f>
        <v/>
      </c>
      <c r="CC12" s="69" t="str">
        <f ca="1">IF(AND($C12="Goal",CC$8&gt;=$G12,CC$8&lt;=$G12+$H12-1),2,IF(AND($C12="Milestone",CC$8&gt;=$G12,CC$8&lt;=$G12+$H12-1),1,""))</f>
        <v/>
      </c>
      <c r="CD12" s="69" t="str">
        <f ca="1">IF(AND($C12="Goal",CD$8&gt;=$G12,CD$8&lt;=$G12+$H12-1),2,IF(AND($C12="Milestone",CD$8&gt;=$G12,CD$8&lt;=$G12+$H12-1),1,""))</f>
        <v/>
      </c>
      <c r="CE12" s="69" t="str">
        <f ca="1">IF(AND($C12="Goal",CE$8&gt;=$G12,CE$8&lt;=$G12+$H12-1),2,IF(AND($C12="Milestone",CE$8&gt;=$G12,CE$8&lt;=$G12+$H12-1),1,""))</f>
        <v/>
      </c>
      <c r="CF12" s="69" t="str">
        <f ca="1">IF(AND($C12="Goal",CF$8&gt;=$G12,CF$8&lt;=$G12+$H12-1),2,IF(AND($C12="Milestone",CF$8&gt;=$G12,CF$8&lt;=$G12+$H12-1),1,""))</f>
        <v/>
      </c>
      <c r="CG12" s="69" t="str">
        <f ca="1">IF(AND($C12="Goal",CG$8&gt;=$G12,CG$8&lt;=$G12+$H12-1),2,IF(AND($C12="Milestone",CG$8&gt;=$G12,CG$8&lt;=$G12+$H12-1),1,""))</f>
        <v/>
      </c>
      <c r="CH12" s="69" t="str">
        <f ca="1">IF(AND($C12="Goal",CH$8&gt;=$G12,CH$8&lt;=$G12+$H12-1),2,IF(AND($C12="Milestone",CH$8&gt;=$G12,CH$8&lt;=$G12+$H12-1),1,""))</f>
        <v/>
      </c>
      <c r="CI12" s="69" t="str">
        <f ca="1">IF(AND($C12="Goal",CI$8&gt;=$G12,CI$8&lt;=$G12+$H12-1),2,IF(AND($C12="Milestone",CI$8&gt;=$G12,CI$8&lt;=$G12+$H12-1),1,""))</f>
        <v/>
      </c>
      <c r="CJ12" s="69" t="str">
        <f ca="1">IF(AND($C12="Goal",CJ$8&gt;=$G12,CJ$8&lt;=$G12+$H12-1),2,IF(AND($C12="Milestone",CJ$8&gt;=$G12,CJ$8&lt;=$G12+$H12-1),1,""))</f>
        <v/>
      </c>
      <c r="CK12" s="69" t="str">
        <f ca="1">IF(AND($C12="Goal",CK$8&gt;=$G12,CK$8&lt;=$G12+$H12-1),2,IF(AND($C12="Milestone",CK$8&gt;=$G12,CK$8&lt;=$G12+$H12-1),1,""))</f>
        <v/>
      </c>
      <c r="CL12" s="69" t="str">
        <f ca="1">IF(AND($C12="Goal",CL$8&gt;=$G12,CL$8&lt;=$G12+$H12-1),2,IF(AND($C12="Milestone",CL$8&gt;=$G12,CL$8&lt;=$G12+$H12-1),1,""))</f>
        <v/>
      </c>
      <c r="CM12" s="69" t="str">
        <f ca="1">IF(AND($C12="Goal",CM$8&gt;=$G12,CM$8&lt;=$G12+$H12-1),2,IF(AND($C12="Milestone",CM$8&gt;=$G12,CM$8&lt;=$G12+$H12-1),1,""))</f>
        <v/>
      </c>
      <c r="CN12" s="69" t="str">
        <f ca="1">IF(AND($C12="Goal",CN$8&gt;=$G12,CN$8&lt;=$G12+$H12-1),2,IF(AND($C12="Milestone",CN$8&gt;=$G12,CN$8&lt;=$G12+$H12-1),1,""))</f>
        <v/>
      </c>
      <c r="CO12" s="69" t="str">
        <f ca="1">IF(AND($C12="Goal",CO$8&gt;=$G12,CO$8&lt;=$G12+$H12-1),2,IF(AND($C12="Milestone",CO$8&gt;=$G12,CO$8&lt;=$G12+$H12-1),1,""))</f>
        <v/>
      </c>
      <c r="CP12" s="69" t="str">
        <f ca="1">IF(AND($C12="Goal",CP$8&gt;=$G12,CP$8&lt;=$G12+$H12-1),2,IF(AND($C12="Milestone",CP$8&gt;=$G12,CP$8&lt;=$G12+$H12-1),1,""))</f>
        <v/>
      </c>
      <c r="CQ12" s="69" t="str">
        <f ca="1">IF(AND($C12="Goal",CQ$8&gt;=$G12,CQ$8&lt;=$G12+$H12-1),2,IF(AND($C12="Milestone",CQ$8&gt;=$G12,CQ$8&lt;=$G12+$H12-1),1,""))</f>
        <v/>
      </c>
      <c r="CR12" s="69" t="str">
        <f ca="1">IF(AND($C12="Goal",CR$8&gt;=$G12,CR$8&lt;=$G12+$H12-1),2,IF(AND($C12="Milestone",CR$8&gt;=$G12,CR$8&lt;=$G12+$H12-1),1,""))</f>
        <v/>
      </c>
      <c r="CS12" s="69" t="str">
        <f ca="1">IF(AND($C12="Goal",CS$8&gt;=$G12,CS$8&lt;=$G12+$H12-1),2,IF(AND($C12="Milestone",CS$8&gt;=$G12,CS$8&lt;=$G12+$H12-1),1,""))</f>
        <v/>
      </c>
      <c r="CT12" s="69" t="str">
        <f ca="1">IF(AND($C12="Goal",CT$8&gt;=$G12,CT$8&lt;=$G12+$H12-1),2,IF(AND($C12="Milestone",CT$8&gt;=$G12,CT$8&lt;=$G12+$H12-1),1,""))</f>
        <v/>
      </c>
      <c r="CU12" s="69" t="str">
        <f ca="1">IF(AND($C12="Goal",CU$8&gt;=$G12,CU$8&lt;=$G12+$H12-1),2,IF(AND($C12="Milestone",CU$8&gt;=$G12,CU$8&lt;=$G12+$H12-1),1,""))</f>
        <v/>
      </c>
      <c r="CV12" s="69" t="str">
        <f ca="1">IF(AND($C12="Goal",CV$8&gt;=$G12,CV$8&lt;=$G12+$H12-1),2,IF(AND($C12="Milestone",CV$8&gt;=$G12,CV$8&lt;=$G12+$H12-1),1,""))</f>
        <v/>
      </c>
      <c r="CW12" s="69" t="str">
        <f ca="1">IF(AND($C12="Goal",CW$8&gt;=$G12,CW$8&lt;=$G12+$H12-1),2,IF(AND($C12="Milestone",CW$8&gt;=$G12,CW$8&lt;=$G12+$H12-1),1,""))</f>
        <v/>
      </c>
      <c r="CX12" s="69" t="str">
        <f ca="1">IF(AND($C12="Goal",CX$8&gt;=$G12,CX$8&lt;=$G12+$H12-1),2,IF(AND($C12="Milestone",CX$8&gt;=$G12,CX$8&lt;=$G12+$H12-1),1,""))</f>
        <v/>
      </c>
      <c r="CY12" s="69" t="str">
        <f ca="1">IF(AND($C12="Goal",CY$8&gt;=$G12,CY$8&lt;=$G12+$H12-1),2,IF(AND($C12="Milestone",CY$8&gt;=$G12,CY$8&lt;=$G12+$H12-1),1,""))</f>
        <v/>
      </c>
      <c r="CZ12" s="69" t="str">
        <f ca="1">IF(AND($C12="Goal",CZ$8&gt;=$G12,CZ$8&lt;=$G12+$H12-1),2,IF(AND($C12="Milestone",CZ$8&gt;=$G12,CZ$8&lt;=$G12+$H12-1),1,""))</f>
        <v/>
      </c>
      <c r="DA12" s="69" t="str">
        <f ca="1">IF(AND($C12="Goal",DA$8&gt;=$G12,DA$8&lt;=$G12+$H12-1),2,IF(AND($C12="Milestone",DA$8&gt;=$G12,DA$8&lt;=$G12+$H12-1),1,""))</f>
        <v/>
      </c>
      <c r="DB12" s="69" t="str">
        <f ca="1">IF(AND($C12="Goal",DB$8&gt;=$G12,DB$8&lt;=$G12+$H12-1),2,IF(AND($C12="Milestone",DB$8&gt;=$G12,DB$8&lt;=$G12+$H12-1),1,""))</f>
        <v/>
      </c>
      <c r="DC12" s="69" t="str">
        <f ca="1">IF(AND($C12="Goal",DC$8&gt;=$G12,DC$8&lt;=$G12+$H12-1),2,IF(AND($C12="Milestone",DC$8&gt;=$G12,DC$8&lt;=$G12+$H12-1),1,""))</f>
        <v/>
      </c>
      <c r="DD12" s="69" t="str">
        <f ca="1">IF(AND($C12="Goal",DD$8&gt;=$G12,DD$8&lt;=$G12+$H12-1),2,IF(AND($C12="Milestone",DD$8&gt;=$G12,DD$8&lt;=$G12+$H12-1),1,""))</f>
        <v/>
      </c>
      <c r="DE12" s="69" t="str">
        <f ca="1">IF(AND($C12="Goal",DE$8&gt;=$G12,DE$8&lt;=$G12+$H12-1),2,IF(AND($C12="Milestone",DE$8&gt;=$G12,DE$8&lt;=$G12+$H12-1),1,""))</f>
        <v/>
      </c>
      <c r="DF12" s="69" t="str">
        <f ca="1">IF(AND($C12="Goal",DF$8&gt;=$G12,DF$8&lt;=$G12+$H12-1),2,IF(AND($C12="Milestone",DF$8&gt;=$G12,DF$8&lt;=$G12+$H12-1),1,""))</f>
        <v/>
      </c>
      <c r="DG12" s="69" t="str">
        <f ca="1">IF(AND($C12="Goal",DG$8&gt;=$G12,DG$8&lt;=$G12+$H12-1),2,IF(AND($C12="Milestone",DG$8&gt;=$G12,DG$8&lt;=$G12+$H12-1),1,""))</f>
        <v/>
      </c>
      <c r="DH12" s="69" t="str">
        <f ca="1">IF(AND($C12="Goal",DH$8&gt;=$G12,DH$8&lt;=$G12+$H12-1),2,IF(AND($C12="Milestone",DH$8&gt;=$G12,DH$8&lt;=$G12+$H12-1),1,""))</f>
        <v/>
      </c>
      <c r="DI12" s="69" t="str">
        <f ca="1">IF(AND($C12="Goal",DI$8&gt;=$G12,DI$8&lt;=$G12+$H12-1),2,IF(AND($C12="Milestone",DI$8&gt;=$G12,DI$8&lt;=$G12+$H12-1),1,""))</f>
        <v/>
      </c>
      <c r="DJ12" s="69" t="str">
        <f ca="1">IF(AND($C12="Goal",DJ$8&gt;=$G12,DJ$8&lt;=$G12+$H12-1),2,IF(AND($C12="Milestone",DJ$8&gt;=$G12,DJ$8&lt;=$G12+$H12-1),1,""))</f>
        <v/>
      </c>
      <c r="DK12" s="69" t="str">
        <f ca="1">IF(AND($C12="Goal",DK$8&gt;=$G12,DK$8&lt;=$G12+$H12-1),2,IF(AND($C12="Milestone",DK$8&gt;=$G12,DK$8&lt;=$G12+$H12-1),1,""))</f>
        <v/>
      </c>
      <c r="DL12" s="69" t="str">
        <f ca="1">IF(AND($C12="Goal",DL$8&gt;=$G12,DL$8&lt;=$G12+$H12-1),2,IF(AND($C12="Milestone",DL$8&gt;=$G12,DL$8&lt;=$G12+$H12-1),1,""))</f>
        <v/>
      </c>
      <c r="DM12" s="69" t="str">
        <f ca="1">IF(AND($C12="Goal",DM$8&gt;=$G12,DM$8&lt;=$G12+$H12-1),2,IF(AND($C12="Milestone",DM$8&gt;=$G12,DM$8&lt;=$G12+$H12-1),1,""))</f>
        <v/>
      </c>
      <c r="DN12" s="69" t="str">
        <f ca="1">IF(AND($C12="Goal",DN$8&gt;=$G12,DN$8&lt;=$G12+$H12-1),2,IF(AND($C12="Milestone",DN$8&gt;=$G12,DN$8&lt;=$G12+$H12-1),1,""))</f>
        <v/>
      </c>
      <c r="DO12" s="69" t="str">
        <f ca="1">IF(AND($C12="Goal",DO$8&gt;=$G12,DO$8&lt;=$G12+$H12-1),2,IF(AND($C12="Milestone",DO$8&gt;=$G12,DO$8&lt;=$G12+$H12-1),1,""))</f>
        <v/>
      </c>
      <c r="DP12" s="69" t="str">
        <f ca="1">IF(AND($C12="Goal",DP$8&gt;=$G12,DP$8&lt;=$G12+$H12-1),2,IF(AND($C12="Milestone",DP$8&gt;=$G12,DP$8&lt;=$G12+$H12-1),1,""))</f>
        <v/>
      </c>
      <c r="DQ12" s="69" t="str">
        <f ca="1">IF(AND($C12="Goal",DQ$8&gt;=$G12,DQ$8&lt;=$G12+$H12-1),2,IF(AND($C12="Milestone",DQ$8&gt;=$G12,DQ$8&lt;=$G12+$H12-1),1,""))</f>
        <v/>
      </c>
      <c r="DR12" s="69" t="str">
        <f ca="1">IF(AND($C12="Goal",DR$8&gt;=$G12,DR$8&lt;=$G12+$H12-1),2,IF(AND($C12="Milestone",DR$8&gt;=$G12,DR$8&lt;=$G12+$H12-1),1,""))</f>
        <v/>
      </c>
      <c r="DS12" s="69" t="str">
        <f ca="1">IF(AND($C12="Goal",DS$8&gt;=$G12,DS$8&lt;=$G12+$H12-1),2,IF(AND($C12="Milestone",DS$8&gt;=$G12,DS$8&lt;=$G12+$H12-1),1,""))</f>
        <v/>
      </c>
      <c r="DT12" s="69" t="str">
        <f ca="1">IF(AND($C12="Goal",DT$8&gt;=$G12,DT$8&lt;=$G12+$H12-1),2,IF(AND($C12="Milestone",DT$8&gt;=$G12,DT$8&lt;=$G12+$H12-1),1,""))</f>
        <v/>
      </c>
      <c r="DU12" s="69" t="str">
        <f ca="1">IF(AND($C12="Goal",DU$8&gt;=$G12,DU$8&lt;=$G12+$H12-1),2,IF(AND($C12="Milestone",DU$8&gt;=$G12,DU$8&lt;=$G12+$H12-1),1,""))</f>
        <v/>
      </c>
      <c r="DV12" s="69" t="str">
        <f ca="1">IF(AND($C12="Goal",DV$8&gt;=$G12,DV$8&lt;=$G12+$H12-1),2,IF(AND($C12="Milestone",DV$8&gt;=$G12,DV$8&lt;=$G12+$H12-1),1,""))</f>
        <v/>
      </c>
      <c r="DW12" s="69" t="str">
        <f ca="1">IF(AND($C12="Goal",DW$8&gt;=$G12,DW$8&lt;=$G12+$H12-1),2,IF(AND($C12="Milestone",DW$8&gt;=$G12,DW$8&lt;=$G12+$H12-1),1,""))</f>
        <v/>
      </c>
      <c r="DX12" s="69" t="str">
        <f ca="1">IF(AND($C12="Goal",DX$8&gt;=$G12,DX$8&lt;=$G12+$H12-1),2,IF(AND($C12="Milestone",DX$8&gt;=$G12,DX$8&lt;=$G12+$H12-1),1,""))</f>
        <v/>
      </c>
      <c r="DY12" s="69" t="str">
        <f ca="1">IF(AND($C12="Goal",DY$8&gt;=$G12,DY$8&lt;=$G12+$H12-1),2,IF(AND($C12="Milestone",DY$8&gt;=$G12,DY$8&lt;=$G12+$H12-1),1,""))</f>
        <v/>
      </c>
      <c r="DZ12" s="69" t="str">
        <f ca="1">IF(AND($C12="Goal",DZ$8&gt;=$G12,DZ$8&lt;=$G12+$H12-1),2,IF(AND($C12="Milestone",DZ$8&gt;=$G12,DZ$8&lt;=$G12+$H12-1),1,""))</f>
        <v/>
      </c>
      <c r="EA12" s="69" t="str">
        <f ca="1">IF(AND($C12="Goal",EA$8&gt;=$G12,EA$8&lt;=$G12+$H12-1),2,IF(AND($C12="Milestone",EA$8&gt;=$G12,EA$8&lt;=$G12+$H12-1),1,""))</f>
        <v/>
      </c>
      <c r="EB12" s="69" t="str">
        <f ca="1">IF(AND($C12="Goal",EB$8&gt;=$G12,EB$8&lt;=$G12+$H12-1),2,IF(AND($C12="Milestone",EB$8&gt;=$G12,EB$8&lt;=$G12+$H12-1),1,""))</f>
        <v/>
      </c>
      <c r="EC12" s="69" t="str">
        <f ca="1">IF(AND($C12="Goal",EC$8&gt;=$G12,EC$8&lt;=$G12+$H12-1),2,IF(AND($C12="Milestone",EC$8&gt;=$G12,EC$8&lt;=$G12+$H12-1),1,""))</f>
        <v/>
      </c>
      <c r="ED12" s="69" t="str">
        <f ca="1">IF(AND($C12="Goal",ED$8&gt;=$G12,ED$8&lt;=$G12+$H12-1),2,IF(AND($C12="Milestone",ED$8&gt;=$G12,ED$8&lt;=$G12+$H12-1),1,""))</f>
        <v/>
      </c>
      <c r="EE12" s="69" t="str">
        <f ca="1">IF(AND($C12="Goal",EE$8&gt;=$G12,EE$8&lt;=$G12+$H12-1),2,IF(AND($C12="Milestone",EE$8&gt;=$G12,EE$8&lt;=$G12+$H12-1),1,""))</f>
        <v/>
      </c>
      <c r="EF12" s="69" t="str">
        <f ca="1">IF(AND($C12="Goal",EF$8&gt;=$G12,EF$8&lt;=$G12+$H12-1),2,IF(AND($C12="Milestone",EF$8&gt;=$G12,EF$8&lt;=$G12+$H12-1),1,""))</f>
        <v/>
      </c>
      <c r="EG12" s="69" t="str">
        <f ca="1">IF(AND($C12="Goal",EG$8&gt;=$G12,EG$8&lt;=$G12+$H12-1),2,IF(AND($C12="Milestone",EG$8&gt;=$G12,EG$8&lt;=$G12+$H12-1),1,""))</f>
        <v/>
      </c>
      <c r="EH12" s="69" t="str">
        <f ca="1">IF(AND($C12="Goal",EH$8&gt;=$G12,EH$8&lt;=$G12+$H12-1),2,IF(AND($C12="Milestone",EH$8&gt;=$G12,EH$8&lt;=$G12+$H12-1),1,""))</f>
        <v/>
      </c>
      <c r="EI12" s="69" t="str">
        <f ca="1">IF(AND($C12="Goal",EI$8&gt;=$G12,EI$8&lt;=$G12+$H12-1),2,IF(AND($C12="Milestone",EI$8&gt;=$G12,EI$8&lt;=$G12+$H12-1),1,""))</f>
        <v/>
      </c>
      <c r="EJ12" s="69" t="str">
        <f ca="1">IF(AND($C12="Goal",EJ$8&gt;=$G12,EJ$8&lt;=$G12+$H12-1),2,IF(AND($C12="Milestone",EJ$8&gt;=$G12,EJ$8&lt;=$G12+$H12-1),1,""))</f>
        <v/>
      </c>
      <c r="EK12" s="69" t="str">
        <f ca="1">IF(AND($C12="Goal",EK$8&gt;=$G12,EK$8&lt;=$G12+$H12-1),2,IF(AND($C12="Milestone",EK$8&gt;=$G12,EK$8&lt;=$G12+$H12-1),1,""))</f>
        <v/>
      </c>
      <c r="EL12" s="69" t="str">
        <f ca="1">IF(AND($C12="Goal",EL$8&gt;=$G12,EL$8&lt;=$G12+$H12-1),2,IF(AND($C12="Milestone",EL$8&gt;=$G12,EL$8&lt;=$G12+$H12-1),1,""))</f>
        <v/>
      </c>
      <c r="EM12" s="69" t="str">
        <f ca="1">IF(AND($C12="Goal",EM$8&gt;=$G12,EM$8&lt;=$G12+$H12-1),2,IF(AND($C12="Milestone",EM$8&gt;=$G12,EM$8&lt;=$G12+$H12-1),1,""))</f>
        <v/>
      </c>
      <c r="EN12" s="69" t="str">
        <f ca="1">IF(AND($C12="Goal",EN$8&gt;=$G12,EN$8&lt;=$G12+$H12-1),2,IF(AND($C12="Milestone",EN$8&gt;=$G12,EN$8&lt;=$G12+$H12-1),1,""))</f>
        <v/>
      </c>
      <c r="EO12" s="69" t="str">
        <f ca="1">IF(AND($C12="Goal",EO$8&gt;=$G12,EO$8&lt;=$G12+$H12-1),2,IF(AND($C12="Milestone",EO$8&gt;=$G12,EO$8&lt;=$G12+$H12-1),1,""))</f>
        <v/>
      </c>
      <c r="EP12" s="69" t="str">
        <f ca="1">IF(AND($C12="Goal",EP$8&gt;=$G12,EP$8&lt;=$G12+$H12-1),2,IF(AND($C12="Milestone",EP$8&gt;=$G12,EP$8&lt;=$G12+$H12-1),1,""))</f>
        <v/>
      </c>
      <c r="EQ12" s="69" t="str">
        <f ca="1">IF(AND($C12="Goal",EQ$8&gt;=$G12,EQ$8&lt;=$G12+$H12-1),2,IF(AND($C12="Milestone",EQ$8&gt;=$G12,EQ$8&lt;=$G12+$H12-1),1,""))</f>
        <v/>
      </c>
      <c r="ER12" s="69" t="str">
        <f ca="1">IF(AND($C12="Goal",ER$8&gt;=$G12,ER$8&lt;=$G12+$H12-1),2,IF(AND($C12="Milestone",ER$8&gt;=$G12,ER$8&lt;=$G12+$H12-1),1,""))</f>
        <v/>
      </c>
      <c r="ES12" s="69" t="str">
        <f ca="1">IF(AND($C12="Goal",ES$8&gt;=$G12,ES$8&lt;=$G12+$H12-1),2,IF(AND($C12="Milestone",ES$8&gt;=$G12,ES$8&lt;=$G12+$H12-1),1,""))</f>
        <v/>
      </c>
      <c r="ET12" s="69" t="str">
        <f ca="1">IF(AND($C12="Goal",ET$8&gt;=$G12,ET$8&lt;=$G12+$H12-1),2,IF(AND($C12="Milestone",ET$8&gt;=$G12,ET$8&lt;=$G12+$H12-1),1,""))</f>
        <v/>
      </c>
      <c r="EU12" s="69" t="str">
        <f ca="1">IF(AND($C12="Goal",EU$8&gt;=$G12,EU$8&lt;=$G12+$H12-1),2,IF(AND($C12="Milestone",EU$8&gt;=$G12,EU$8&lt;=$G12+$H12-1),1,""))</f>
        <v/>
      </c>
      <c r="EV12" s="69" t="str">
        <f ca="1">IF(AND($C12="Goal",EV$8&gt;=$G12,EV$8&lt;=$G12+$H12-1),2,IF(AND($C12="Milestone",EV$8&gt;=$G12,EV$8&lt;=$G12+$H12-1),1,""))</f>
        <v/>
      </c>
      <c r="EW12" s="69" t="str">
        <f ca="1">IF(AND($C12="Goal",EW$8&gt;=$G12,EW$8&lt;=$G12+$H12-1),2,IF(AND($C12="Milestone",EW$8&gt;=$G12,EW$8&lt;=$G12+$H12-1),1,""))</f>
        <v/>
      </c>
      <c r="EX12" s="69" t="str">
        <f ca="1">IF(AND($C12="Goal",EX$8&gt;=$G12,EX$8&lt;=$G12+$H12-1),2,IF(AND($C12="Milestone",EX$8&gt;=$G12,EX$8&lt;=$G12+$H12-1),1,""))</f>
        <v/>
      </c>
      <c r="EY12" s="69" t="str">
        <f ca="1">IF(AND($C12="Goal",EY$8&gt;=$G12,EY$8&lt;=$G12+$H12-1),2,IF(AND($C12="Milestone",EY$8&gt;=$G12,EY$8&lt;=$G12+$H12-1),1,""))</f>
        <v/>
      </c>
      <c r="EZ12" s="69" t="str">
        <f ca="1">IF(AND($C12="Goal",EZ$8&gt;=$G12,EZ$8&lt;=$G12+$H12-1),2,IF(AND($C12="Milestone",EZ$8&gt;=$G12,EZ$8&lt;=$G12+$H12-1),1,""))</f>
        <v/>
      </c>
      <c r="FA12" s="69" t="str">
        <f ca="1">IF(AND($C12="Goal",FA$8&gt;=$G12,FA$8&lt;=$G12+$H12-1),2,IF(AND($C12="Milestone",FA$8&gt;=$G12,FA$8&lt;=$G12+$H12-1),1,""))</f>
        <v/>
      </c>
      <c r="FB12" s="69" t="str">
        <f ca="1">IF(AND($C12="Goal",FB$8&gt;=$G12,FB$8&lt;=$G12+$H12-1),2,IF(AND($C12="Milestone",FB$8&gt;=$G12,FB$8&lt;=$G12+$H12-1),1,""))</f>
        <v/>
      </c>
      <c r="FC12" s="69" t="str">
        <f ca="1">IF(AND($C12="Goal",FC$8&gt;=$G12,FC$8&lt;=$G12+$H12-1),2,IF(AND($C12="Milestone",FC$8&gt;=$G12,FC$8&lt;=$G12+$H12-1),1,""))</f>
        <v/>
      </c>
      <c r="FD12" s="69" t="str">
        <f ca="1">IF(AND($C12="Goal",FD$8&gt;=$G12,FD$8&lt;=$G12+$H12-1),2,IF(AND($C12="Milestone",FD$8&gt;=$G12,FD$8&lt;=$G12+$H12-1),1,""))</f>
        <v/>
      </c>
      <c r="FE12" s="69" t="str">
        <f ca="1">IF(AND($C12="Goal",FE$8&gt;=$G12,FE$8&lt;=$G12+$H12-1),2,IF(AND($C12="Milestone",FE$8&gt;=$G12,FE$8&lt;=$G12+$H12-1),1,""))</f>
        <v/>
      </c>
      <c r="FF12" s="69" t="str">
        <f ca="1">IF(AND($C12="Goal",FF$8&gt;=$G12,FF$8&lt;=$G12+$H12-1),2,IF(AND($C12="Milestone",FF$8&gt;=$G12,FF$8&lt;=$G12+$H12-1),1,""))</f>
        <v/>
      </c>
      <c r="FG12" s="69" t="str">
        <f ca="1">IF(AND($C12="Goal",FG$8&gt;=$G12,FG$8&lt;=$G12+$H12-1),2,IF(AND($C12="Milestone",FG$8&gt;=$G12,FG$8&lt;=$G12+$H12-1),1,""))</f>
        <v/>
      </c>
      <c r="FH12" s="69" t="str">
        <f ca="1">IF(AND($C12="Goal",FH$8&gt;=$G12,FH$8&lt;=$G12+$H12-1),2,IF(AND($C12="Milestone",FH$8&gt;=$G12,FH$8&lt;=$G12+$H12-1),1,""))</f>
        <v/>
      </c>
      <c r="FI12" s="69" t="str">
        <f ca="1">IF(AND($C12="Goal",FI$8&gt;=$G12,FI$8&lt;=$G12+$H12-1),2,IF(AND($C12="Milestone",FI$8&gt;=$G12,FI$8&lt;=$G12+$H12-1),1,""))</f>
        <v/>
      </c>
      <c r="FJ12" s="69" t="str">
        <f ca="1">IF(AND($C12="Goal",FJ$8&gt;=$G12,FJ$8&lt;=$G12+$H12-1),2,IF(AND($C12="Milestone",FJ$8&gt;=$G12,FJ$8&lt;=$G12+$H12-1),1,""))</f>
        <v/>
      </c>
      <c r="FK12" s="69" t="str">
        <f ca="1">IF(AND($C12="Goal",FK$8&gt;=$G12,FK$8&lt;=$G12+$H12-1),2,IF(AND($C12="Milestone",FK$8&gt;=$G12,FK$8&lt;=$G12+$H12-1),1,""))</f>
        <v/>
      </c>
      <c r="FL12" s="69" t="str">
        <f ca="1">IF(AND($C12="Goal",FL$8&gt;=$G12,FL$8&lt;=$G12+$H12-1),2,IF(AND($C12="Milestone",FL$8&gt;=$G12,FL$8&lt;=$G12+$H12-1),1,""))</f>
        <v/>
      </c>
      <c r="FM12" s="69" t="str">
        <f ca="1">IF(AND($C12="Goal",FM$8&gt;=$G12,FM$8&lt;=$G12+$H12-1),2,IF(AND($C12="Milestone",FM$8&gt;=$G12,FM$8&lt;=$G12+$H12-1),1,""))</f>
        <v/>
      </c>
      <c r="FN12" s="69" t="str">
        <f ca="1">IF(AND($C12="Goal",FN$8&gt;=$G12,FN$8&lt;=$G12+$H12-1),2,IF(AND($C12="Milestone",FN$8&gt;=$G12,FN$8&lt;=$G12+$H12-1),1,""))</f>
        <v/>
      </c>
      <c r="FO12" s="69" t="str">
        <f ca="1">IF(AND($C12="Goal",FO$8&gt;=$G12,FO$8&lt;=$G12+$H12-1),2,IF(AND($C12="Milestone",FO$8&gt;=$G12,FO$8&lt;=$G12+$H12-1),1,""))</f>
        <v/>
      </c>
      <c r="FP12" s="69" t="str">
        <f ca="1">IF(AND($C12="Goal",FP$8&gt;=$G12,FP$8&lt;=$G12+$H12-1),2,IF(AND($C12="Milestone",FP$8&gt;=$G12,FP$8&lt;=$G12+$H12-1),1,""))</f>
        <v/>
      </c>
      <c r="FQ12" s="69" t="str">
        <f ca="1">IF(AND($C12="Goal",FQ$8&gt;=$G12,FQ$8&lt;=$G12+$H12-1),2,IF(AND($C12="Milestone",FQ$8&gt;=$G12,FQ$8&lt;=$G12+$H12-1),1,""))</f>
        <v/>
      </c>
      <c r="FR12" s="69" t="str">
        <f ca="1">IF(AND($C12="Goal",FR$8&gt;=$G12,FR$8&lt;=$G12+$H12-1),2,IF(AND($C12="Milestone",FR$8&gt;=$G12,FR$8&lt;=$G12+$H12-1),1,""))</f>
        <v/>
      </c>
      <c r="FS12" s="69" t="str">
        <f ca="1">IF(AND($C12="Goal",FS$8&gt;=$G12,FS$8&lt;=$G12+$H12-1),2,IF(AND($C12="Milestone",FS$8&gt;=$G12,FS$8&lt;=$G12+$H12-1),1,""))</f>
        <v/>
      </c>
      <c r="FT12" s="69" t="str">
        <f ca="1">IF(AND($C12="Goal",FT$8&gt;=$G12,FT$8&lt;=$G12+$H12-1),2,IF(AND($C12="Milestone",FT$8&gt;=$G12,FT$8&lt;=$G12+$H12-1),1,""))</f>
        <v/>
      </c>
      <c r="FU12" s="69" t="str">
        <f ca="1">IF(AND($C12="Goal",FU$8&gt;=$G12,FU$8&lt;=$G12+$H12-1),2,IF(AND($C12="Milestone",FU$8&gt;=$G12,FU$8&lt;=$G12+$H12-1),1,""))</f>
        <v/>
      </c>
      <c r="FV12" s="69" t="str">
        <f ca="1">IF(AND($C12="Goal",FV$8&gt;=$G12,FV$8&lt;=$G12+$H12-1),2,IF(AND($C12="Milestone",FV$8&gt;=$G12,FV$8&lt;=$G12+$H12-1),1,""))</f>
        <v/>
      </c>
      <c r="FW12" s="69" t="str">
        <f ca="1">IF(AND($C12="Goal",FW$8&gt;=$G12,FW$8&lt;=$G12+$H12-1),2,IF(AND($C12="Milestone",FW$8&gt;=$G12,FW$8&lt;=$G12+$H12-1),1,""))</f>
        <v/>
      </c>
      <c r="FX12" s="69" t="str">
        <f ca="1">IF(AND($C12="Goal",FX$8&gt;=$G12,FX$8&lt;=$G12+$H12-1),2,IF(AND($C12="Milestone",FX$8&gt;=$G12,FX$8&lt;=$G12+$H12-1),1,""))</f>
        <v/>
      </c>
      <c r="FY12" s="69" t="str">
        <f ca="1">IF(AND($C12="Goal",FY$8&gt;=$G12,FY$8&lt;=$G12+$H12-1),2,IF(AND($C12="Milestone",FY$8&gt;=$G12,FY$8&lt;=$G12+$H12-1),1,""))</f>
        <v/>
      </c>
      <c r="FZ12" s="69" t="str">
        <f ca="1">IF(AND($C12="Goal",FZ$8&gt;=$G12,FZ$8&lt;=$G12+$H12-1),2,IF(AND($C12="Milestone",FZ$8&gt;=$G12,FZ$8&lt;=$G12+$H12-1),1,""))</f>
        <v/>
      </c>
      <c r="GA12" s="69" t="str">
        <f ca="1">IF(AND($C12="Goal",GA$8&gt;=$G12,GA$8&lt;=$G12+$H12-1),2,IF(AND($C12="Milestone",GA$8&gt;=$G12,GA$8&lt;=$G12+$H12-1),1,""))</f>
        <v/>
      </c>
      <c r="GB12" s="69" t="str">
        <f ca="1">IF(AND($C12="Goal",GB$8&gt;=$G12,GB$8&lt;=$G12+$H12-1),2,IF(AND($C12="Milestone",GB$8&gt;=$G12,GB$8&lt;=$G12+$H12-1),1,""))</f>
        <v/>
      </c>
      <c r="GC12" s="69" t="str">
        <f ca="1">IF(AND($C12="Goal",GC$8&gt;=$G12,GC$8&lt;=$G12+$H12-1),2,IF(AND($C12="Milestone",GC$8&gt;=$G12,GC$8&lt;=$G12+$H12-1),1,""))</f>
        <v/>
      </c>
      <c r="GD12" s="69" t="str">
        <f ca="1">IF(AND($C12="Goal",GD$8&gt;=$G12,GD$8&lt;=$G12+$H12-1),2,IF(AND($C12="Milestone",GD$8&gt;=$G12,GD$8&lt;=$G12+$H12-1),1,""))</f>
        <v/>
      </c>
      <c r="GE12" s="69" t="str">
        <f ca="1">IF(AND($C12="Goal",GE$8&gt;=$G12,GE$8&lt;=$G12+$H12-1),2,IF(AND($C12="Milestone",GE$8&gt;=$G12,GE$8&lt;=$G12+$H12-1),1,""))</f>
        <v/>
      </c>
      <c r="GF12" s="69" t="str">
        <f ca="1">IF(AND($C12="Goal",GF$8&gt;=$G12,GF$8&lt;=$G12+$H12-1),2,IF(AND($C12="Milestone",GF$8&gt;=$G12,GF$8&lt;=$G12+$H12-1),1,""))</f>
        <v/>
      </c>
      <c r="GG12" s="69" t="str">
        <f ca="1">IF(AND($C12="Goal",GG$8&gt;=$G12,GG$8&lt;=$G12+$H12-1),2,IF(AND($C12="Milestone",GG$8&gt;=$G12,GG$8&lt;=$G12+$H12-1),1,""))</f>
        <v/>
      </c>
      <c r="GH12" s="69" t="str">
        <f ca="1">IF(AND($C12="Goal",GH$8&gt;=$G12,GH$8&lt;=$G12+$H12-1),2,IF(AND($C12="Milestone",GH$8&gt;=$G12,GH$8&lt;=$G12+$H12-1),1,""))</f>
        <v/>
      </c>
      <c r="GI12" s="69" t="str">
        <f ca="1">IF(AND($C12="Goal",GI$8&gt;=$G12,GI$8&lt;=$G12+$H12-1),2,IF(AND($C12="Milestone",GI$8&gt;=$G12,GI$8&lt;=$G12+$H12-1),1,""))</f>
        <v/>
      </c>
      <c r="GJ12" s="69" t="str">
        <f ca="1">IF(AND($C12="Goal",GJ$8&gt;=$G12,GJ$8&lt;=$G12+$H12-1),2,IF(AND($C12="Milestone",GJ$8&gt;=$G12,GJ$8&lt;=$G12+$H12-1),1,""))</f>
        <v/>
      </c>
      <c r="GK12" s="69" t="str">
        <f ca="1">IF(AND($C12="Goal",GK$8&gt;=$G12,GK$8&lt;=$G12+$H12-1),2,IF(AND($C12="Milestone",GK$8&gt;=$G12,GK$8&lt;=$G12+$H12-1),1,""))</f>
        <v/>
      </c>
      <c r="GL12" s="69" t="str">
        <f ca="1">IF(AND($C12="Goal",GL$8&gt;=$G12,GL$8&lt;=$G12+$H12-1),2,IF(AND($C12="Milestone",GL$8&gt;=$G12,GL$8&lt;=$G12+$H12-1),1,""))</f>
        <v/>
      </c>
      <c r="GM12" s="69" t="str">
        <f ca="1">IF(AND($C12="Goal",GM$8&gt;=$G12,GM$8&lt;=$G12+$H12-1),2,IF(AND($C12="Milestone",GM$8&gt;=$G12,GM$8&lt;=$G12+$H12-1),1,""))</f>
        <v/>
      </c>
      <c r="GN12" s="69" t="str">
        <f ca="1">IF(AND($C12="Goal",GN$8&gt;=$G12,GN$8&lt;=$G12+$H12-1),2,IF(AND($C12="Milestone",GN$8&gt;=$G12,GN$8&lt;=$G12+$H12-1),1,""))</f>
        <v/>
      </c>
      <c r="GO12" s="69" t="str">
        <f ca="1">IF(AND($C12="Goal",GO$8&gt;=$G12,GO$8&lt;=$G12+$H12-1),2,IF(AND($C12="Milestone",GO$8&gt;=$G12,GO$8&lt;=$G12+$H12-1),1,""))</f>
        <v/>
      </c>
      <c r="GP12" s="69" t="str">
        <f ca="1">IF(AND($C12="Goal",GP$8&gt;=$G12,GP$8&lt;=$G12+$H12-1),2,IF(AND($C12="Milestone",GP$8&gt;=$G12,GP$8&lt;=$G12+$H12-1),1,""))</f>
        <v/>
      </c>
      <c r="GQ12" s="69" t="str">
        <f ca="1">IF(AND($C12="Goal",GQ$8&gt;=$G12,GQ$8&lt;=$G12+$H12-1),2,IF(AND($C12="Milestone",GQ$8&gt;=$G12,GQ$8&lt;=$G12+$H12-1),1,""))</f>
        <v/>
      </c>
      <c r="GR12" s="69" t="str">
        <f ca="1">IF(AND($C12="Goal",GR$8&gt;=$G12,GR$8&lt;=$G12+$H12-1),2,IF(AND($C12="Milestone",GR$8&gt;=$G12,GR$8&lt;=$G12+$H12-1),1,""))</f>
        <v/>
      </c>
      <c r="GS12" s="69" t="str">
        <f ca="1">IF(AND($C12="Goal",GS$8&gt;=$G12,GS$8&lt;=$G12+$H12-1),2,IF(AND($C12="Milestone",GS$8&gt;=$G12,GS$8&lt;=$G12+$H12-1),1,""))</f>
        <v/>
      </c>
      <c r="GT12" s="69" t="str">
        <f ca="1">IF(AND($C12="Goal",GT$8&gt;=$G12,GT$8&lt;=$G12+$H12-1),2,IF(AND($C12="Milestone",GT$8&gt;=$G12,GT$8&lt;=$G12+$H12-1),1,""))</f>
        <v/>
      </c>
      <c r="GU12" s="69" t="str">
        <f ca="1">IF(AND($C12="Goal",GU$8&gt;=$G12,GU$8&lt;=$G12+$H12-1),2,IF(AND($C12="Milestone",GU$8&gt;=$G12,GU$8&lt;=$G12+$H12-1),1,""))</f>
        <v/>
      </c>
      <c r="GV12" s="69" t="str">
        <f ca="1">IF(AND($C12="Goal",GV$8&gt;=$G12,GV$8&lt;=$G12+$H12-1),2,IF(AND($C12="Milestone",GV$8&gt;=$G12,GV$8&lt;=$G12+$H12-1),1,""))</f>
        <v/>
      </c>
      <c r="GW12" s="69" t="str">
        <f ca="1">IF(AND($C12="Goal",GW$8&gt;=$G12,GW$8&lt;=$G12+$H12-1),2,IF(AND($C12="Milestone",GW$8&gt;=$G12,GW$8&lt;=$G12+$H12-1),1,""))</f>
        <v/>
      </c>
      <c r="GX12" s="69" t="str">
        <f ca="1">IF(AND($C12="Goal",GX$8&gt;=$G12,GX$8&lt;=$G12+$H12-1),2,IF(AND($C12="Milestone",GX$8&gt;=$G12,GX$8&lt;=$G12+$H12-1),1,""))</f>
        <v/>
      </c>
      <c r="GY12" s="69" t="str">
        <f ca="1">IF(AND($C12="Goal",GY$8&gt;=$G12,GY$8&lt;=$G12+$H12-1),2,IF(AND($C12="Milestone",GY$8&gt;=$G12,GY$8&lt;=$G12+$H12-1),1,""))</f>
        <v/>
      </c>
      <c r="GZ12" s="69" t="str">
        <f ca="1">IF(AND($C12="Goal",GZ$8&gt;=$G12,GZ$8&lt;=$G12+$H12-1),2,IF(AND($C12="Milestone",GZ$8&gt;=$G12,GZ$8&lt;=$G12+$H12-1),1,""))</f>
        <v/>
      </c>
      <c r="HA12" s="69" t="str">
        <f ca="1">IF(AND($C12="Goal",HA$8&gt;=$G12,HA$8&lt;=$G12+$H12-1),2,IF(AND($C12="Milestone",HA$8&gt;=$G12,HA$8&lt;=$G12+$H12-1),1,""))</f>
        <v/>
      </c>
      <c r="HB12" s="69" t="str">
        <f ca="1">IF(AND($C12="Goal",HB$8&gt;=$G12,HB$8&lt;=$G12+$H12-1),2,IF(AND($C12="Milestone",HB$8&gt;=$G12,HB$8&lt;=$G12+$H12-1),1,""))</f>
        <v/>
      </c>
      <c r="HC12" s="69" t="str">
        <f ca="1">IF(AND($C12="Goal",HC$8&gt;=$G12,HC$8&lt;=$G12+$H12-1),2,IF(AND($C12="Milestone",HC$8&gt;=$G12,HC$8&lt;=$G12+$H12-1),1,""))</f>
        <v/>
      </c>
      <c r="HD12" s="69" t="str">
        <f ca="1">IF(AND($C12="Goal",HD$8&gt;=$G12,HD$8&lt;=$G12+$H12-1),2,IF(AND($C12="Milestone",HD$8&gt;=$G12,HD$8&lt;=$G12+$H12-1),1,""))</f>
        <v/>
      </c>
      <c r="HE12" s="69" t="str">
        <f ca="1">IF(AND($C12="Goal",HE$8&gt;=$G12,HE$8&lt;=$G12+$H12-1),2,IF(AND($C12="Milestone",HE$8&gt;=$G12,HE$8&lt;=$G12+$H12-1),1,""))</f>
        <v/>
      </c>
      <c r="HF12" s="69" t="str">
        <f ca="1">IF(AND($C12="Goal",HF$8&gt;=$G12,HF$8&lt;=$G12+$H12-1),2,IF(AND($C12="Milestone",HF$8&gt;=$G12,HF$8&lt;=$G12+$H12-1),1,""))</f>
        <v/>
      </c>
      <c r="HG12" s="69" t="str">
        <f ca="1">IF(AND($C12="Goal",HG$8&gt;=$G12,HG$8&lt;=$G12+$H12-1),2,IF(AND($C12="Milestone",HG$8&gt;=$G12,HG$8&lt;=$G12+$H12-1),1,""))</f>
        <v/>
      </c>
      <c r="HH12" s="69" t="str">
        <f ca="1">IF(AND($C12="Goal",HH$8&gt;=$G12,HH$8&lt;=$G12+$H12-1),2,IF(AND($C12="Milestone",HH$8&gt;=$G12,HH$8&lt;=$G12+$H12-1),1,""))</f>
        <v/>
      </c>
      <c r="HI12" s="69" t="str">
        <f ca="1">IF(AND($C12="Goal",HI$8&gt;=$G12,HI$8&lt;=$G12+$H12-1),2,IF(AND($C12="Milestone",HI$8&gt;=$G12,HI$8&lt;=$G12+$H12-1),1,""))</f>
        <v/>
      </c>
      <c r="HJ12" s="69" t="str">
        <f ca="1">IF(AND($C12="Goal",HJ$8&gt;=$G12,HJ$8&lt;=$G12+$H12-1),2,IF(AND($C12="Milestone",HJ$8&gt;=$G12,HJ$8&lt;=$G12+$H12-1),1,""))</f>
        <v/>
      </c>
      <c r="HK12" s="69" t="str">
        <f ca="1">IF(AND($C12="Goal",HK$8&gt;=$G12,HK$8&lt;=$G12+$H12-1),2,IF(AND($C12="Milestone",HK$8&gt;=$G12,HK$8&lt;=$G12+$H12-1),1,""))</f>
        <v/>
      </c>
      <c r="HL12" s="69" t="str">
        <f ca="1">IF(AND($C12="Goal",HL$8&gt;=$G12,HL$8&lt;=$G12+$H12-1),2,IF(AND($C12="Milestone",HL$8&gt;=$G12,HL$8&lt;=$G12+$H12-1),1,""))</f>
        <v/>
      </c>
      <c r="HM12" s="69" t="str">
        <f ca="1">IF(AND($C12="Goal",HM$8&gt;=$G12,HM$8&lt;=$G12+$H12-1),2,IF(AND($C12="Milestone",HM$8&gt;=$G12,HM$8&lt;=$G12+$H12-1),1,""))</f>
        <v/>
      </c>
      <c r="HN12" s="69" t="str">
        <f ca="1">IF(AND($C12="Goal",HN$8&gt;=$G12,HN$8&lt;=$G12+$H12-1),2,IF(AND($C12="Milestone",HN$8&gt;=$G12,HN$8&lt;=$G12+$H12-1),1,""))</f>
        <v/>
      </c>
      <c r="HO12" s="69" t="str">
        <f ca="1">IF(AND($C12="Goal",HO$8&gt;=$G12,HO$8&lt;=$G12+$H12-1),2,IF(AND($C12="Milestone",HO$8&gt;=$G12,HO$8&lt;=$G12+$H12-1),1,""))</f>
        <v/>
      </c>
      <c r="HP12" s="69" t="str">
        <f ca="1">IF(AND($C12="Goal",HP$8&gt;=$G12,HP$8&lt;=$G12+$H12-1),2,IF(AND($C12="Milestone",HP$8&gt;=$G12,HP$8&lt;=$G12+$H12-1),1,""))</f>
        <v/>
      </c>
      <c r="HQ12" s="69" t="str">
        <f ca="1">IF(AND($C12="Goal",HQ$8&gt;=$G12,HQ$8&lt;=$G12+$H12-1),2,IF(AND($C12="Milestone",HQ$8&gt;=$G12,HQ$8&lt;=$G12+$H12-1),1,""))</f>
        <v/>
      </c>
      <c r="HR12" s="69" t="str">
        <f ca="1">IF(AND($C12="Goal",HR$8&gt;=$G12,HR$8&lt;=$G12+$H12-1),2,IF(AND($C12="Milestone",HR$8&gt;=$G12,HR$8&lt;=$G12+$H12-1),1,""))</f>
        <v/>
      </c>
      <c r="HS12" s="69" t="str">
        <f ca="1">IF(AND($C12="Goal",HS$8&gt;=$G12,HS$8&lt;=$G12+$H12-1),2,IF(AND($C12="Milestone",HS$8&gt;=$G12,HS$8&lt;=$G12+$H12-1),1,""))</f>
        <v/>
      </c>
      <c r="HT12" s="69" t="str">
        <f ca="1">IF(AND($C12="Goal",HT$8&gt;=$G12,HT$8&lt;=$G12+$H12-1),2,IF(AND($C12="Milestone",HT$8&gt;=$G12,HT$8&lt;=$G12+$H12-1),1,""))</f>
        <v/>
      </c>
      <c r="HU12" s="69" t="str">
        <f ca="1">IF(AND($C12="Goal",HU$8&gt;=$G12,HU$8&lt;=$G12+$H12-1),2,IF(AND($C12="Milestone",HU$8&gt;=$G12,HU$8&lt;=$G12+$H12-1),1,""))</f>
        <v/>
      </c>
      <c r="HV12" s="69" t="str">
        <f ca="1">IF(AND($C12="Goal",HV$8&gt;=$G12,HV$8&lt;=$G12+$H12-1),2,IF(AND($C12="Milestone",HV$8&gt;=$G12,HV$8&lt;=$G12+$H12-1),1,""))</f>
        <v/>
      </c>
      <c r="HW12" s="69" t="str">
        <f ca="1">IF(AND($C12="Goal",HW$8&gt;=$G12,HW$8&lt;=$G12+$H12-1),2,IF(AND($C12="Milestone",HW$8&gt;=$G12,HW$8&lt;=$G12+$H12-1),1,""))</f>
        <v/>
      </c>
      <c r="HX12" s="69" t="str">
        <f ca="1">IF(AND($C12="Goal",HX$8&gt;=$G12,HX$8&lt;=$G12+$H12-1),2,IF(AND($C12="Milestone",HX$8&gt;=$G12,HX$8&lt;=$G12+$H12-1),1,""))</f>
        <v/>
      </c>
      <c r="HY12" s="69" t="str">
        <f ca="1">IF(AND($C12="Goal",HY$8&gt;=$G12,HY$8&lt;=$G12+$H12-1),2,IF(AND($C12="Milestone",HY$8&gt;=$G12,HY$8&lt;=$G12+$H12-1),1,""))</f>
        <v/>
      </c>
      <c r="HZ12" s="69" t="str">
        <f ca="1">IF(AND($C12="Goal",HZ$8&gt;=$G12,HZ$8&lt;=$G12+$H12-1),2,IF(AND($C12="Milestone",HZ$8&gt;=$G12,HZ$8&lt;=$G12+$H12-1),1,""))</f>
        <v/>
      </c>
      <c r="IA12" s="69" t="str">
        <f ca="1">IF(AND($C12="Goal",IA$8&gt;=$G12,IA$8&lt;=$G12+$H12-1),2,IF(AND($C12="Milestone",IA$8&gt;=$G12,IA$8&lt;=$G12+$H12-1),1,""))</f>
        <v/>
      </c>
      <c r="IB12" s="69" t="str">
        <f ca="1">IF(AND($C12="Goal",IB$8&gt;=$G12,IB$8&lt;=$G12+$H12-1),2,IF(AND($C12="Milestone",IB$8&gt;=$G12,IB$8&lt;=$G12+$H12-1),1,""))</f>
        <v/>
      </c>
      <c r="IC12" s="69" t="str">
        <f ca="1">IF(AND($C12="Goal",IC$8&gt;=$G12,IC$8&lt;=$G12+$H12-1),2,IF(AND($C12="Milestone",IC$8&gt;=$G12,IC$8&lt;=$G12+$H12-1),1,""))</f>
        <v/>
      </c>
      <c r="ID12" s="69" t="str">
        <f ca="1">IF(AND($C12="Goal",ID$8&gt;=$G12,ID$8&lt;=$G12+$H12-1),2,IF(AND($C12="Milestone",ID$8&gt;=$G12,ID$8&lt;=$G12+$H12-1),1,""))</f>
        <v/>
      </c>
      <c r="IE12" s="69" t="str">
        <f ca="1">IF(AND($C12="Goal",IE$8&gt;=$G12,IE$8&lt;=$G12+$H12-1),2,IF(AND($C12="Milestone",IE$8&gt;=$G12,IE$8&lt;=$G12+$H12-1),1,""))</f>
        <v/>
      </c>
      <c r="IF12" s="69" t="str">
        <f ca="1">IF(AND($C12="Goal",IF$8&gt;=$G12,IF$8&lt;=$G12+$H12-1),2,IF(AND($C12="Milestone",IF$8&gt;=$G12,IF$8&lt;=$G12+$H12-1),1,""))</f>
        <v/>
      </c>
      <c r="IG12" s="69" t="str">
        <f ca="1">IF(AND($C12="Goal",IG$8&gt;=$G12,IG$8&lt;=$G12+$H12-1),2,IF(AND($C12="Milestone",IG$8&gt;=$G12,IG$8&lt;=$G12+$H12-1),1,""))</f>
        <v/>
      </c>
      <c r="IH12" s="69" t="str">
        <f ca="1">IF(AND($C12="Goal",IH$8&gt;=$G12,IH$8&lt;=$G12+$H12-1),2,IF(AND($C12="Milestone",IH$8&gt;=$G12,IH$8&lt;=$G12+$H12-1),1,""))</f>
        <v/>
      </c>
      <c r="II12" s="69" t="str">
        <f ca="1">IF(AND($C12="Goal",II$8&gt;=$G12,II$8&lt;=$G12+$H12-1),2,IF(AND($C12="Milestone",II$8&gt;=$G12,II$8&lt;=$G12+$H12-1),1,""))</f>
        <v/>
      </c>
      <c r="IJ12" s="69" t="str">
        <f ca="1">IF(AND($C12="Goal",IJ$8&gt;=$G12,IJ$8&lt;=$G12+$H12-1),2,IF(AND($C12="Milestone",IJ$8&gt;=$G12,IJ$8&lt;=$G12+$H12-1),1,""))</f>
        <v/>
      </c>
      <c r="IK12" s="69" t="str">
        <f ca="1">IF(AND($C12="Goal",IK$8&gt;=$G12,IK$8&lt;=$G12+$H12-1),2,IF(AND($C12="Milestone",IK$8&gt;=$G12,IK$8&lt;=$G12+$H12-1),1,""))</f>
        <v/>
      </c>
      <c r="IL12" s="69" t="str">
        <f ca="1">IF(AND($C12="Goal",IL$8&gt;=$G12,IL$8&lt;=$G12+$H12-1),2,IF(AND($C12="Milestone",IL$8&gt;=$G12,IL$8&lt;=$G12+$H12-1),1,""))</f>
        <v/>
      </c>
      <c r="IM12" s="69" t="str">
        <f ca="1">IF(AND($C12="Goal",IM$8&gt;=$G12,IM$8&lt;=$G12+$H12-1),2,IF(AND($C12="Milestone",IM$8&gt;=$G12,IM$8&lt;=$G12+$H12-1),1,""))</f>
        <v/>
      </c>
      <c r="IN12" s="69" t="str">
        <f ca="1">IF(AND($C12="Goal",IN$8&gt;=$G12,IN$8&lt;=$G12+$H12-1),2,IF(AND($C12="Milestone",IN$8&gt;=$G12,IN$8&lt;=$G12+$H12-1),1,""))</f>
        <v/>
      </c>
      <c r="IO12" s="69" t="str">
        <f ca="1">IF(AND($C12="Goal",IO$8&gt;=$G12,IO$8&lt;=$G12+$H12-1),2,IF(AND($C12="Milestone",IO$8&gt;=$G12,IO$8&lt;=$G12+$H12-1),1,""))</f>
        <v/>
      </c>
      <c r="IP12" s="69" t="str">
        <f ca="1">IF(AND($C12="Goal",IP$8&gt;=$G12,IP$8&lt;=$G12+$H12-1),2,IF(AND($C12="Milestone",IP$8&gt;=$G12,IP$8&lt;=$G12+$H12-1),1,""))</f>
        <v/>
      </c>
      <c r="IQ12" s="69" t="str">
        <f ca="1">IF(AND($C12="Goal",IQ$8&gt;=$G12,IQ$8&lt;=$G12+$H12-1),2,IF(AND($C12="Milestone",IQ$8&gt;=$G12,IQ$8&lt;=$G12+$H12-1),1,""))</f>
        <v/>
      </c>
      <c r="IR12" s="69" t="str">
        <f ca="1">IF(AND($C12="Goal",IR$8&gt;=$G12,IR$8&lt;=$G12+$H12-1),2,IF(AND($C12="Milestone",IR$8&gt;=$G12,IR$8&lt;=$G12+$H12-1),1,""))</f>
        <v/>
      </c>
      <c r="IS12" s="69" t="str">
        <f ca="1">IF(AND($C12="Goal",IS$8&gt;=$G12,IS$8&lt;=$G12+$H12-1),2,IF(AND($C12="Milestone",IS$8&gt;=$G12,IS$8&lt;=$G12+$H12-1),1,""))</f>
        <v/>
      </c>
      <c r="IT12" s="69" t="str">
        <f ca="1">IF(AND($C12="Goal",IT$8&gt;=$G12,IT$8&lt;=$G12+$H12-1),2,IF(AND($C12="Milestone",IT$8&gt;=$G12,IT$8&lt;=$G12+$H12-1),1,""))</f>
        <v/>
      </c>
      <c r="IU12" s="69" t="str">
        <f ca="1">IF(AND($C12="Goal",IU$8&gt;=$G12,IU$8&lt;=$G12+$H12-1),2,IF(AND($C12="Milestone",IU$8&gt;=$G12,IU$8&lt;=$G12+$H12-1),1,""))</f>
        <v/>
      </c>
      <c r="IV12" s="69" t="str">
        <f ca="1">IF(AND($C12="Goal",IV$8&gt;=$G12,IV$8&lt;=$G12+$H12-1),2,IF(AND($C12="Milestone",IV$8&gt;=$G12,IV$8&lt;=$G12+$H12-1),1,""))</f>
        <v/>
      </c>
      <c r="IW12" s="69" t="str">
        <f ca="1">IF(AND($C12="Goal",IW$8&gt;=$G12,IW$8&lt;=$G12+$H12-1),2,IF(AND($C12="Milestone",IW$8&gt;=$G12,IW$8&lt;=$G12+$H12-1),1,""))</f>
        <v/>
      </c>
      <c r="IX12" s="69" t="str">
        <f ca="1">IF(AND($C12="Goal",IX$8&gt;=$G12,IX$8&lt;=$G12+$H12-1),2,IF(AND($C12="Milestone",IX$8&gt;=$G12,IX$8&lt;=$G12+$H12-1),1,""))</f>
        <v/>
      </c>
      <c r="IY12" s="69" t="str">
        <f ca="1">IF(AND($C12="Goal",IY$8&gt;=$G12,IY$8&lt;=$G12+$H12-1),2,IF(AND($C12="Milestone",IY$8&gt;=$G12,IY$8&lt;=$G12+$H12-1),1,""))</f>
        <v/>
      </c>
      <c r="IZ12" s="69" t="str">
        <f ca="1">IF(AND($C12="Goal",IZ$8&gt;=$G12,IZ$8&lt;=$G12+$H12-1),2,IF(AND($C12="Milestone",IZ$8&gt;=$G12,IZ$8&lt;=$G12+$H12-1),1,""))</f>
        <v/>
      </c>
      <c r="JA12" s="69" t="str">
        <f ca="1">IF(AND($C12="Goal",JA$8&gt;=$G12,JA$8&lt;=$G12+$H12-1),2,IF(AND($C12="Milestone",JA$8&gt;=$G12,JA$8&lt;=$G12+$H12-1),1,""))</f>
        <v/>
      </c>
      <c r="JB12" s="69" t="str">
        <f ca="1">IF(AND($C12="Goal",JB$8&gt;=$G12,JB$8&lt;=$G12+$H12-1),2,IF(AND($C12="Milestone",JB$8&gt;=$G12,JB$8&lt;=$G12+$H12-1),1,""))</f>
        <v/>
      </c>
      <c r="JC12" s="69" t="str">
        <f ca="1">IF(AND($C12="Goal",JC$8&gt;=$G12,JC$8&lt;=$G12+$H12-1),2,IF(AND($C12="Milestone",JC$8&gt;=$G12,JC$8&lt;=$G12+$H12-1),1,""))</f>
        <v/>
      </c>
      <c r="JD12" s="69" t="str">
        <f ca="1">IF(AND($C12="Goal",JD$8&gt;=$G12,JD$8&lt;=$G12+$H12-1),2,IF(AND($C12="Milestone",JD$8&gt;=$G12,JD$8&lt;=$G12+$H12-1),1,""))</f>
        <v/>
      </c>
      <c r="JE12" s="69" t="str">
        <f ca="1">IF(AND($C12="Goal",JE$8&gt;=$G12,JE$8&lt;=$G12+$H12-1),2,IF(AND($C12="Milestone",JE$8&gt;=$G12,JE$8&lt;=$G12+$H12-1),1,""))</f>
        <v/>
      </c>
      <c r="JF12" s="69" t="str">
        <f ca="1">IF(AND($C12="Goal",JF$8&gt;=$G12,JF$8&lt;=$G12+$H12-1),2,IF(AND($C12="Milestone",JF$8&gt;=$G12,JF$8&lt;=$G12+$H12-1),1,""))</f>
        <v/>
      </c>
      <c r="JG12" s="69" t="str">
        <f ca="1">IF(AND($C12="Goal",JG$8&gt;=$G12,JG$8&lt;=$G12+$H12-1),2,IF(AND($C12="Milestone",JG$8&gt;=$G12,JG$8&lt;=$G12+$H12-1),1,""))</f>
        <v/>
      </c>
      <c r="JH12" s="69" t="str">
        <f ca="1">IF(AND($C12="Goal",JH$8&gt;=$G12,JH$8&lt;=$G12+$H12-1),2,IF(AND($C12="Milestone",JH$8&gt;=$G12,JH$8&lt;=$G12+$H12-1),1,""))</f>
        <v/>
      </c>
      <c r="JI12" s="69" t="str">
        <f ca="1">IF(AND($C12="Goal",JI$8&gt;=$G12,JI$8&lt;=$G12+$H12-1),2,IF(AND($C12="Milestone",JI$8&gt;=$G12,JI$8&lt;=$G12+$H12-1),1,""))</f>
        <v/>
      </c>
      <c r="JJ12" s="69" t="str">
        <f ca="1">IF(AND($C12="Goal",JJ$8&gt;=$G12,JJ$8&lt;=$G12+$H12-1),2,IF(AND($C12="Milestone",JJ$8&gt;=$G12,JJ$8&lt;=$G12+$H12-1),1,""))</f>
        <v/>
      </c>
      <c r="JK12" s="69" t="str">
        <f ca="1">IF(AND($C12="Goal",JK$8&gt;=$G12,JK$8&lt;=$G12+$H12-1),2,IF(AND($C12="Milestone",JK$8&gt;=$G12,JK$8&lt;=$G12+$H12-1),1,""))</f>
        <v/>
      </c>
      <c r="JL12" s="69" t="str">
        <f ca="1">IF(AND($C12="Goal",JL$8&gt;=$G12,JL$8&lt;=$G12+$H12-1),2,IF(AND($C12="Milestone",JL$8&gt;=$G12,JL$8&lt;=$G12+$H12-1),1,""))</f>
        <v/>
      </c>
      <c r="JM12" s="69" t="str">
        <f ca="1">IF(AND($C12="Goal",JM$8&gt;=$G12,JM$8&lt;=$G12+$H12-1),2,IF(AND($C12="Milestone",JM$8&gt;=$G12,JM$8&lt;=$G12+$H12-1),1,""))</f>
        <v/>
      </c>
      <c r="JN12" s="69" t="str">
        <f ca="1">IF(AND($C12="Goal",JN$8&gt;=$G12,JN$8&lt;=$G12+$H12-1),2,IF(AND($C12="Milestone",JN$8&gt;=$G12,JN$8&lt;=$G12+$H12-1),1,""))</f>
        <v/>
      </c>
      <c r="JO12" s="69" t="str">
        <f ca="1">IF(AND($C12="Goal",JO$8&gt;=$G12,JO$8&lt;=$G12+$H12-1),2,IF(AND($C12="Milestone",JO$8&gt;=$G12,JO$8&lt;=$G12+$H12-1),1,""))</f>
        <v/>
      </c>
      <c r="JP12" s="69" t="str">
        <f ca="1">IF(AND($C12="Goal",JP$8&gt;=$G12,JP$8&lt;=$G12+$H12-1),2,IF(AND($C12="Milestone",JP$8&gt;=$G12,JP$8&lt;=$G12+$H12-1),1,""))</f>
        <v/>
      </c>
      <c r="JQ12" s="69" t="str">
        <f ca="1">IF(AND($C12="Goal",JQ$8&gt;=$G12,JQ$8&lt;=$G12+$H12-1),2,IF(AND($C12="Milestone",JQ$8&gt;=$G12,JQ$8&lt;=$G12+$H12-1),1,""))</f>
        <v/>
      </c>
      <c r="JR12" s="69" t="str">
        <f ca="1">IF(AND($C12="Goal",JR$8&gt;=$G12,JR$8&lt;=$G12+$H12-1),2,IF(AND($C12="Milestone",JR$8&gt;=$G12,JR$8&lt;=$G12+$H12-1),1,""))</f>
        <v/>
      </c>
      <c r="JS12" s="69" t="str">
        <f ca="1">IF(AND($C12="Goal",JS$8&gt;=$G12,JS$8&lt;=$G12+$H12-1),2,IF(AND($C12="Milestone",JS$8&gt;=$G12,JS$8&lt;=$G12+$H12-1),1,""))</f>
        <v/>
      </c>
      <c r="JT12" s="69" t="str">
        <f ca="1">IF(AND($C12="Goal",JT$8&gt;=$G12,JT$8&lt;=$G12+$H12-1),2,IF(AND($C12="Milestone",JT$8&gt;=$G12,JT$8&lt;=$G12+$H12-1),1,""))</f>
        <v/>
      </c>
      <c r="JU12" s="69" t="str">
        <f ca="1">IF(AND($C12="Goal",JU$8&gt;=$G12,JU$8&lt;=$G12+$H12-1),2,IF(AND($C12="Milestone",JU$8&gt;=$G12,JU$8&lt;=$G12+$H12-1),1,""))</f>
        <v/>
      </c>
      <c r="JV12" s="69" t="str">
        <f ca="1">IF(AND($C12="Goal",JV$8&gt;=$G12,JV$8&lt;=$G12+$H12-1),2,IF(AND($C12="Milestone",JV$8&gt;=$G12,JV$8&lt;=$G12+$H12-1),1,""))</f>
        <v/>
      </c>
      <c r="JW12" s="69" t="str">
        <f ca="1">IF(AND($C12="Goal",JW$8&gt;=$G12,JW$8&lt;=$G12+$H12-1),2,IF(AND($C12="Milestone",JW$8&gt;=$G12,JW$8&lt;=$G12+$H12-1),1,""))</f>
        <v/>
      </c>
      <c r="JX12" s="69" t="str">
        <f ca="1">IF(AND($C12="Goal",JX$8&gt;=$G12,JX$8&lt;=$G12+$H12-1),2,IF(AND($C12="Milestone",JX$8&gt;=$G12,JX$8&lt;=$G12+$H12-1),1,""))</f>
        <v/>
      </c>
      <c r="JY12" s="69" t="str">
        <f ca="1">IF(AND($C12="Goal",JY$8&gt;=$G12,JY$8&lt;=$G12+$H12-1),2,IF(AND($C12="Milestone",JY$8&gt;=$G12,JY$8&lt;=$G12+$H12-1),1,""))</f>
        <v/>
      </c>
      <c r="JZ12" s="69" t="str">
        <f ca="1">IF(AND($C12="Goal",JZ$8&gt;=$G12,JZ$8&lt;=$G12+$H12-1),2,IF(AND($C12="Milestone",JZ$8&gt;=$G12,JZ$8&lt;=$G12+$H12-1),1,""))</f>
        <v/>
      </c>
      <c r="KA12" s="69" t="str">
        <f ca="1">IF(AND($C12="Goal",KA$8&gt;=$G12,KA$8&lt;=$G12+$H12-1),2,IF(AND($C12="Milestone",KA$8&gt;=$G12,KA$8&lt;=$G12+$H12-1),1,""))</f>
        <v/>
      </c>
      <c r="KB12" s="69" t="str">
        <f ca="1">IF(AND($C12="Goal",KB$8&gt;=$G12,KB$8&lt;=$G12+$H12-1),2,IF(AND($C12="Milestone",KB$8&gt;=$G12,KB$8&lt;=$G12+$H12-1),1,""))</f>
        <v/>
      </c>
      <c r="KC12" s="69" t="str">
        <f ca="1">IF(AND($C12="Goal",KC$8&gt;=$G12,KC$8&lt;=$G12+$H12-1),2,IF(AND($C12="Milestone",KC$8&gt;=$G12,KC$8&lt;=$G12+$H12-1),1,""))</f>
        <v/>
      </c>
      <c r="KD12" s="69" t="str">
        <f ca="1">IF(AND($C12="Goal",KD$8&gt;=$G12,KD$8&lt;=$G12+$H12-1),2,IF(AND($C12="Milestone",KD$8&gt;=$G12,KD$8&lt;=$G12+$H12-1),1,""))</f>
        <v/>
      </c>
      <c r="KE12" s="69" t="str">
        <f ca="1">IF(AND($C12="Goal",KE$8&gt;=$G12,KE$8&lt;=$G12+$H12-1),2,IF(AND($C12="Milestone",KE$8&gt;=$G12,KE$8&lt;=$G12+$H12-1),1,""))</f>
        <v/>
      </c>
      <c r="KF12" s="69" t="str">
        <f ca="1">IF(AND($C12="Goal",KF$8&gt;=$G12,KF$8&lt;=$G12+$H12-1),2,IF(AND($C12="Milestone",KF$8&gt;=$G12,KF$8&lt;=$G12+$H12-1),1,""))</f>
        <v/>
      </c>
      <c r="KG12" s="69" t="str">
        <f ca="1">IF(AND($C12="Goal",KG$8&gt;=$G12,KG$8&lt;=$G12+$H12-1),2,IF(AND($C12="Milestone",KG$8&gt;=$G12,KG$8&lt;=$G12+$H12-1),1,""))</f>
        <v/>
      </c>
      <c r="KH12" s="69" t="str">
        <f ca="1">IF(AND($C12="Goal",KH$8&gt;=$G12,KH$8&lt;=$G12+$H12-1),2,IF(AND($C12="Milestone",KH$8&gt;=$G12,KH$8&lt;=$G12+$H12-1),1,""))</f>
        <v/>
      </c>
      <c r="KI12" s="69" t="str">
        <f ca="1">IF(AND($C12="Goal",KI$8&gt;=$G12,KI$8&lt;=$G12+$H12-1),2,IF(AND($C12="Milestone",KI$8&gt;=$G12,KI$8&lt;=$G12+$H12-1),1,""))</f>
        <v/>
      </c>
      <c r="KJ12" s="69" t="str">
        <f ca="1">IF(AND($C12="Goal",KJ$8&gt;=$G12,KJ$8&lt;=$G12+$H12-1),2,IF(AND($C12="Milestone",KJ$8&gt;=$G12,KJ$8&lt;=$G12+$H12-1),1,""))</f>
        <v/>
      </c>
      <c r="KK12" s="69" t="str">
        <f ca="1">IF(AND($C12="Goal",KK$8&gt;=$G12,KK$8&lt;=$G12+$H12-1),2,IF(AND($C12="Milestone",KK$8&gt;=$G12,KK$8&lt;=$G12+$H12-1),1,""))</f>
        <v/>
      </c>
      <c r="KL12" s="69" t="str">
        <f ca="1">IF(AND($C12="Goal",KL$8&gt;=$G12,KL$8&lt;=$G12+$H12-1),2,IF(AND($C12="Milestone",KL$8&gt;=$G12,KL$8&lt;=$G12+$H12-1),1,""))</f>
        <v/>
      </c>
      <c r="KM12" s="69" t="str">
        <f ca="1">IF(AND($C12="Goal",KM$8&gt;=$G12,KM$8&lt;=$G12+$H12-1),2,IF(AND($C12="Milestone",KM$8&gt;=$G12,KM$8&lt;=$G12+$H12-1),1,""))</f>
        <v/>
      </c>
      <c r="KN12" s="69" t="str">
        <f ca="1">IF(AND($C12="Goal",KN$8&gt;=$G12,KN$8&lt;=$G12+$H12-1),2,IF(AND($C12="Milestone",KN$8&gt;=$G12,KN$8&lt;=$G12+$H12-1),1,""))</f>
        <v/>
      </c>
      <c r="KO12" s="69" t="str">
        <f ca="1">IF(AND($C12="Goal",KO$8&gt;=$G12,KO$8&lt;=$G12+$H12-1),2,IF(AND($C12="Milestone",KO$8&gt;=$G12,KO$8&lt;=$G12+$H12-1),1,""))</f>
        <v/>
      </c>
      <c r="KP12" s="69" t="str">
        <f ca="1">IF(AND($C12="Goal",KP$8&gt;=$G12,KP$8&lt;=$G12+$H12-1),2,IF(AND($C12="Milestone",KP$8&gt;=$G12,KP$8&lt;=$G12+$H12-1),1,""))</f>
        <v/>
      </c>
      <c r="KQ12" s="69" t="str">
        <f ca="1">IF(AND($C12="Goal",KQ$8&gt;=$G12,KQ$8&lt;=$G12+$H12-1),2,IF(AND($C12="Milestone",KQ$8&gt;=$G12,KQ$8&lt;=$G12+$H12-1),1,""))</f>
        <v/>
      </c>
      <c r="KR12" s="69" t="str">
        <f ca="1">IF(AND($C12="Goal",KR$8&gt;=$G12,KR$8&lt;=$G12+$H12-1),2,IF(AND($C12="Milestone",KR$8&gt;=$G12,KR$8&lt;=$G12+$H12-1),1,""))</f>
        <v/>
      </c>
      <c r="KS12" s="69" t="str">
        <f ca="1">IF(AND($C12="Goal",KS$8&gt;=$G12,KS$8&lt;=$G12+$H12-1),2,IF(AND($C12="Milestone",KS$8&gt;=$G12,KS$8&lt;=$G12+$H12-1),1,""))</f>
        <v/>
      </c>
      <c r="KT12" s="69" t="str">
        <f ca="1">IF(AND($C12="Goal",KT$8&gt;=$G12,KT$8&lt;=$G12+$H12-1),2,IF(AND($C12="Milestone",KT$8&gt;=$G12,KT$8&lt;=$G12+$H12-1),1,""))</f>
        <v/>
      </c>
      <c r="KU12" s="69" t="str">
        <f ca="1">IF(AND($C12="Goal",KU$8&gt;=$G12,KU$8&lt;=$G12+$H12-1),2,IF(AND($C12="Milestone",KU$8&gt;=$G12,KU$8&lt;=$G12+$H12-1),1,""))</f>
        <v/>
      </c>
      <c r="KV12" s="69" t="str">
        <f ca="1">IF(AND($C12="Goal",KV$8&gt;=$G12,KV$8&lt;=$G12+$H12-1),2,IF(AND($C12="Milestone",KV$8&gt;=$G12,KV$8&lt;=$G12+$H12-1),1,""))</f>
        <v/>
      </c>
      <c r="KW12" s="69" t="str">
        <f ca="1">IF(AND($C12="Goal",KW$8&gt;=$G12,KW$8&lt;=$G12+$H12-1),2,IF(AND($C12="Milestone",KW$8&gt;=$G12,KW$8&lt;=$G12+$H12-1),1,""))</f>
        <v/>
      </c>
      <c r="KX12" s="69" t="str">
        <f ca="1">IF(AND($C12="Goal",KX$8&gt;=$G12,KX$8&lt;=$G12+$H12-1),2,IF(AND($C12="Milestone",KX$8&gt;=$G12,KX$8&lt;=$G12+$H12-1),1,""))</f>
        <v/>
      </c>
      <c r="KY12" s="69" t="str">
        <f ca="1">IF(AND($C12="Goal",KY$8&gt;=$G12,KY$8&lt;=$G12+$H12-1),2,IF(AND($C12="Milestone",KY$8&gt;=$G12,KY$8&lt;=$G12+$H12-1),1,""))</f>
        <v/>
      </c>
      <c r="KZ12" s="69" t="str">
        <f ca="1">IF(AND($C12="Goal",KZ$8&gt;=$G12,KZ$8&lt;=$G12+$H12-1),2,IF(AND($C12="Milestone",KZ$8&gt;=$G12,KZ$8&lt;=$G12+$H12-1),1,""))</f>
        <v/>
      </c>
      <c r="LA12" s="69" t="str">
        <f ca="1">IF(AND($C12="Goal",LA$8&gt;=$G12,LA$8&lt;=$G12+$H12-1),2,IF(AND($C12="Milestone",LA$8&gt;=$G12,LA$8&lt;=$G12+$H12-1),1,""))</f>
        <v/>
      </c>
      <c r="LB12" s="69" t="str">
        <f ca="1">IF(AND($C12="Goal",LB$8&gt;=$G12,LB$8&lt;=$G12+$H12-1),2,IF(AND($C12="Milestone",LB$8&gt;=$G12,LB$8&lt;=$G12+$H12-1),1,""))</f>
        <v/>
      </c>
      <c r="LC12" s="69" t="str">
        <f ca="1">IF(AND($C12="Goal",LC$8&gt;=$G12,LC$8&lt;=$G12+$H12-1),2,IF(AND($C12="Milestone",LC$8&gt;=$G12,LC$8&lt;=$G12+$H12-1),1,""))</f>
        <v/>
      </c>
      <c r="LD12" s="69" t="str">
        <f ca="1">IF(AND($C12="Goal",LD$8&gt;=$G12,LD$8&lt;=$G12+$H12-1),2,IF(AND($C12="Milestone",LD$8&gt;=$G12,LD$8&lt;=$G12+$H12-1),1,""))</f>
        <v/>
      </c>
      <c r="LE12" s="69" t="str">
        <f ca="1">IF(AND($C12="Goal",LE$8&gt;=$G12,LE$8&lt;=$G12+$H12-1),2,IF(AND($C12="Milestone",LE$8&gt;=$G12,LE$8&lt;=$G12+$H12-1),1,""))</f>
        <v/>
      </c>
      <c r="LF12" s="69" t="str">
        <f ca="1">IF(AND($C12="Goal",LF$8&gt;=$G12,LF$8&lt;=$G12+$H12-1),2,IF(AND($C12="Milestone",LF$8&gt;=$G12,LF$8&lt;=$G12+$H12-1),1,""))</f>
        <v/>
      </c>
      <c r="LG12" s="69" t="str">
        <f ca="1">IF(AND($C12="Goal",LG$8&gt;=$G12,LG$8&lt;=$G12+$H12-1),2,IF(AND($C12="Milestone",LG$8&gt;=$G12,LG$8&lt;=$G12+$H12-1),1,""))</f>
        <v/>
      </c>
      <c r="LH12" s="69" t="str">
        <f ca="1">IF(AND($C12="Goal",LH$8&gt;=$G12,LH$8&lt;=$G12+$H12-1),2,IF(AND($C12="Milestone",LH$8&gt;=$G12,LH$8&lt;=$G12+$H12-1),1,""))</f>
        <v/>
      </c>
      <c r="LI12" s="69" t="str">
        <f ca="1">IF(AND($C12="Goal",LI$8&gt;=$G12,LI$8&lt;=$G12+$H12-1),2,IF(AND($C12="Milestone",LI$8&gt;=$G12,LI$8&lt;=$G12+$H12-1),1,""))</f>
        <v/>
      </c>
      <c r="LJ12" s="69" t="str">
        <f ca="1">IF(AND($C12="Goal",LJ$8&gt;=$G12,LJ$8&lt;=$G12+$H12-1),2,IF(AND($C12="Milestone",LJ$8&gt;=$G12,LJ$8&lt;=$G12+$H12-1),1,""))</f>
        <v/>
      </c>
      <c r="LK12" s="69" t="str">
        <f ca="1">IF(AND($C12="Goal",LK$8&gt;=$G12,LK$8&lt;=$G12+$H12-1),2,IF(AND($C12="Milestone",LK$8&gt;=$G12,LK$8&lt;=$G12+$H12-1),1,""))</f>
        <v/>
      </c>
      <c r="LL12" s="69" t="str">
        <f ca="1">IF(AND($C12="Goal",LL$8&gt;=$G12,LL$8&lt;=$G12+$H12-1),2,IF(AND($C12="Milestone",LL$8&gt;=$G12,LL$8&lt;=$G12+$H12-1),1,""))</f>
        <v/>
      </c>
      <c r="LM12" s="69" t="str">
        <f ca="1">IF(AND($C12="Goal",LM$8&gt;=$G12,LM$8&lt;=$G12+$H12-1),2,IF(AND($C12="Milestone",LM$8&gt;=$G12,LM$8&lt;=$G12+$H12-1),1,""))</f>
        <v/>
      </c>
      <c r="LN12" s="69" t="str">
        <f ca="1">IF(AND($C12="Goal",LN$8&gt;=$G12,LN$8&lt;=$G12+$H12-1),2,IF(AND($C12="Milestone",LN$8&gt;=$G12,LN$8&lt;=$G12+$H12-1),1,""))</f>
        <v/>
      </c>
      <c r="LO12" s="69" t="str">
        <f ca="1">IF(AND($C12="Goal",LO$8&gt;=$G12,LO$8&lt;=$G12+$H12-1),2,IF(AND($C12="Milestone",LO$8&gt;=$G12,LO$8&lt;=$G12+$H12-1),1,""))</f>
        <v/>
      </c>
      <c r="LP12" s="69" t="str">
        <f ca="1">IF(AND($C12="Goal",LP$8&gt;=$G12,LP$8&lt;=$G12+$H12-1),2,IF(AND($C12="Milestone",LP$8&gt;=$G12,LP$8&lt;=$G12+$H12-1),1,""))</f>
        <v/>
      </c>
      <c r="LQ12" s="69" t="str">
        <f ca="1">IF(AND($C12="Goal",LQ$8&gt;=$G12,LQ$8&lt;=$G12+$H12-1),2,IF(AND($C12="Milestone",LQ$8&gt;=$G12,LQ$8&lt;=$G12+$H12-1),1,""))</f>
        <v/>
      </c>
      <c r="LR12" s="69" t="str">
        <f ca="1">IF(AND($C12="Goal",LR$8&gt;=$G12,LR$8&lt;=$G12+$H12-1),2,IF(AND($C12="Milestone",LR$8&gt;=$G12,LR$8&lt;=$G12+$H12-1),1,""))</f>
        <v/>
      </c>
      <c r="LS12" s="69" t="str">
        <f ca="1">IF(AND($C12="Goal",LS$8&gt;=$G12,LS$8&lt;=$G12+$H12-1),2,IF(AND($C12="Milestone",LS$8&gt;=$G12,LS$8&lt;=$G12+$H12-1),1,""))</f>
        <v/>
      </c>
      <c r="LT12" s="69" t="str">
        <f ca="1">IF(AND($C12="Goal",LT$8&gt;=$G12,LT$8&lt;=$G12+$H12-1),2,IF(AND($C12="Milestone",LT$8&gt;=$G12,LT$8&lt;=$G12+$H12-1),1,""))</f>
        <v/>
      </c>
      <c r="LU12" s="69" t="str">
        <f ca="1">IF(AND($C12="Goal",LU$8&gt;=$G12,LU$8&lt;=$G12+$H12-1),2,IF(AND($C12="Milestone",LU$8&gt;=$G12,LU$8&lt;=$G12+$H12-1),1,""))</f>
        <v/>
      </c>
      <c r="LV12" s="69" t="str">
        <f ca="1">IF(AND($C12="Goal",LV$8&gt;=$G12,LV$8&lt;=$G12+$H12-1),2,IF(AND($C12="Milestone",LV$8&gt;=$G12,LV$8&lt;=$G12+$H12-1),1,""))</f>
        <v/>
      </c>
      <c r="LW12" s="69" t="str">
        <f ca="1">IF(AND($C12="Goal",LW$8&gt;=$G12,LW$8&lt;=$G12+$H12-1),2,IF(AND($C12="Milestone",LW$8&gt;=$G12,LW$8&lt;=$G12+$H12-1),1,""))</f>
        <v/>
      </c>
      <c r="LX12" s="69" t="str">
        <f ca="1">IF(AND($C12="Goal",LX$8&gt;=$G12,LX$8&lt;=$G12+$H12-1),2,IF(AND($C12="Milestone",LX$8&gt;=$G12,LX$8&lt;=$G12+$H12-1),1,""))</f>
        <v/>
      </c>
    </row>
    <row r="13" spans="1:336" s="1" customFormat="1" ht="27.5" customHeight="1" x14ac:dyDescent="0.25">
      <c r="A13" s="7"/>
      <c r="B13" s="47" t="s">
        <v>18</v>
      </c>
      <c r="C13" s="58"/>
      <c r="D13" s="58" t="str">
        <f ca="1">IF(G13="","",
IF(G13+Milestones4352[[#This Row],[Days]]="","",
IF(OR(F13=1,F13=100%),"Complete",
CHOOSE(
  1
  + --(((1-IF(F13&gt;1,F13/100,F13))*POWER(2.718281828,(60-MAX(0,G13+Milestones4352[[#This Row],[Days]]-TODAY()))/12))&gt;=0.6)
  + --(((1-IF(F13&gt;1,F13/100,F13))*POWER(2.718281828,(60-MAX(0,G13+Milestones4352[[#This Row],[Days]]-TODAY()))/12))&gt;=1.2)
  + --(((1-IF(F13&gt;1,F13/100,F13))*POWER(2.718281828,(60-MAX(0,G13+Milestones4352[[#This Row],[Days]]-TODAY()))/12))&gt;=2),
  "On track","Low risk","Medium risk","High risk"
))))</f>
        <v>High risk</v>
      </c>
      <c r="E13" s="58"/>
      <c r="F13" s="56">
        <v>0.5</v>
      </c>
      <c r="G13" s="70">
        <f t="shared" ref="G13:G15" si="208">G12+H12</f>
        <v>45931</v>
      </c>
      <c r="H13" s="57">
        <v>15</v>
      </c>
      <c r="I13" s="57">
        <f t="shared" si="207"/>
        <v>12</v>
      </c>
      <c r="J13" s="12">
        <f ca="1">IF(OR(Milestones4352[[#This Row],[Start]]="",Milestones4352[[#This Row],[Days]]=""),"",(Milestones4352[[#This Row],[Start]]+Milestones4352[[#This Row],[Days]])-TODAY())</f>
        <v>-3</v>
      </c>
      <c r="K13" s="9"/>
      <c r="L13" s="69" t="str">
        <f ca="1">IF(AND($C13="Goal",L$8&gt;=$G13,L$8&lt;=$G13+$H13-1),2,IF(AND($C13="Milestone",L$8&gt;=$G13,L$8&lt;=$G13+$H13-1),1,""))</f>
        <v/>
      </c>
      <c r="M13" s="69" t="str">
        <f ca="1">IF(AND($C13="Goal",M$8&gt;=$G13,M$8&lt;=$G13+$H13-1),2,IF(AND($C13="Milestone",M$8&gt;=$G13,M$8&lt;=$G13+$H13-1),1,""))</f>
        <v/>
      </c>
      <c r="N13" s="69" t="str">
        <f ca="1">IF(AND($C13="Goal",N$8&gt;=$G13,N$8&lt;=$G13+$H13-1),2,IF(AND($C13="Milestone",N$8&gt;=$G13,N$8&lt;=$G13+$H13-1),1,""))</f>
        <v/>
      </c>
      <c r="O13" s="69" t="str">
        <f ca="1">IF(AND($C13="Goal",O$8&gt;=$G13,O$8&lt;=$G13+$H13-1),2,IF(AND($C13="Milestone",O$8&gt;=$G13,O$8&lt;=$G13+$H13-1),1,""))</f>
        <v/>
      </c>
      <c r="P13" s="69" t="str">
        <f ca="1">IF(AND($C13="Goal",P$8&gt;=$G13,P$8&lt;=$G13+$H13-1),2,IF(AND($C13="Milestone",P$8&gt;=$G13,P$8&lt;=$G13+$H13-1),1,""))</f>
        <v/>
      </c>
      <c r="Q13" s="69" t="str">
        <f ca="1">IF(AND($C13="Goal",Q$8&gt;=$G13,Q$8&lt;=$G13+$H13-1),2,IF(AND($C13="Milestone",Q$8&gt;=$G13,Q$8&lt;=$G13+$H13-1),1,""))</f>
        <v/>
      </c>
      <c r="R13" s="69" t="str">
        <f ca="1">IF(AND($C13="Goal",R$8&gt;=$G13,R$8&lt;=$G13+$H13-1),2,IF(AND($C13="Milestone",R$8&gt;=$G13,R$8&lt;=$G13+$H13-1),1,""))</f>
        <v/>
      </c>
      <c r="S13" s="69" t="str">
        <f ca="1">IF(AND($C13="Goal",S$8&gt;=$G13,S$8&lt;=$G13+$H13-1),2,IF(AND($C13="Milestone",S$8&gt;=$G13,S$8&lt;=$G13+$H13-1),1,""))</f>
        <v/>
      </c>
      <c r="T13" s="69" t="str">
        <f ca="1">IF(AND($C13="Goal",T$8&gt;=$G13,T$8&lt;=$G13+$H13-1),2,IF(AND($C13="Milestone",T$8&gt;=$G13,T$8&lt;=$G13+$H13-1),1,""))</f>
        <v/>
      </c>
      <c r="U13" s="69" t="str">
        <f ca="1">IF(AND($C13="Goal",U$8&gt;=$G13,U$8&lt;=$G13+$H13-1),2,IF(AND($C13="Milestone",U$8&gt;=$G13,U$8&lt;=$G13+$H13-1),1,""))</f>
        <v/>
      </c>
      <c r="V13" s="69" t="str">
        <f ca="1">IF(AND($C13="Goal",V$8&gt;=$G13,V$8&lt;=$G13+$H13-1),2,IF(AND($C13="Milestone",V$8&gt;=$G13,V$8&lt;=$G13+$H13-1),1,""))</f>
        <v/>
      </c>
      <c r="W13" s="69" t="str">
        <f ca="1">IF(AND($C13="Goal",W$8&gt;=$G13,W$8&lt;=$G13+$H13-1),2,IF(AND($C13="Milestone",W$8&gt;=$G13,W$8&lt;=$G13+$H13-1),1,""))</f>
        <v/>
      </c>
      <c r="X13" s="69" t="str">
        <f ca="1">IF(AND($C13="Goal",X$8&gt;=$G13,X$8&lt;=$G13+$H13-1),2,IF(AND($C13="Milestone",X$8&gt;=$G13,X$8&lt;=$G13+$H13-1),1,""))</f>
        <v/>
      </c>
      <c r="Y13" s="69" t="str">
        <f ca="1">IF(AND($C13="Goal",Y$8&gt;=$G13,Y$8&lt;=$G13+$H13-1),2,IF(AND($C13="Milestone",Y$8&gt;=$G13,Y$8&lt;=$G13+$H13-1),1,""))</f>
        <v/>
      </c>
      <c r="Z13" s="69" t="str">
        <f ca="1">IF(AND($C13="Goal",Z$8&gt;=$G13,Z$8&lt;=$G13+$H13-1),2,IF(AND($C13="Milestone",Z$8&gt;=$G13,Z$8&lt;=$G13+$H13-1),1,""))</f>
        <v/>
      </c>
      <c r="AA13" s="69" t="str">
        <f ca="1">IF(AND($C13="Goal",AA$8&gt;=$G13,AA$8&lt;=$G13+$H13-1),2,IF(AND($C13="Milestone",AA$8&gt;=$G13,AA$8&lt;=$G13+$H13-1),1,""))</f>
        <v/>
      </c>
      <c r="AB13" s="69" t="str">
        <f ca="1">IF(AND($C13="Goal",AB$8&gt;=$G13,AB$8&lt;=$G13+$H13-1),2,IF(AND($C13="Milestone",AB$8&gt;=$G13,AB$8&lt;=$G13+$H13-1),1,""))</f>
        <v/>
      </c>
      <c r="AC13" s="69" t="str">
        <f ca="1">IF(AND($C13="Goal",AC$8&gt;=$G13,AC$8&lt;=$G13+$H13-1),2,IF(AND($C13="Milestone",AC$8&gt;=$G13,AC$8&lt;=$G13+$H13-1),1,""))</f>
        <v/>
      </c>
      <c r="AD13" s="69" t="str">
        <f ca="1">IF(AND($C13="Goal",AD$8&gt;=$G13,AD$8&lt;=$G13+$H13-1),2,IF(AND($C13="Milestone",AD$8&gt;=$G13,AD$8&lt;=$G13+$H13-1),1,""))</f>
        <v/>
      </c>
      <c r="AE13" s="69" t="str">
        <f ca="1">IF(AND($C13="Goal",AE$8&gt;=$G13,AE$8&lt;=$G13+$H13-1),2,IF(AND($C13="Milestone",AE$8&gt;=$G13,AE$8&lt;=$G13+$H13-1),1,""))</f>
        <v/>
      </c>
      <c r="AF13" s="69" t="str">
        <f ca="1">IF(AND($C13="Goal",AF$8&gt;=$G13,AF$8&lt;=$G13+$H13-1),2,IF(AND($C13="Milestone",AF$8&gt;=$G13,AF$8&lt;=$G13+$H13-1),1,""))</f>
        <v/>
      </c>
      <c r="AG13" s="69" t="str">
        <f ca="1">IF(AND($C13="Goal",AG$8&gt;=$G13,AG$8&lt;=$G13+$H13-1),2,IF(AND($C13="Milestone",AG$8&gt;=$G13,AG$8&lt;=$G13+$H13-1),1,""))</f>
        <v/>
      </c>
      <c r="AH13" s="69" t="str">
        <f ca="1">IF(AND($C13="Goal",AH$8&gt;=$G13,AH$8&lt;=$G13+$H13-1),2,IF(AND($C13="Milestone",AH$8&gt;=$G13,AH$8&lt;=$G13+$H13-1),1,""))</f>
        <v/>
      </c>
      <c r="AI13" s="69" t="str">
        <f ca="1">IF(AND($C13="Goal",AI$8&gt;=$G13,AI$8&lt;=$G13+$H13-1),2,IF(AND($C13="Milestone",AI$8&gt;=$G13,AI$8&lt;=$G13+$H13-1),1,""))</f>
        <v/>
      </c>
      <c r="AJ13" s="69" t="str">
        <f ca="1">IF(AND($C13="Goal",AJ$8&gt;=$G13,AJ$8&lt;=$G13+$H13-1),2,IF(AND($C13="Milestone",AJ$8&gt;=$G13,AJ$8&lt;=$G13+$H13-1),1,""))</f>
        <v/>
      </c>
      <c r="AK13" s="69" t="str">
        <f ca="1">IF(AND($C13="Goal",AK$8&gt;=$G13,AK$8&lt;=$G13+$H13-1),2,IF(AND($C13="Milestone",AK$8&gt;=$G13,AK$8&lt;=$G13+$H13-1),1,""))</f>
        <v/>
      </c>
      <c r="AL13" s="69" t="str">
        <f ca="1">IF(AND($C13="Goal",AL$8&gt;=$G13,AL$8&lt;=$G13+$H13-1),2,IF(AND($C13="Milestone",AL$8&gt;=$G13,AL$8&lt;=$G13+$H13-1),1,""))</f>
        <v/>
      </c>
      <c r="AM13" s="69" t="str">
        <f ca="1">IF(AND($C13="Goal",AM$8&gt;=$G13,AM$8&lt;=$G13+$H13-1),2,IF(AND($C13="Milestone",AM$8&gt;=$G13,AM$8&lt;=$G13+$H13-1),1,""))</f>
        <v/>
      </c>
      <c r="AN13" s="69" t="str">
        <f ca="1">IF(AND($C13="Goal",AN$8&gt;=$G13,AN$8&lt;=$G13+$H13-1),2,IF(AND($C13="Milestone",AN$8&gt;=$G13,AN$8&lt;=$G13+$H13-1),1,""))</f>
        <v/>
      </c>
      <c r="AO13" s="69" t="str">
        <f ca="1">IF(AND($C13="Goal",AO$8&gt;=$G13,AO$8&lt;=$G13+$H13-1),2,IF(AND($C13="Milestone",AO$8&gt;=$G13,AO$8&lt;=$G13+$H13-1),1,""))</f>
        <v/>
      </c>
      <c r="AP13" s="69" t="str">
        <f ca="1">IF(AND($C13="Goal",AP$8&gt;=$G13,AP$8&lt;=$G13+$H13-1),2,IF(AND($C13="Milestone",AP$8&gt;=$G13,AP$8&lt;=$G13+$H13-1),1,""))</f>
        <v/>
      </c>
      <c r="AQ13" s="69" t="str">
        <f ca="1">IF(AND($C13="Goal",AQ$8&gt;=$G13,AQ$8&lt;=$G13+$H13-1),2,IF(AND($C13="Milestone",AQ$8&gt;=$G13,AQ$8&lt;=$G13+$H13-1),1,""))</f>
        <v/>
      </c>
      <c r="AR13" s="69" t="str">
        <f ca="1">IF(AND($C13="Goal",AR$8&gt;=$G13,AR$8&lt;=$G13+$H13-1),2,IF(AND($C13="Milestone",AR$8&gt;=$G13,AR$8&lt;=$G13+$H13-1),1,""))</f>
        <v/>
      </c>
      <c r="AS13" s="69" t="str">
        <f ca="1">IF(AND($C13="Goal",AS$8&gt;=$G13,AS$8&lt;=$G13+$H13-1),2,IF(AND($C13="Milestone",AS$8&gt;=$G13,AS$8&lt;=$G13+$H13-1),1,""))</f>
        <v/>
      </c>
      <c r="AT13" s="69" t="str">
        <f ca="1">IF(AND($C13="Goal",AT$8&gt;=$G13,AT$8&lt;=$G13+$H13-1),2,IF(AND($C13="Milestone",AT$8&gt;=$G13,AT$8&lt;=$G13+$H13-1),1,""))</f>
        <v/>
      </c>
      <c r="AU13" s="69" t="str">
        <f ca="1">IF(AND($C13="Goal",AU$8&gt;=$G13,AU$8&lt;=$G13+$H13-1),2,IF(AND($C13="Milestone",AU$8&gt;=$G13,AU$8&lt;=$G13+$H13-1),1,""))</f>
        <v/>
      </c>
      <c r="AV13" s="69" t="str">
        <f ca="1">IF(AND($C13="Goal",AV$8&gt;=$G13,AV$8&lt;=$G13+$H13-1),2,IF(AND($C13="Milestone",AV$8&gt;=$G13,AV$8&lt;=$G13+$H13-1),1,""))</f>
        <v/>
      </c>
      <c r="AW13" s="69" t="str">
        <f ca="1">IF(AND($C13="Goal",AW$8&gt;=$G13,AW$8&lt;=$G13+$H13-1),2,IF(AND($C13="Milestone",AW$8&gt;=$G13,AW$8&lt;=$G13+$H13-1),1,""))</f>
        <v/>
      </c>
      <c r="AX13" s="69" t="str">
        <f ca="1">IF(AND($C13="Goal",AX$8&gt;=$G13,AX$8&lt;=$G13+$H13-1),2,IF(AND($C13="Milestone",AX$8&gt;=$G13,AX$8&lt;=$G13+$H13-1),1,""))</f>
        <v/>
      </c>
      <c r="AY13" s="69" t="str">
        <f ca="1">IF(AND($C13="Goal",AY$8&gt;=$G13,AY$8&lt;=$G13+$H13-1),2,IF(AND($C13="Milestone",AY$8&gt;=$G13,AY$8&lt;=$G13+$H13-1),1,""))</f>
        <v/>
      </c>
      <c r="AZ13" s="69" t="str">
        <f ca="1">IF(AND($C13="Goal",AZ$8&gt;=$G13,AZ$8&lt;=$G13+$H13-1),2,IF(AND($C13="Milestone",AZ$8&gt;=$G13,AZ$8&lt;=$G13+$H13-1),1,""))</f>
        <v/>
      </c>
      <c r="BA13" s="69" t="str">
        <f ca="1">IF(AND($C13="Goal",BA$8&gt;=$G13,BA$8&lt;=$G13+$H13-1),2,IF(AND($C13="Milestone",BA$8&gt;=$G13,BA$8&lt;=$G13+$H13-1),1,""))</f>
        <v/>
      </c>
      <c r="BB13" s="69" t="str">
        <f ca="1">IF(AND($C13="Goal",BB$8&gt;=$G13,BB$8&lt;=$G13+$H13-1),2,IF(AND($C13="Milestone",BB$8&gt;=$G13,BB$8&lt;=$G13+$H13-1),1,""))</f>
        <v/>
      </c>
      <c r="BC13" s="69" t="str">
        <f ca="1">IF(AND($C13="Goal",BC$8&gt;=$G13,BC$8&lt;=$G13+$H13-1),2,IF(AND($C13="Milestone",BC$8&gt;=$G13,BC$8&lt;=$G13+$H13-1),1,""))</f>
        <v/>
      </c>
      <c r="BD13" s="69" t="str">
        <f ca="1">IF(AND($C13="Goal",BD$8&gt;=$G13,BD$8&lt;=$G13+$H13-1),2,IF(AND($C13="Milestone",BD$8&gt;=$G13,BD$8&lt;=$G13+$H13-1),1,""))</f>
        <v/>
      </c>
      <c r="BE13" s="69" t="str">
        <f ca="1">IF(AND($C13="Goal",BE$8&gt;=$G13,BE$8&lt;=$G13+$H13-1),2,IF(AND($C13="Milestone",BE$8&gt;=$G13,BE$8&lt;=$G13+$H13-1),1,""))</f>
        <v/>
      </c>
      <c r="BF13" s="69" t="str">
        <f ca="1">IF(AND($C13="Goal",BF$8&gt;=$G13,BF$8&lt;=$G13+$H13-1),2,IF(AND($C13="Milestone",BF$8&gt;=$G13,BF$8&lt;=$G13+$H13-1),1,""))</f>
        <v/>
      </c>
      <c r="BG13" s="69" t="str">
        <f ca="1">IF(AND($C13="Goal",BG$8&gt;=$G13,BG$8&lt;=$G13+$H13-1),2,IF(AND($C13="Milestone",BG$8&gt;=$G13,BG$8&lt;=$G13+$H13-1),1,""))</f>
        <v/>
      </c>
      <c r="BH13" s="69" t="str">
        <f ca="1">IF(AND($C13="Goal",BH$8&gt;=$G13,BH$8&lt;=$G13+$H13-1),2,IF(AND($C13="Milestone",BH$8&gt;=$G13,BH$8&lt;=$G13+$H13-1),1,""))</f>
        <v/>
      </c>
      <c r="BI13" s="69" t="str">
        <f ca="1">IF(AND($C13="Goal",BI$8&gt;=$G13,BI$8&lt;=$G13+$H13-1),2,IF(AND($C13="Milestone",BI$8&gt;=$G13,BI$8&lt;=$G13+$H13-1),1,""))</f>
        <v/>
      </c>
      <c r="BJ13" s="69" t="str">
        <f ca="1">IF(AND($C13="Goal",BJ$8&gt;=$G13,BJ$8&lt;=$G13+$H13-1),2,IF(AND($C13="Milestone",BJ$8&gt;=$G13,BJ$8&lt;=$G13+$H13-1),1,""))</f>
        <v/>
      </c>
      <c r="BK13" s="69" t="str">
        <f ca="1">IF(AND($C13="Goal",BK$8&gt;=$G13,BK$8&lt;=$G13+$H13-1),2,IF(AND($C13="Milestone",BK$8&gt;=$G13,BK$8&lt;=$G13+$H13-1),1,""))</f>
        <v/>
      </c>
      <c r="BL13" s="69" t="str">
        <f ca="1">IF(AND($C13="Goal",BL$8&gt;=$G13,BL$8&lt;=$G13+$H13-1),2,IF(AND($C13="Milestone",BL$8&gt;=$G13,BL$8&lt;=$G13+$H13-1),1,""))</f>
        <v/>
      </c>
      <c r="BM13" s="69" t="str">
        <f ca="1">IF(AND($C13="Goal",BM$8&gt;=$G13,BM$8&lt;=$G13+$H13-1),2,IF(AND($C13="Milestone",BM$8&gt;=$G13,BM$8&lt;=$G13+$H13-1),1,""))</f>
        <v/>
      </c>
      <c r="BN13" s="69" t="str">
        <f ca="1">IF(AND($C13="Goal",BN$8&gt;=$G13,BN$8&lt;=$G13+$H13-1),2,IF(AND($C13="Milestone",BN$8&gt;=$G13,BN$8&lt;=$G13+$H13-1),1,""))</f>
        <v/>
      </c>
      <c r="BO13" s="69" t="str">
        <f ca="1">IF(AND($C13="Goal",BO$8&gt;=$G13,BO$8&lt;=$G13+$H13-1),2,IF(AND($C13="Milestone",BO$8&gt;=$G13,BO$8&lt;=$G13+$H13-1),1,""))</f>
        <v/>
      </c>
      <c r="BP13" s="69" t="str">
        <f ca="1">IF(AND($C13="Goal",BP$8&gt;=$G13,BP$8&lt;=$G13+$H13-1),2,IF(AND($C13="Milestone",BP$8&gt;=$G13,BP$8&lt;=$G13+$H13-1),1,""))</f>
        <v/>
      </c>
      <c r="BQ13" s="69" t="str">
        <f ca="1">IF(AND($C13="Goal",BQ$8&gt;=$G13,BQ$8&lt;=$G13+$H13-1),2,IF(AND($C13="Milestone",BQ$8&gt;=$G13,BQ$8&lt;=$G13+$H13-1),1,""))</f>
        <v/>
      </c>
      <c r="BR13" s="69" t="str">
        <f ca="1">IF(AND($C13="Goal",BR$8&gt;=$G13,BR$8&lt;=$G13+$H13-1),2,IF(AND($C13="Milestone",BR$8&gt;=$G13,BR$8&lt;=$G13+$H13-1),1,""))</f>
        <v/>
      </c>
      <c r="BS13" s="69" t="str">
        <f ca="1">IF(AND($C13="Goal",BS$8&gt;=$G13,BS$8&lt;=$G13+$H13-1),2,IF(AND($C13="Milestone",BS$8&gt;=$G13,BS$8&lt;=$G13+$H13-1),1,""))</f>
        <v/>
      </c>
      <c r="BT13" s="69" t="str">
        <f ca="1">IF(AND($C13="Goal",BT$8&gt;=$G13,BT$8&lt;=$G13+$H13-1),2,IF(AND($C13="Milestone",BT$8&gt;=$G13,BT$8&lt;=$G13+$H13-1),1,""))</f>
        <v/>
      </c>
      <c r="BU13" s="69" t="str">
        <f ca="1">IF(AND($C13="Goal",BU$8&gt;=$G13,BU$8&lt;=$G13+$H13-1),2,IF(AND($C13="Milestone",BU$8&gt;=$G13,BU$8&lt;=$G13+$H13-1),1,""))</f>
        <v/>
      </c>
      <c r="BV13" s="69" t="str">
        <f ca="1">IF(AND($C13="Goal",BV$8&gt;=$G13,BV$8&lt;=$G13+$H13-1),2,IF(AND($C13="Milestone",BV$8&gt;=$G13,BV$8&lt;=$G13+$H13-1),1,""))</f>
        <v/>
      </c>
      <c r="BW13" s="69" t="str">
        <f ca="1">IF(AND($C13="Goal",BW$8&gt;=$G13,BW$8&lt;=$G13+$H13-1),2,IF(AND($C13="Milestone",BW$8&gt;=$G13,BW$8&lt;=$G13+$H13-1),1,""))</f>
        <v/>
      </c>
      <c r="BX13" s="69" t="str">
        <f ca="1">IF(AND($C13="Goal",BX$8&gt;=$G13,BX$8&lt;=$G13+$H13-1),2,IF(AND($C13="Milestone",BX$8&gt;=$G13,BX$8&lt;=$G13+$H13-1),1,""))</f>
        <v/>
      </c>
      <c r="BY13" s="69" t="str">
        <f ca="1">IF(AND($C13="Goal",BY$8&gt;=$G13,BY$8&lt;=$G13+$H13-1),2,IF(AND($C13="Milestone",BY$8&gt;=$G13,BY$8&lt;=$G13+$H13-1),1,""))</f>
        <v/>
      </c>
      <c r="BZ13" s="69" t="str">
        <f ca="1">IF(AND($C13="Goal",BZ$8&gt;=$G13,BZ$8&lt;=$G13+$H13-1),2,IF(AND($C13="Milestone",BZ$8&gt;=$G13,BZ$8&lt;=$G13+$H13-1),1,""))</f>
        <v/>
      </c>
      <c r="CA13" s="69" t="str">
        <f ca="1">IF(AND($C13="Goal",CA$8&gt;=$G13,CA$8&lt;=$G13+$H13-1),2,IF(AND($C13="Milestone",CA$8&gt;=$G13,CA$8&lt;=$G13+$H13-1),1,""))</f>
        <v/>
      </c>
      <c r="CB13" s="69" t="str">
        <f ca="1">IF(AND($C13="Goal",CB$8&gt;=$G13,CB$8&lt;=$G13+$H13-1),2,IF(AND($C13="Milestone",CB$8&gt;=$G13,CB$8&lt;=$G13+$H13-1),1,""))</f>
        <v/>
      </c>
      <c r="CC13" s="69" t="str">
        <f ca="1">IF(AND($C13="Goal",CC$8&gt;=$G13,CC$8&lt;=$G13+$H13-1),2,IF(AND($C13="Milestone",CC$8&gt;=$G13,CC$8&lt;=$G13+$H13-1),1,""))</f>
        <v/>
      </c>
      <c r="CD13" s="69" t="str">
        <f ca="1">IF(AND($C13="Goal",CD$8&gt;=$G13,CD$8&lt;=$G13+$H13-1),2,IF(AND($C13="Milestone",CD$8&gt;=$G13,CD$8&lt;=$G13+$H13-1),1,""))</f>
        <v/>
      </c>
      <c r="CE13" s="69" t="str">
        <f ca="1">IF(AND($C13="Goal",CE$8&gt;=$G13,CE$8&lt;=$G13+$H13-1),2,IF(AND($C13="Milestone",CE$8&gt;=$G13,CE$8&lt;=$G13+$H13-1),1,""))</f>
        <v/>
      </c>
      <c r="CF13" s="69" t="str">
        <f ca="1">IF(AND($C13="Goal",CF$8&gt;=$G13,CF$8&lt;=$G13+$H13-1),2,IF(AND($C13="Milestone",CF$8&gt;=$G13,CF$8&lt;=$G13+$H13-1),1,""))</f>
        <v/>
      </c>
      <c r="CG13" s="69" t="str">
        <f ca="1">IF(AND($C13="Goal",CG$8&gt;=$G13,CG$8&lt;=$G13+$H13-1),2,IF(AND($C13="Milestone",CG$8&gt;=$G13,CG$8&lt;=$G13+$H13-1),1,""))</f>
        <v/>
      </c>
      <c r="CH13" s="69" t="str">
        <f ca="1">IF(AND($C13="Goal",CH$8&gt;=$G13,CH$8&lt;=$G13+$H13-1),2,IF(AND($C13="Milestone",CH$8&gt;=$G13,CH$8&lt;=$G13+$H13-1),1,""))</f>
        <v/>
      </c>
      <c r="CI13" s="69" t="str">
        <f ca="1">IF(AND($C13="Goal",CI$8&gt;=$G13,CI$8&lt;=$G13+$H13-1),2,IF(AND($C13="Milestone",CI$8&gt;=$G13,CI$8&lt;=$G13+$H13-1),1,""))</f>
        <v/>
      </c>
      <c r="CJ13" s="69" t="str">
        <f ca="1">IF(AND($C13="Goal",CJ$8&gt;=$G13,CJ$8&lt;=$G13+$H13-1),2,IF(AND($C13="Milestone",CJ$8&gt;=$G13,CJ$8&lt;=$G13+$H13-1),1,""))</f>
        <v/>
      </c>
      <c r="CK13" s="69" t="str">
        <f ca="1">IF(AND($C13="Goal",CK$8&gt;=$G13,CK$8&lt;=$G13+$H13-1),2,IF(AND($C13="Milestone",CK$8&gt;=$G13,CK$8&lt;=$G13+$H13-1),1,""))</f>
        <v/>
      </c>
      <c r="CL13" s="69" t="str">
        <f ca="1">IF(AND($C13="Goal",CL$8&gt;=$G13,CL$8&lt;=$G13+$H13-1),2,IF(AND($C13="Milestone",CL$8&gt;=$G13,CL$8&lt;=$G13+$H13-1),1,""))</f>
        <v/>
      </c>
      <c r="CM13" s="69" t="str">
        <f ca="1">IF(AND($C13="Goal",CM$8&gt;=$G13,CM$8&lt;=$G13+$H13-1),2,IF(AND($C13="Milestone",CM$8&gt;=$G13,CM$8&lt;=$G13+$H13-1),1,""))</f>
        <v/>
      </c>
      <c r="CN13" s="69" t="str">
        <f ca="1">IF(AND($C13="Goal",CN$8&gt;=$G13,CN$8&lt;=$G13+$H13-1),2,IF(AND($C13="Milestone",CN$8&gt;=$G13,CN$8&lt;=$G13+$H13-1),1,""))</f>
        <v/>
      </c>
      <c r="CO13" s="69" t="str">
        <f ca="1">IF(AND($C13="Goal",CO$8&gt;=$G13,CO$8&lt;=$G13+$H13-1),2,IF(AND($C13="Milestone",CO$8&gt;=$G13,CO$8&lt;=$G13+$H13-1),1,""))</f>
        <v/>
      </c>
      <c r="CP13" s="69" t="str">
        <f ca="1">IF(AND($C13="Goal",CP$8&gt;=$G13,CP$8&lt;=$G13+$H13-1),2,IF(AND($C13="Milestone",CP$8&gt;=$G13,CP$8&lt;=$G13+$H13-1),1,""))</f>
        <v/>
      </c>
      <c r="CQ13" s="69" t="str">
        <f ca="1">IF(AND($C13="Goal",CQ$8&gt;=$G13,CQ$8&lt;=$G13+$H13-1),2,IF(AND($C13="Milestone",CQ$8&gt;=$G13,CQ$8&lt;=$G13+$H13-1),1,""))</f>
        <v/>
      </c>
      <c r="CR13" s="69" t="str">
        <f ca="1">IF(AND($C13="Goal",CR$8&gt;=$G13,CR$8&lt;=$G13+$H13-1),2,IF(AND($C13="Milestone",CR$8&gt;=$G13,CR$8&lt;=$G13+$H13-1),1,""))</f>
        <v/>
      </c>
      <c r="CS13" s="69" t="str">
        <f ca="1">IF(AND($C13="Goal",CS$8&gt;=$G13,CS$8&lt;=$G13+$H13-1),2,IF(AND($C13="Milestone",CS$8&gt;=$G13,CS$8&lt;=$G13+$H13-1),1,""))</f>
        <v/>
      </c>
      <c r="CT13" s="69" t="str">
        <f ca="1">IF(AND($C13="Goal",CT$8&gt;=$G13,CT$8&lt;=$G13+$H13-1),2,IF(AND($C13="Milestone",CT$8&gt;=$G13,CT$8&lt;=$G13+$H13-1),1,""))</f>
        <v/>
      </c>
      <c r="CU13" s="69" t="str">
        <f ca="1">IF(AND($C13="Goal",CU$8&gt;=$G13,CU$8&lt;=$G13+$H13-1),2,IF(AND($C13="Milestone",CU$8&gt;=$G13,CU$8&lt;=$G13+$H13-1),1,""))</f>
        <v/>
      </c>
      <c r="CV13" s="69" t="str">
        <f ca="1">IF(AND($C13="Goal",CV$8&gt;=$G13,CV$8&lt;=$G13+$H13-1),2,IF(AND($C13="Milestone",CV$8&gt;=$G13,CV$8&lt;=$G13+$H13-1),1,""))</f>
        <v/>
      </c>
      <c r="CW13" s="69" t="str">
        <f ca="1">IF(AND($C13="Goal",CW$8&gt;=$G13,CW$8&lt;=$G13+$H13-1),2,IF(AND($C13="Milestone",CW$8&gt;=$G13,CW$8&lt;=$G13+$H13-1),1,""))</f>
        <v/>
      </c>
      <c r="CX13" s="69" t="str">
        <f ca="1">IF(AND($C13="Goal",CX$8&gt;=$G13,CX$8&lt;=$G13+$H13-1),2,IF(AND($C13="Milestone",CX$8&gt;=$G13,CX$8&lt;=$G13+$H13-1),1,""))</f>
        <v/>
      </c>
      <c r="CY13" s="69" t="str">
        <f ca="1">IF(AND($C13="Goal",CY$8&gt;=$G13,CY$8&lt;=$G13+$H13-1),2,IF(AND($C13="Milestone",CY$8&gt;=$G13,CY$8&lt;=$G13+$H13-1),1,""))</f>
        <v/>
      </c>
      <c r="CZ13" s="69" t="str">
        <f ca="1">IF(AND($C13="Goal",CZ$8&gt;=$G13,CZ$8&lt;=$G13+$H13-1),2,IF(AND($C13="Milestone",CZ$8&gt;=$G13,CZ$8&lt;=$G13+$H13-1),1,""))</f>
        <v/>
      </c>
      <c r="DA13" s="69" t="str">
        <f ca="1">IF(AND($C13="Goal",DA$8&gt;=$G13,DA$8&lt;=$G13+$H13-1),2,IF(AND($C13="Milestone",DA$8&gt;=$G13,DA$8&lt;=$G13+$H13-1),1,""))</f>
        <v/>
      </c>
      <c r="DB13" s="69" t="str">
        <f ca="1">IF(AND($C13="Goal",DB$8&gt;=$G13,DB$8&lt;=$G13+$H13-1),2,IF(AND($C13="Milestone",DB$8&gt;=$G13,DB$8&lt;=$G13+$H13-1),1,""))</f>
        <v/>
      </c>
      <c r="DC13" s="69" t="str">
        <f ca="1">IF(AND($C13="Goal",DC$8&gt;=$G13,DC$8&lt;=$G13+$H13-1),2,IF(AND($C13="Milestone",DC$8&gt;=$G13,DC$8&lt;=$G13+$H13-1),1,""))</f>
        <v/>
      </c>
      <c r="DD13" s="69" t="str">
        <f ca="1">IF(AND($C13="Goal",DD$8&gt;=$G13,DD$8&lt;=$G13+$H13-1),2,IF(AND($C13="Milestone",DD$8&gt;=$G13,DD$8&lt;=$G13+$H13-1),1,""))</f>
        <v/>
      </c>
      <c r="DE13" s="69" t="str">
        <f ca="1">IF(AND($C13="Goal",DE$8&gt;=$G13,DE$8&lt;=$G13+$H13-1),2,IF(AND($C13="Milestone",DE$8&gt;=$G13,DE$8&lt;=$G13+$H13-1),1,""))</f>
        <v/>
      </c>
      <c r="DF13" s="69" t="str">
        <f ca="1">IF(AND($C13="Goal",DF$8&gt;=$G13,DF$8&lt;=$G13+$H13-1),2,IF(AND($C13="Milestone",DF$8&gt;=$G13,DF$8&lt;=$G13+$H13-1),1,""))</f>
        <v/>
      </c>
      <c r="DG13" s="69" t="str">
        <f ca="1">IF(AND($C13="Goal",DG$8&gt;=$G13,DG$8&lt;=$G13+$H13-1),2,IF(AND($C13="Milestone",DG$8&gt;=$G13,DG$8&lt;=$G13+$H13-1),1,""))</f>
        <v/>
      </c>
      <c r="DH13" s="69" t="str">
        <f ca="1">IF(AND($C13="Goal",DH$8&gt;=$G13,DH$8&lt;=$G13+$H13-1),2,IF(AND($C13="Milestone",DH$8&gt;=$G13,DH$8&lt;=$G13+$H13-1),1,""))</f>
        <v/>
      </c>
      <c r="DI13" s="69" t="str">
        <f ca="1">IF(AND($C13="Goal",DI$8&gt;=$G13,DI$8&lt;=$G13+$H13-1),2,IF(AND($C13="Milestone",DI$8&gt;=$G13,DI$8&lt;=$G13+$H13-1),1,""))</f>
        <v/>
      </c>
      <c r="DJ13" s="69" t="str">
        <f ca="1">IF(AND($C13="Goal",DJ$8&gt;=$G13,DJ$8&lt;=$G13+$H13-1),2,IF(AND($C13="Milestone",DJ$8&gt;=$G13,DJ$8&lt;=$G13+$H13-1),1,""))</f>
        <v/>
      </c>
      <c r="DK13" s="69" t="str">
        <f ca="1">IF(AND($C13="Goal",DK$8&gt;=$G13,DK$8&lt;=$G13+$H13-1),2,IF(AND($C13="Milestone",DK$8&gt;=$G13,DK$8&lt;=$G13+$H13-1),1,""))</f>
        <v/>
      </c>
      <c r="DL13" s="69" t="str">
        <f ca="1">IF(AND($C13="Goal",DL$8&gt;=$G13,DL$8&lt;=$G13+$H13-1),2,IF(AND($C13="Milestone",DL$8&gt;=$G13,DL$8&lt;=$G13+$H13-1),1,""))</f>
        <v/>
      </c>
      <c r="DM13" s="69" t="str">
        <f ca="1">IF(AND($C13="Goal",DM$8&gt;=$G13,DM$8&lt;=$G13+$H13-1),2,IF(AND($C13="Milestone",DM$8&gt;=$G13,DM$8&lt;=$G13+$H13-1),1,""))</f>
        <v/>
      </c>
      <c r="DN13" s="69" t="str">
        <f ca="1">IF(AND($C13="Goal",DN$8&gt;=$G13,DN$8&lt;=$G13+$H13-1),2,IF(AND($C13="Milestone",DN$8&gt;=$G13,DN$8&lt;=$G13+$H13-1),1,""))</f>
        <v/>
      </c>
      <c r="DO13" s="69" t="str">
        <f ca="1">IF(AND($C13="Goal",DO$8&gt;=$G13,DO$8&lt;=$G13+$H13-1),2,IF(AND($C13="Milestone",DO$8&gt;=$G13,DO$8&lt;=$G13+$H13-1),1,""))</f>
        <v/>
      </c>
      <c r="DP13" s="69" t="str">
        <f ca="1">IF(AND($C13="Goal",DP$8&gt;=$G13,DP$8&lt;=$G13+$H13-1),2,IF(AND($C13="Milestone",DP$8&gt;=$G13,DP$8&lt;=$G13+$H13-1),1,""))</f>
        <v/>
      </c>
      <c r="DQ13" s="69" t="str">
        <f ca="1">IF(AND($C13="Goal",DQ$8&gt;=$G13,DQ$8&lt;=$G13+$H13-1),2,IF(AND($C13="Milestone",DQ$8&gt;=$G13,DQ$8&lt;=$G13+$H13-1),1,""))</f>
        <v/>
      </c>
      <c r="DR13" s="69" t="str">
        <f ca="1">IF(AND($C13="Goal",DR$8&gt;=$G13,DR$8&lt;=$G13+$H13-1),2,IF(AND($C13="Milestone",DR$8&gt;=$G13,DR$8&lt;=$G13+$H13-1),1,""))</f>
        <v/>
      </c>
      <c r="DS13" s="69" t="str">
        <f ca="1">IF(AND($C13="Goal",DS$8&gt;=$G13,DS$8&lt;=$G13+$H13-1),2,IF(AND($C13="Milestone",DS$8&gt;=$G13,DS$8&lt;=$G13+$H13-1),1,""))</f>
        <v/>
      </c>
      <c r="DT13" s="69" t="str">
        <f ca="1">IF(AND($C13="Goal",DT$8&gt;=$G13,DT$8&lt;=$G13+$H13-1),2,IF(AND($C13="Milestone",DT$8&gt;=$G13,DT$8&lt;=$G13+$H13-1),1,""))</f>
        <v/>
      </c>
      <c r="DU13" s="69" t="str">
        <f ca="1">IF(AND($C13="Goal",DU$8&gt;=$G13,DU$8&lt;=$G13+$H13-1),2,IF(AND($C13="Milestone",DU$8&gt;=$G13,DU$8&lt;=$G13+$H13-1),1,""))</f>
        <v/>
      </c>
      <c r="DV13" s="69" t="str">
        <f ca="1">IF(AND($C13="Goal",DV$8&gt;=$G13,DV$8&lt;=$G13+$H13-1),2,IF(AND($C13="Milestone",DV$8&gt;=$G13,DV$8&lt;=$G13+$H13-1),1,""))</f>
        <v/>
      </c>
      <c r="DW13" s="69" t="str">
        <f ca="1">IF(AND($C13="Goal",DW$8&gt;=$G13,DW$8&lt;=$G13+$H13-1),2,IF(AND($C13="Milestone",DW$8&gt;=$G13,DW$8&lt;=$G13+$H13-1),1,""))</f>
        <v/>
      </c>
      <c r="DX13" s="69" t="str">
        <f ca="1">IF(AND($C13="Goal",DX$8&gt;=$G13,DX$8&lt;=$G13+$H13-1),2,IF(AND($C13="Milestone",DX$8&gt;=$G13,DX$8&lt;=$G13+$H13-1),1,""))</f>
        <v/>
      </c>
      <c r="DY13" s="69" t="str">
        <f ca="1">IF(AND($C13="Goal",DY$8&gt;=$G13,DY$8&lt;=$G13+$H13-1),2,IF(AND($C13="Milestone",DY$8&gt;=$G13,DY$8&lt;=$G13+$H13-1),1,""))</f>
        <v/>
      </c>
      <c r="DZ13" s="69" t="str">
        <f ca="1">IF(AND($C13="Goal",DZ$8&gt;=$G13,DZ$8&lt;=$G13+$H13-1),2,IF(AND($C13="Milestone",DZ$8&gt;=$G13,DZ$8&lt;=$G13+$H13-1),1,""))</f>
        <v/>
      </c>
      <c r="EA13" s="69" t="str">
        <f ca="1">IF(AND($C13="Goal",EA$8&gt;=$G13,EA$8&lt;=$G13+$H13-1),2,IF(AND($C13="Milestone",EA$8&gt;=$G13,EA$8&lt;=$G13+$H13-1),1,""))</f>
        <v/>
      </c>
      <c r="EB13" s="69" t="str">
        <f ca="1">IF(AND($C13="Goal",EB$8&gt;=$G13,EB$8&lt;=$G13+$H13-1),2,IF(AND($C13="Milestone",EB$8&gt;=$G13,EB$8&lt;=$G13+$H13-1),1,""))</f>
        <v/>
      </c>
      <c r="EC13" s="69" t="str">
        <f ca="1">IF(AND($C13="Goal",EC$8&gt;=$G13,EC$8&lt;=$G13+$H13-1),2,IF(AND($C13="Milestone",EC$8&gt;=$G13,EC$8&lt;=$G13+$H13-1),1,""))</f>
        <v/>
      </c>
      <c r="ED13" s="69" t="str">
        <f ca="1">IF(AND($C13="Goal",ED$8&gt;=$G13,ED$8&lt;=$G13+$H13-1),2,IF(AND($C13="Milestone",ED$8&gt;=$G13,ED$8&lt;=$G13+$H13-1),1,""))</f>
        <v/>
      </c>
      <c r="EE13" s="69" t="str">
        <f ca="1">IF(AND($C13="Goal",EE$8&gt;=$G13,EE$8&lt;=$G13+$H13-1),2,IF(AND($C13="Milestone",EE$8&gt;=$G13,EE$8&lt;=$G13+$H13-1),1,""))</f>
        <v/>
      </c>
      <c r="EF13" s="69" t="str">
        <f ca="1">IF(AND($C13="Goal",EF$8&gt;=$G13,EF$8&lt;=$G13+$H13-1),2,IF(AND($C13="Milestone",EF$8&gt;=$G13,EF$8&lt;=$G13+$H13-1),1,""))</f>
        <v/>
      </c>
      <c r="EG13" s="69" t="str">
        <f ca="1">IF(AND($C13="Goal",EG$8&gt;=$G13,EG$8&lt;=$G13+$H13-1),2,IF(AND($C13="Milestone",EG$8&gt;=$G13,EG$8&lt;=$G13+$H13-1),1,""))</f>
        <v/>
      </c>
      <c r="EH13" s="69" t="str">
        <f ca="1">IF(AND($C13="Goal",EH$8&gt;=$G13,EH$8&lt;=$G13+$H13-1),2,IF(AND($C13="Milestone",EH$8&gt;=$G13,EH$8&lt;=$G13+$H13-1),1,""))</f>
        <v/>
      </c>
      <c r="EI13" s="69" t="str">
        <f ca="1">IF(AND($C13="Goal",EI$8&gt;=$G13,EI$8&lt;=$G13+$H13-1),2,IF(AND($C13="Milestone",EI$8&gt;=$G13,EI$8&lt;=$G13+$H13-1),1,""))</f>
        <v/>
      </c>
      <c r="EJ13" s="69" t="str">
        <f ca="1">IF(AND($C13="Goal",EJ$8&gt;=$G13,EJ$8&lt;=$G13+$H13-1),2,IF(AND($C13="Milestone",EJ$8&gt;=$G13,EJ$8&lt;=$G13+$H13-1),1,""))</f>
        <v/>
      </c>
      <c r="EK13" s="69" t="str">
        <f ca="1">IF(AND($C13="Goal",EK$8&gt;=$G13,EK$8&lt;=$G13+$H13-1),2,IF(AND($C13="Milestone",EK$8&gt;=$G13,EK$8&lt;=$G13+$H13-1),1,""))</f>
        <v/>
      </c>
      <c r="EL13" s="69" t="str">
        <f ca="1">IF(AND($C13="Goal",EL$8&gt;=$G13,EL$8&lt;=$G13+$H13-1),2,IF(AND($C13="Milestone",EL$8&gt;=$G13,EL$8&lt;=$G13+$H13-1),1,""))</f>
        <v/>
      </c>
      <c r="EM13" s="69" t="str">
        <f ca="1">IF(AND($C13="Goal",EM$8&gt;=$G13,EM$8&lt;=$G13+$H13-1),2,IF(AND($C13="Milestone",EM$8&gt;=$G13,EM$8&lt;=$G13+$H13-1),1,""))</f>
        <v/>
      </c>
      <c r="EN13" s="69" t="str">
        <f ca="1">IF(AND($C13="Goal",EN$8&gt;=$G13,EN$8&lt;=$G13+$H13-1),2,IF(AND($C13="Milestone",EN$8&gt;=$G13,EN$8&lt;=$G13+$H13-1),1,""))</f>
        <v/>
      </c>
      <c r="EO13" s="69" t="str">
        <f ca="1">IF(AND($C13="Goal",EO$8&gt;=$G13,EO$8&lt;=$G13+$H13-1),2,IF(AND($C13="Milestone",EO$8&gt;=$G13,EO$8&lt;=$G13+$H13-1),1,""))</f>
        <v/>
      </c>
      <c r="EP13" s="69" t="str">
        <f ca="1">IF(AND($C13="Goal",EP$8&gt;=$G13,EP$8&lt;=$G13+$H13-1),2,IF(AND($C13="Milestone",EP$8&gt;=$G13,EP$8&lt;=$G13+$H13-1),1,""))</f>
        <v/>
      </c>
      <c r="EQ13" s="69" t="str">
        <f ca="1">IF(AND($C13="Goal",EQ$8&gt;=$G13,EQ$8&lt;=$G13+$H13-1),2,IF(AND($C13="Milestone",EQ$8&gt;=$G13,EQ$8&lt;=$G13+$H13-1),1,""))</f>
        <v/>
      </c>
      <c r="ER13" s="69" t="str">
        <f ca="1">IF(AND($C13="Goal",ER$8&gt;=$G13,ER$8&lt;=$G13+$H13-1),2,IF(AND($C13="Milestone",ER$8&gt;=$G13,ER$8&lt;=$G13+$H13-1),1,""))</f>
        <v/>
      </c>
      <c r="ES13" s="69" t="str">
        <f ca="1">IF(AND($C13="Goal",ES$8&gt;=$G13,ES$8&lt;=$G13+$H13-1),2,IF(AND($C13="Milestone",ES$8&gt;=$G13,ES$8&lt;=$G13+$H13-1),1,""))</f>
        <v/>
      </c>
      <c r="ET13" s="69" t="str">
        <f ca="1">IF(AND($C13="Goal",ET$8&gt;=$G13,ET$8&lt;=$G13+$H13-1),2,IF(AND($C13="Milestone",ET$8&gt;=$G13,ET$8&lt;=$G13+$H13-1),1,""))</f>
        <v/>
      </c>
      <c r="EU13" s="69" t="str">
        <f ca="1">IF(AND($C13="Goal",EU$8&gt;=$G13,EU$8&lt;=$G13+$H13-1),2,IF(AND($C13="Milestone",EU$8&gt;=$G13,EU$8&lt;=$G13+$H13-1),1,""))</f>
        <v/>
      </c>
      <c r="EV13" s="69" t="str">
        <f ca="1">IF(AND($C13="Goal",EV$8&gt;=$G13,EV$8&lt;=$G13+$H13-1),2,IF(AND($C13="Milestone",EV$8&gt;=$G13,EV$8&lt;=$G13+$H13-1),1,""))</f>
        <v/>
      </c>
      <c r="EW13" s="69" t="str">
        <f ca="1">IF(AND($C13="Goal",EW$8&gt;=$G13,EW$8&lt;=$G13+$H13-1),2,IF(AND($C13="Milestone",EW$8&gt;=$G13,EW$8&lt;=$G13+$H13-1),1,""))</f>
        <v/>
      </c>
      <c r="EX13" s="69" t="str">
        <f ca="1">IF(AND($C13="Goal",EX$8&gt;=$G13,EX$8&lt;=$G13+$H13-1),2,IF(AND($C13="Milestone",EX$8&gt;=$G13,EX$8&lt;=$G13+$H13-1),1,""))</f>
        <v/>
      </c>
      <c r="EY13" s="69" t="str">
        <f ca="1">IF(AND($C13="Goal",EY$8&gt;=$G13,EY$8&lt;=$G13+$H13-1),2,IF(AND($C13="Milestone",EY$8&gt;=$G13,EY$8&lt;=$G13+$H13-1),1,""))</f>
        <v/>
      </c>
      <c r="EZ13" s="69" t="str">
        <f ca="1">IF(AND($C13="Goal",EZ$8&gt;=$G13,EZ$8&lt;=$G13+$H13-1),2,IF(AND($C13="Milestone",EZ$8&gt;=$G13,EZ$8&lt;=$G13+$H13-1),1,""))</f>
        <v/>
      </c>
      <c r="FA13" s="69" t="str">
        <f ca="1">IF(AND($C13="Goal",FA$8&gt;=$G13,FA$8&lt;=$G13+$H13-1),2,IF(AND($C13="Milestone",FA$8&gt;=$G13,FA$8&lt;=$G13+$H13-1),1,""))</f>
        <v/>
      </c>
      <c r="FB13" s="69" t="str">
        <f ca="1">IF(AND($C13="Goal",FB$8&gt;=$G13,FB$8&lt;=$G13+$H13-1),2,IF(AND($C13="Milestone",FB$8&gt;=$G13,FB$8&lt;=$G13+$H13-1),1,""))</f>
        <v/>
      </c>
      <c r="FC13" s="69" t="str">
        <f ca="1">IF(AND($C13="Goal",FC$8&gt;=$G13,FC$8&lt;=$G13+$H13-1),2,IF(AND($C13="Milestone",FC$8&gt;=$G13,FC$8&lt;=$G13+$H13-1),1,""))</f>
        <v/>
      </c>
      <c r="FD13" s="69" t="str">
        <f ca="1">IF(AND($C13="Goal",FD$8&gt;=$G13,FD$8&lt;=$G13+$H13-1),2,IF(AND($C13="Milestone",FD$8&gt;=$G13,FD$8&lt;=$G13+$H13-1),1,""))</f>
        <v/>
      </c>
      <c r="FE13" s="69" t="str">
        <f ca="1">IF(AND($C13="Goal",FE$8&gt;=$G13,FE$8&lt;=$G13+$H13-1),2,IF(AND($C13="Milestone",FE$8&gt;=$G13,FE$8&lt;=$G13+$H13-1),1,""))</f>
        <v/>
      </c>
      <c r="FF13" s="69" t="str">
        <f ca="1">IF(AND($C13="Goal",FF$8&gt;=$G13,FF$8&lt;=$G13+$H13-1),2,IF(AND($C13="Milestone",FF$8&gt;=$G13,FF$8&lt;=$G13+$H13-1),1,""))</f>
        <v/>
      </c>
      <c r="FG13" s="69" t="str">
        <f ca="1">IF(AND($C13="Goal",FG$8&gt;=$G13,FG$8&lt;=$G13+$H13-1),2,IF(AND($C13="Milestone",FG$8&gt;=$G13,FG$8&lt;=$G13+$H13-1),1,""))</f>
        <v/>
      </c>
      <c r="FH13" s="69" t="str">
        <f ca="1">IF(AND($C13="Goal",FH$8&gt;=$G13,FH$8&lt;=$G13+$H13-1),2,IF(AND($C13="Milestone",FH$8&gt;=$G13,FH$8&lt;=$G13+$H13-1),1,""))</f>
        <v/>
      </c>
      <c r="FI13" s="69" t="str">
        <f ca="1">IF(AND($C13="Goal",FI$8&gt;=$G13,FI$8&lt;=$G13+$H13-1),2,IF(AND($C13="Milestone",FI$8&gt;=$G13,FI$8&lt;=$G13+$H13-1),1,""))</f>
        <v/>
      </c>
      <c r="FJ13" s="69" t="str">
        <f ca="1">IF(AND($C13="Goal",FJ$8&gt;=$G13,FJ$8&lt;=$G13+$H13-1),2,IF(AND($C13="Milestone",FJ$8&gt;=$G13,FJ$8&lt;=$G13+$H13-1),1,""))</f>
        <v/>
      </c>
      <c r="FK13" s="69" t="str">
        <f ca="1">IF(AND($C13="Goal",FK$8&gt;=$G13,FK$8&lt;=$G13+$H13-1),2,IF(AND($C13="Milestone",FK$8&gt;=$G13,FK$8&lt;=$G13+$H13-1),1,""))</f>
        <v/>
      </c>
      <c r="FL13" s="69" t="str">
        <f ca="1">IF(AND($C13="Goal",FL$8&gt;=$G13,FL$8&lt;=$G13+$H13-1),2,IF(AND($C13="Milestone",FL$8&gt;=$G13,FL$8&lt;=$G13+$H13-1),1,""))</f>
        <v/>
      </c>
      <c r="FM13" s="69" t="str">
        <f ca="1">IF(AND($C13="Goal",FM$8&gt;=$G13,FM$8&lt;=$G13+$H13-1),2,IF(AND($C13="Milestone",FM$8&gt;=$G13,FM$8&lt;=$G13+$H13-1),1,""))</f>
        <v/>
      </c>
      <c r="FN13" s="69" t="str">
        <f ca="1">IF(AND($C13="Goal",FN$8&gt;=$G13,FN$8&lt;=$G13+$H13-1),2,IF(AND($C13="Milestone",FN$8&gt;=$G13,FN$8&lt;=$G13+$H13-1),1,""))</f>
        <v/>
      </c>
      <c r="FO13" s="69" t="str">
        <f ca="1">IF(AND($C13="Goal",FO$8&gt;=$G13,FO$8&lt;=$G13+$H13-1),2,IF(AND($C13="Milestone",FO$8&gt;=$G13,FO$8&lt;=$G13+$H13-1),1,""))</f>
        <v/>
      </c>
      <c r="FP13" s="69" t="str">
        <f ca="1">IF(AND($C13="Goal",FP$8&gt;=$G13,FP$8&lt;=$G13+$H13-1),2,IF(AND($C13="Milestone",FP$8&gt;=$G13,FP$8&lt;=$G13+$H13-1),1,""))</f>
        <v/>
      </c>
      <c r="FQ13" s="69" t="str">
        <f ca="1">IF(AND($C13="Goal",FQ$8&gt;=$G13,FQ$8&lt;=$G13+$H13-1),2,IF(AND($C13="Milestone",FQ$8&gt;=$G13,FQ$8&lt;=$G13+$H13-1),1,""))</f>
        <v/>
      </c>
      <c r="FR13" s="69" t="str">
        <f ca="1">IF(AND($C13="Goal",FR$8&gt;=$G13,FR$8&lt;=$G13+$H13-1),2,IF(AND($C13="Milestone",FR$8&gt;=$G13,FR$8&lt;=$G13+$H13-1),1,""))</f>
        <v/>
      </c>
      <c r="FS13" s="69" t="str">
        <f ca="1">IF(AND($C13="Goal",FS$8&gt;=$G13,FS$8&lt;=$G13+$H13-1),2,IF(AND($C13="Milestone",FS$8&gt;=$G13,FS$8&lt;=$G13+$H13-1),1,""))</f>
        <v/>
      </c>
      <c r="FT13" s="69" t="str">
        <f ca="1">IF(AND($C13="Goal",FT$8&gt;=$G13,FT$8&lt;=$G13+$H13-1),2,IF(AND($C13="Milestone",FT$8&gt;=$G13,FT$8&lt;=$G13+$H13-1),1,""))</f>
        <v/>
      </c>
      <c r="FU13" s="69" t="str">
        <f ca="1">IF(AND($C13="Goal",FU$8&gt;=$G13,FU$8&lt;=$G13+$H13-1),2,IF(AND($C13="Milestone",FU$8&gt;=$G13,FU$8&lt;=$G13+$H13-1),1,""))</f>
        <v/>
      </c>
      <c r="FV13" s="69" t="str">
        <f ca="1">IF(AND($C13="Goal",FV$8&gt;=$G13,FV$8&lt;=$G13+$H13-1),2,IF(AND($C13="Milestone",FV$8&gt;=$G13,FV$8&lt;=$G13+$H13-1),1,""))</f>
        <v/>
      </c>
      <c r="FW13" s="69" t="str">
        <f ca="1">IF(AND($C13="Goal",FW$8&gt;=$G13,FW$8&lt;=$G13+$H13-1),2,IF(AND($C13="Milestone",FW$8&gt;=$G13,FW$8&lt;=$G13+$H13-1),1,""))</f>
        <v/>
      </c>
      <c r="FX13" s="69" t="str">
        <f ca="1">IF(AND($C13="Goal",FX$8&gt;=$G13,FX$8&lt;=$G13+$H13-1),2,IF(AND($C13="Milestone",FX$8&gt;=$G13,FX$8&lt;=$G13+$H13-1),1,""))</f>
        <v/>
      </c>
      <c r="FY13" s="69" t="str">
        <f ca="1">IF(AND($C13="Goal",FY$8&gt;=$G13,FY$8&lt;=$G13+$H13-1),2,IF(AND($C13="Milestone",FY$8&gt;=$G13,FY$8&lt;=$G13+$H13-1),1,""))</f>
        <v/>
      </c>
      <c r="FZ13" s="69" t="str">
        <f ca="1">IF(AND($C13="Goal",FZ$8&gt;=$G13,FZ$8&lt;=$G13+$H13-1),2,IF(AND($C13="Milestone",FZ$8&gt;=$G13,FZ$8&lt;=$G13+$H13-1),1,""))</f>
        <v/>
      </c>
      <c r="GA13" s="69" t="str">
        <f ca="1">IF(AND($C13="Goal",GA$8&gt;=$G13,GA$8&lt;=$G13+$H13-1),2,IF(AND($C13="Milestone",GA$8&gt;=$G13,GA$8&lt;=$G13+$H13-1),1,""))</f>
        <v/>
      </c>
      <c r="GB13" s="69" t="str">
        <f ca="1">IF(AND($C13="Goal",GB$8&gt;=$G13,GB$8&lt;=$G13+$H13-1),2,IF(AND($C13="Milestone",GB$8&gt;=$G13,GB$8&lt;=$G13+$H13-1),1,""))</f>
        <v/>
      </c>
      <c r="GC13" s="69" t="str">
        <f ca="1">IF(AND($C13="Goal",GC$8&gt;=$G13,GC$8&lt;=$G13+$H13-1),2,IF(AND($C13="Milestone",GC$8&gt;=$G13,GC$8&lt;=$G13+$H13-1),1,""))</f>
        <v/>
      </c>
      <c r="GD13" s="69" t="str">
        <f ca="1">IF(AND($C13="Goal",GD$8&gt;=$G13,GD$8&lt;=$G13+$H13-1),2,IF(AND($C13="Milestone",GD$8&gt;=$G13,GD$8&lt;=$G13+$H13-1),1,""))</f>
        <v/>
      </c>
      <c r="GE13" s="69" t="str">
        <f ca="1">IF(AND($C13="Goal",GE$8&gt;=$G13,GE$8&lt;=$G13+$H13-1),2,IF(AND($C13="Milestone",GE$8&gt;=$G13,GE$8&lt;=$G13+$H13-1),1,""))</f>
        <v/>
      </c>
      <c r="GF13" s="69" t="str">
        <f ca="1">IF(AND($C13="Goal",GF$8&gt;=$G13,GF$8&lt;=$G13+$H13-1),2,IF(AND($C13="Milestone",GF$8&gt;=$G13,GF$8&lt;=$G13+$H13-1),1,""))</f>
        <v/>
      </c>
      <c r="GG13" s="69" t="str">
        <f ca="1">IF(AND($C13="Goal",GG$8&gt;=$G13,GG$8&lt;=$G13+$H13-1),2,IF(AND($C13="Milestone",GG$8&gt;=$G13,GG$8&lt;=$G13+$H13-1),1,""))</f>
        <v/>
      </c>
      <c r="GH13" s="69" t="str">
        <f ca="1">IF(AND($C13="Goal",GH$8&gt;=$G13,GH$8&lt;=$G13+$H13-1),2,IF(AND($C13="Milestone",GH$8&gt;=$G13,GH$8&lt;=$G13+$H13-1),1,""))</f>
        <v/>
      </c>
      <c r="GI13" s="69" t="str">
        <f ca="1">IF(AND($C13="Goal",GI$8&gt;=$G13,GI$8&lt;=$G13+$H13-1),2,IF(AND($C13="Milestone",GI$8&gt;=$G13,GI$8&lt;=$G13+$H13-1),1,""))</f>
        <v/>
      </c>
      <c r="GJ13" s="69" t="str">
        <f ca="1">IF(AND($C13="Goal",GJ$8&gt;=$G13,GJ$8&lt;=$G13+$H13-1),2,IF(AND($C13="Milestone",GJ$8&gt;=$G13,GJ$8&lt;=$G13+$H13-1),1,""))</f>
        <v/>
      </c>
      <c r="GK13" s="69" t="str">
        <f ca="1">IF(AND($C13="Goal",GK$8&gt;=$G13,GK$8&lt;=$G13+$H13-1),2,IF(AND($C13="Milestone",GK$8&gt;=$G13,GK$8&lt;=$G13+$H13-1),1,""))</f>
        <v/>
      </c>
      <c r="GL13" s="69" t="str">
        <f ca="1">IF(AND($C13="Goal",GL$8&gt;=$G13,GL$8&lt;=$G13+$H13-1),2,IF(AND($C13="Milestone",GL$8&gt;=$G13,GL$8&lt;=$G13+$H13-1),1,""))</f>
        <v/>
      </c>
      <c r="GM13" s="69" t="str">
        <f ca="1">IF(AND($C13="Goal",GM$8&gt;=$G13,GM$8&lt;=$G13+$H13-1),2,IF(AND($C13="Milestone",GM$8&gt;=$G13,GM$8&lt;=$G13+$H13-1),1,""))</f>
        <v/>
      </c>
      <c r="GN13" s="69" t="str">
        <f ca="1">IF(AND($C13="Goal",GN$8&gt;=$G13,GN$8&lt;=$G13+$H13-1),2,IF(AND($C13="Milestone",GN$8&gt;=$G13,GN$8&lt;=$G13+$H13-1),1,""))</f>
        <v/>
      </c>
      <c r="GO13" s="69" t="str">
        <f ca="1">IF(AND($C13="Goal",GO$8&gt;=$G13,GO$8&lt;=$G13+$H13-1),2,IF(AND($C13="Milestone",GO$8&gt;=$G13,GO$8&lt;=$G13+$H13-1),1,""))</f>
        <v/>
      </c>
      <c r="GP13" s="69" t="str">
        <f ca="1">IF(AND($C13="Goal",GP$8&gt;=$G13,GP$8&lt;=$G13+$H13-1),2,IF(AND($C13="Milestone",GP$8&gt;=$G13,GP$8&lt;=$G13+$H13-1),1,""))</f>
        <v/>
      </c>
      <c r="GQ13" s="69" t="str">
        <f ca="1">IF(AND($C13="Goal",GQ$8&gt;=$G13,GQ$8&lt;=$G13+$H13-1),2,IF(AND($C13="Milestone",GQ$8&gt;=$G13,GQ$8&lt;=$G13+$H13-1),1,""))</f>
        <v/>
      </c>
      <c r="GR13" s="69" t="str">
        <f ca="1">IF(AND($C13="Goal",GR$8&gt;=$G13,GR$8&lt;=$G13+$H13-1),2,IF(AND($C13="Milestone",GR$8&gt;=$G13,GR$8&lt;=$G13+$H13-1),1,""))</f>
        <v/>
      </c>
      <c r="GS13" s="69" t="str">
        <f ca="1">IF(AND($C13="Goal",GS$8&gt;=$G13,GS$8&lt;=$G13+$H13-1),2,IF(AND($C13="Milestone",GS$8&gt;=$G13,GS$8&lt;=$G13+$H13-1),1,""))</f>
        <v/>
      </c>
      <c r="GT13" s="69" t="str">
        <f ca="1">IF(AND($C13="Goal",GT$8&gt;=$G13,GT$8&lt;=$G13+$H13-1),2,IF(AND($C13="Milestone",GT$8&gt;=$G13,GT$8&lt;=$G13+$H13-1),1,""))</f>
        <v/>
      </c>
      <c r="GU13" s="69" t="str">
        <f ca="1">IF(AND($C13="Goal",GU$8&gt;=$G13,GU$8&lt;=$G13+$H13-1),2,IF(AND($C13="Milestone",GU$8&gt;=$G13,GU$8&lt;=$G13+$H13-1),1,""))</f>
        <v/>
      </c>
      <c r="GV13" s="69" t="str">
        <f ca="1">IF(AND($C13="Goal",GV$8&gt;=$G13,GV$8&lt;=$G13+$H13-1),2,IF(AND($C13="Milestone",GV$8&gt;=$G13,GV$8&lt;=$G13+$H13-1),1,""))</f>
        <v/>
      </c>
      <c r="GW13" s="69" t="str">
        <f ca="1">IF(AND($C13="Goal",GW$8&gt;=$G13,GW$8&lt;=$G13+$H13-1),2,IF(AND($C13="Milestone",GW$8&gt;=$G13,GW$8&lt;=$G13+$H13-1),1,""))</f>
        <v/>
      </c>
      <c r="GX13" s="69" t="str">
        <f ca="1">IF(AND($C13="Goal",GX$8&gt;=$G13,GX$8&lt;=$G13+$H13-1),2,IF(AND($C13="Milestone",GX$8&gt;=$G13,GX$8&lt;=$G13+$H13-1),1,""))</f>
        <v/>
      </c>
      <c r="GY13" s="69" t="str">
        <f ca="1">IF(AND($C13="Goal",GY$8&gt;=$G13,GY$8&lt;=$G13+$H13-1),2,IF(AND($C13="Milestone",GY$8&gt;=$G13,GY$8&lt;=$G13+$H13-1),1,""))</f>
        <v/>
      </c>
      <c r="GZ13" s="69" t="str">
        <f ca="1">IF(AND($C13="Goal",GZ$8&gt;=$G13,GZ$8&lt;=$G13+$H13-1),2,IF(AND($C13="Milestone",GZ$8&gt;=$G13,GZ$8&lt;=$G13+$H13-1),1,""))</f>
        <v/>
      </c>
      <c r="HA13" s="69" t="str">
        <f ca="1">IF(AND($C13="Goal",HA$8&gt;=$G13,HA$8&lt;=$G13+$H13-1),2,IF(AND($C13="Milestone",HA$8&gt;=$G13,HA$8&lt;=$G13+$H13-1),1,""))</f>
        <v/>
      </c>
      <c r="HB13" s="69" t="str">
        <f ca="1">IF(AND($C13="Goal",HB$8&gt;=$G13,HB$8&lt;=$G13+$H13-1),2,IF(AND($C13="Milestone",HB$8&gt;=$G13,HB$8&lt;=$G13+$H13-1),1,""))</f>
        <v/>
      </c>
      <c r="HC13" s="69" t="str">
        <f ca="1">IF(AND($C13="Goal",HC$8&gt;=$G13,HC$8&lt;=$G13+$H13-1),2,IF(AND($C13="Milestone",HC$8&gt;=$G13,HC$8&lt;=$G13+$H13-1),1,""))</f>
        <v/>
      </c>
      <c r="HD13" s="69" t="str">
        <f ca="1">IF(AND($C13="Goal",HD$8&gt;=$G13,HD$8&lt;=$G13+$H13-1),2,IF(AND($C13="Milestone",HD$8&gt;=$G13,HD$8&lt;=$G13+$H13-1),1,""))</f>
        <v/>
      </c>
      <c r="HE13" s="69" t="str">
        <f ca="1">IF(AND($C13="Goal",HE$8&gt;=$G13,HE$8&lt;=$G13+$H13-1),2,IF(AND($C13="Milestone",HE$8&gt;=$G13,HE$8&lt;=$G13+$H13-1),1,""))</f>
        <v/>
      </c>
      <c r="HF13" s="69" t="str">
        <f ca="1">IF(AND($C13="Goal",HF$8&gt;=$G13,HF$8&lt;=$G13+$H13-1),2,IF(AND($C13="Milestone",HF$8&gt;=$G13,HF$8&lt;=$G13+$H13-1),1,""))</f>
        <v/>
      </c>
      <c r="HG13" s="69" t="str">
        <f ca="1">IF(AND($C13="Goal",HG$8&gt;=$G13,HG$8&lt;=$G13+$H13-1),2,IF(AND($C13="Milestone",HG$8&gt;=$G13,HG$8&lt;=$G13+$H13-1),1,""))</f>
        <v/>
      </c>
      <c r="HH13" s="69" t="str">
        <f ca="1">IF(AND($C13="Goal",HH$8&gt;=$G13,HH$8&lt;=$G13+$H13-1),2,IF(AND($C13="Milestone",HH$8&gt;=$G13,HH$8&lt;=$G13+$H13-1),1,""))</f>
        <v/>
      </c>
      <c r="HI13" s="69" t="str">
        <f ca="1">IF(AND($C13="Goal",HI$8&gt;=$G13,HI$8&lt;=$G13+$H13-1),2,IF(AND($C13="Milestone",HI$8&gt;=$G13,HI$8&lt;=$G13+$H13-1),1,""))</f>
        <v/>
      </c>
      <c r="HJ13" s="69" t="str">
        <f ca="1">IF(AND($C13="Goal",HJ$8&gt;=$G13,HJ$8&lt;=$G13+$H13-1),2,IF(AND($C13="Milestone",HJ$8&gt;=$G13,HJ$8&lt;=$G13+$H13-1),1,""))</f>
        <v/>
      </c>
      <c r="HK13" s="69" t="str">
        <f ca="1">IF(AND($C13="Goal",HK$8&gt;=$G13,HK$8&lt;=$G13+$H13-1),2,IF(AND($C13="Milestone",HK$8&gt;=$G13,HK$8&lt;=$G13+$H13-1),1,""))</f>
        <v/>
      </c>
      <c r="HL13" s="69" t="str">
        <f ca="1">IF(AND($C13="Goal",HL$8&gt;=$G13,HL$8&lt;=$G13+$H13-1),2,IF(AND($C13="Milestone",HL$8&gt;=$G13,HL$8&lt;=$G13+$H13-1),1,""))</f>
        <v/>
      </c>
      <c r="HM13" s="69" t="str">
        <f ca="1">IF(AND($C13="Goal",HM$8&gt;=$G13,HM$8&lt;=$G13+$H13-1),2,IF(AND($C13="Milestone",HM$8&gt;=$G13,HM$8&lt;=$G13+$H13-1),1,""))</f>
        <v/>
      </c>
      <c r="HN13" s="69" t="str">
        <f ca="1">IF(AND($C13="Goal",HN$8&gt;=$G13,HN$8&lt;=$G13+$H13-1),2,IF(AND($C13="Milestone",HN$8&gt;=$G13,HN$8&lt;=$G13+$H13-1),1,""))</f>
        <v/>
      </c>
      <c r="HO13" s="69" t="str">
        <f ca="1">IF(AND($C13="Goal",HO$8&gt;=$G13,HO$8&lt;=$G13+$H13-1),2,IF(AND($C13="Milestone",HO$8&gt;=$G13,HO$8&lt;=$G13+$H13-1),1,""))</f>
        <v/>
      </c>
      <c r="HP13" s="69" t="str">
        <f ca="1">IF(AND($C13="Goal",HP$8&gt;=$G13,HP$8&lt;=$G13+$H13-1),2,IF(AND($C13="Milestone",HP$8&gt;=$G13,HP$8&lt;=$G13+$H13-1),1,""))</f>
        <v/>
      </c>
      <c r="HQ13" s="69" t="str">
        <f ca="1">IF(AND($C13="Goal",HQ$8&gt;=$G13,HQ$8&lt;=$G13+$H13-1),2,IF(AND($C13="Milestone",HQ$8&gt;=$G13,HQ$8&lt;=$G13+$H13-1),1,""))</f>
        <v/>
      </c>
      <c r="HR13" s="69" t="str">
        <f ca="1">IF(AND($C13="Goal",HR$8&gt;=$G13,HR$8&lt;=$G13+$H13-1),2,IF(AND($C13="Milestone",HR$8&gt;=$G13,HR$8&lt;=$G13+$H13-1),1,""))</f>
        <v/>
      </c>
      <c r="HS13" s="69" t="str">
        <f ca="1">IF(AND($C13="Goal",HS$8&gt;=$G13,HS$8&lt;=$G13+$H13-1),2,IF(AND($C13="Milestone",HS$8&gt;=$G13,HS$8&lt;=$G13+$H13-1),1,""))</f>
        <v/>
      </c>
      <c r="HT13" s="69" t="str">
        <f ca="1">IF(AND($C13="Goal",HT$8&gt;=$G13,HT$8&lt;=$G13+$H13-1),2,IF(AND($C13="Milestone",HT$8&gt;=$G13,HT$8&lt;=$G13+$H13-1),1,""))</f>
        <v/>
      </c>
      <c r="HU13" s="69" t="str">
        <f ca="1">IF(AND($C13="Goal",HU$8&gt;=$G13,HU$8&lt;=$G13+$H13-1),2,IF(AND($C13="Milestone",HU$8&gt;=$G13,HU$8&lt;=$G13+$H13-1),1,""))</f>
        <v/>
      </c>
      <c r="HV13" s="69" t="str">
        <f ca="1">IF(AND($C13="Goal",HV$8&gt;=$G13,HV$8&lt;=$G13+$H13-1),2,IF(AND($C13="Milestone",HV$8&gt;=$G13,HV$8&lt;=$G13+$H13-1),1,""))</f>
        <v/>
      </c>
      <c r="HW13" s="69" t="str">
        <f ca="1">IF(AND($C13="Goal",HW$8&gt;=$G13,HW$8&lt;=$G13+$H13-1),2,IF(AND($C13="Milestone",HW$8&gt;=$G13,HW$8&lt;=$G13+$H13-1),1,""))</f>
        <v/>
      </c>
      <c r="HX13" s="69" t="str">
        <f ca="1">IF(AND($C13="Goal",HX$8&gt;=$G13,HX$8&lt;=$G13+$H13-1),2,IF(AND($C13="Milestone",HX$8&gt;=$G13,HX$8&lt;=$G13+$H13-1),1,""))</f>
        <v/>
      </c>
      <c r="HY13" s="69" t="str">
        <f ca="1">IF(AND($C13="Goal",HY$8&gt;=$G13,HY$8&lt;=$G13+$H13-1),2,IF(AND($C13="Milestone",HY$8&gt;=$G13,HY$8&lt;=$G13+$H13-1),1,""))</f>
        <v/>
      </c>
      <c r="HZ13" s="69" t="str">
        <f ca="1">IF(AND($C13="Goal",HZ$8&gt;=$G13,HZ$8&lt;=$G13+$H13-1),2,IF(AND($C13="Milestone",HZ$8&gt;=$G13,HZ$8&lt;=$G13+$H13-1),1,""))</f>
        <v/>
      </c>
      <c r="IA13" s="69" t="str">
        <f ca="1">IF(AND($C13="Goal",IA$8&gt;=$G13,IA$8&lt;=$G13+$H13-1),2,IF(AND($C13="Milestone",IA$8&gt;=$G13,IA$8&lt;=$G13+$H13-1),1,""))</f>
        <v/>
      </c>
      <c r="IB13" s="69" t="str">
        <f ca="1">IF(AND($C13="Goal",IB$8&gt;=$G13,IB$8&lt;=$G13+$H13-1),2,IF(AND($C13="Milestone",IB$8&gt;=$G13,IB$8&lt;=$G13+$H13-1),1,""))</f>
        <v/>
      </c>
      <c r="IC13" s="69" t="str">
        <f ca="1">IF(AND($C13="Goal",IC$8&gt;=$G13,IC$8&lt;=$G13+$H13-1),2,IF(AND($C13="Milestone",IC$8&gt;=$G13,IC$8&lt;=$G13+$H13-1),1,""))</f>
        <v/>
      </c>
      <c r="ID13" s="69" t="str">
        <f ca="1">IF(AND($C13="Goal",ID$8&gt;=$G13,ID$8&lt;=$G13+$H13-1),2,IF(AND($C13="Milestone",ID$8&gt;=$G13,ID$8&lt;=$G13+$H13-1),1,""))</f>
        <v/>
      </c>
      <c r="IE13" s="69" t="str">
        <f ca="1">IF(AND($C13="Goal",IE$8&gt;=$G13,IE$8&lt;=$G13+$H13-1),2,IF(AND($C13="Milestone",IE$8&gt;=$G13,IE$8&lt;=$G13+$H13-1),1,""))</f>
        <v/>
      </c>
      <c r="IF13" s="69" t="str">
        <f ca="1">IF(AND($C13="Goal",IF$8&gt;=$G13,IF$8&lt;=$G13+$H13-1),2,IF(AND($C13="Milestone",IF$8&gt;=$G13,IF$8&lt;=$G13+$H13-1),1,""))</f>
        <v/>
      </c>
      <c r="IG13" s="69" t="str">
        <f ca="1">IF(AND($C13="Goal",IG$8&gt;=$G13,IG$8&lt;=$G13+$H13-1),2,IF(AND($C13="Milestone",IG$8&gt;=$G13,IG$8&lt;=$G13+$H13-1),1,""))</f>
        <v/>
      </c>
      <c r="IH13" s="69" t="str">
        <f ca="1">IF(AND($C13="Goal",IH$8&gt;=$G13,IH$8&lt;=$G13+$H13-1),2,IF(AND($C13="Milestone",IH$8&gt;=$G13,IH$8&lt;=$G13+$H13-1),1,""))</f>
        <v/>
      </c>
      <c r="II13" s="69" t="str">
        <f ca="1">IF(AND($C13="Goal",II$8&gt;=$G13,II$8&lt;=$G13+$H13-1),2,IF(AND($C13="Milestone",II$8&gt;=$G13,II$8&lt;=$G13+$H13-1),1,""))</f>
        <v/>
      </c>
      <c r="IJ13" s="69" t="str">
        <f ca="1">IF(AND($C13="Goal",IJ$8&gt;=$G13,IJ$8&lt;=$G13+$H13-1),2,IF(AND($C13="Milestone",IJ$8&gt;=$G13,IJ$8&lt;=$G13+$H13-1),1,""))</f>
        <v/>
      </c>
      <c r="IK13" s="69" t="str">
        <f ca="1">IF(AND($C13="Goal",IK$8&gt;=$G13,IK$8&lt;=$G13+$H13-1),2,IF(AND($C13="Milestone",IK$8&gt;=$G13,IK$8&lt;=$G13+$H13-1),1,""))</f>
        <v/>
      </c>
      <c r="IL13" s="69" t="str">
        <f ca="1">IF(AND($C13="Goal",IL$8&gt;=$G13,IL$8&lt;=$G13+$H13-1),2,IF(AND($C13="Milestone",IL$8&gt;=$G13,IL$8&lt;=$G13+$H13-1),1,""))</f>
        <v/>
      </c>
      <c r="IM13" s="69" t="str">
        <f ca="1">IF(AND($C13="Goal",IM$8&gt;=$G13,IM$8&lt;=$G13+$H13-1),2,IF(AND($C13="Milestone",IM$8&gt;=$G13,IM$8&lt;=$G13+$H13-1),1,""))</f>
        <v/>
      </c>
      <c r="IN13" s="69" t="str">
        <f ca="1">IF(AND($C13="Goal",IN$8&gt;=$G13,IN$8&lt;=$G13+$H13-1),2,IF(AND($C13="Milestone",IN$8&gt;=$G13,IN$8&lt;=$G13+$H13-1),1,""))</f>
        <v/>
      </c>
      <c r="IO13" s="69" t="str">
        <f ca="1">IF(AND($C13="Goal",IO$8&gt;=$G13,IO$8&lt;=$G13+$H13-1),2,IF(AND($C13="Milestone",IO$8&gt;=$G13,IO$8&lt;=$G13+$H13-1),1,""))</f>
        <v/>
      </c>
      <c r="IP13" s="69" t="str">
        <f ca="1">IF(AND($C13="Goal",IP$8&gt;=$G13,IP$8&lt;=$G13+$H13-1),2,IF(AND($C13="Milestone",IP$8&gt;=$G13,IP$8&lt;=$G13+$H13-1),1,""))</f>
        <v/>
      </c>
      <c r="IQ13" s="69" t="str">
        <f ca="1">IF(AND($C13="Goal",IQ$8&gt;=$G13,IQ$8&lt;=$G13+$H13-1),2,IF(AND($C13="Milestone",IQ$8&gt;=$G13,IQ$8&lt;=$G13+$H13-1),1,""))</f>
        <v/>
      </c>
      <c r="IR13" s="69" t="str">
        <f ca="1">IF(AND($C13="Goal",IR$8&gt;=$G13,IR$8&lt;=$G13+$H13-1),2,IF(AND($C13="Milestone",IR$8&gt;=$G13,IR$8&lt;=$G13+$H13-1),1,""))</f>
        <v/>
      </c>
      <c r="IS13" s="69" t="str">
        <f ca="1">IF(AND($C13="Goal",IS$8&gt;=$G13,IS$8&lt;=$G13+$H13-1),2,IF(AND($C13="Milestone",IS$8&gt;=$G13,IS$8&lt;=$G13+$H13-1),1,""))</f>
        <v/>
      </c>
      <c r="IT13" s="69" t="str">
        <f ca="1">IF(AND($C13="Goal",IT$8&gt;=$G13,IT$8&lt;=$G13+$H13-1),2,IF(AND($C13="Milestone",IT$8&gt;=$G13,IT$8&lt;=$G13+$H13-1),1,""))</f>
        <v/>
      </c>
      <c r="IU13" s="69" t="str">
        <f ca="1">IF(AND($C13="Goal",IU$8&gt;=$G13,IU$8&lt;=$G13+$H13-1),2,IF(AND($C13="Milestone",IU$8&gt;=$G13,IU$8&lt;=$G13+$H13-1),1,""))</f>
        <v/>
      </c>
      <c r="IV13" s="69" t="str">
        <f ca="1">IF(AND($C13="Goal",IV$8&gt;=$G13,IV$8&lt;=$G13+$H13-1),2,IF(AND($C13="Milestone",IV$8&gt;=$G13,IV$8&lt;=$G13+$H13-1),1,""))</f>
        <v/>
      </c>
      <c r="IW13" s="69" t="str">
        <f ca="1">IF(AND($C13="Goal",IW$8&gt;=$G13,IW$8&lt;=$G13+$H13-1),2,IF(AND($C13="Milestone",IW$8&gt;=$G13,IW$8&lt;=$G13+$H13-1),1,""))</f>
        <v/>
      </c>
      <c r="IX13" s="69" t="str">
        <f ca="1">IF(AND($C13="Goal",IX$8&gt;=$G13,IX$8&lt;=$G13+$H13-1),2,IF(AND($C13="Milestone",IX$8&gt;=$G13,IX$8&lt;=$G13+$H13-1),1,""))</f>
        <v/>
      </c>
      <c r="IY13" s="69" t="str">
        <f ca="1">IF(AND($C13="Goal",IY$8&gt;=$G13,IY$8&lt;=$G13+$H13-1),2,IF(AND($C13="Milestone",IY$8&gt;=$G13,IY$8&lt;=$G13+$H13-1),1,""))</f>
        <v/>
      </c>
      <c r="IZ13" s="69" t="str">
        <f ca="1">IF(AND($C13="Goal",IZ$8&gt;=$G13,IZ$8&lt;=$G13+$H13-1),2,IF(AND($C13="Milestone",IZ$8&gt;=$G13,IZ$8&lt;=$G13+$H13-1),1,""))</f>
        <v/>
      </c>
      <c r="JA13" s="69" t="str">
        <f ca="1">IF(AND($C13="Goal",JA$8&gt;=$G13,JA$8&lt;=$G13+$H13-1),2,IF(AND($C13="Milestone",JA$8&gt;=$G13,JA$8&lt;=$G13+$H13-1),1,""))</f>
        <v/>
      </c>
      <c r="JB13" s="69" t="str">
        <f ca="1">IF(AND($C13="Goal",JB$8&gt;=$G13,JB$8&lt;=$G13+$H13-1),2,IF(AND($C13="Milestone",JB$8&gt;=$G13,JB$8&lt;=$G13+$H13-1),1,""))</f>
        <v/>
      </c>
      <c r="JC13" s="69" t="str">
        <f ca="1">IF(AND($C13="Goal",JC$8&gt;=$G13,JC$8&lt;=$G13+$H13-1),2,IF(AND($C13="Milestone",JC$8&gt;=$G13,JC$8&lt;=$G13+$H13-1),1,""))</f>
        <v/>
      </c>
      <c r="JD13" s="69" t="str">
        <f ca="1">IF(AND($C13="Goal",JD$8&gt;=$G13,JD$8&lt;=$G13+$H13-1),2,IF(AND($C13="Milestone",JD$8&gt;=$G13,JD$8&lt;=$G13+$H13-1),1,""))</f>
        <v/>
      </c>
      <c r="JE13" s="69" t="str">
        <f ca="1">IF(AND($C13="Goal",JE$8&gt;=$G13,JE$8&lt;=$G13+$H13-1),2,IF(AND($C13="Milestone",JE$8&gt;=$G13,JE$8&lt;=$G13+$H13-1),1,""))</f>
        <v/>
      </c>
      <c r="JF13" s="69" t="str">
        <f ca="1">IF(AND($C13="Goal",JF$8&gt;=$G13,JF$8&lt;=$G13+$H13-1),2,IF(AND($C13="Milestone",JF$8&gt;=$G13,JF$8&lt;=$G13+$H13-1),1,""))</f>
        <v/>
      </c>
      <c r="JG13" s="69" t="str">
        <f ca="1">IF(AND($C13="Goal",JG$8&gt;=$G13,JG$8&lt;=$G13+$H13-1),2,IF(AND($C13="Milestone",JG$8&gt;=$G13,JG$8&lt;=$G13+$H13-1),1,""))</f>
        <v/>
      </c>
      <c r="JH13" s="69" t="str">
        <f ca="1">IF(AND($C13="Goal",JH$8&gt;=$G13,JH$8&lt;=$G13+$H13-1),2,IF(AND($C13="Milestone",JH$8&gt;=$G13,JH$8&lt;=$G13+$H13-1),1,""))</f>
        <v/>
      </c>
      <c r="JI13" s="69" t="str">
        <f ca="1">IF(AND($C13="Goal",JI$8&gt;=$G13,JI$8&lt;=$G13+$H13-1),2,IF(AND($C13="Milestone",JI$8&gt;=$G13,JI$8&lt;=$G13+$H13-1),1,""))</f>
        <v/>
      </c>
      <c r="JJ13" s="69" t="str">
        <f ca="1">IF(AND($C13="Goal",JJ$8&gt;=$G13,JJ$8&lt;=$G13+$H13-1),2,IF(AND($C13="Milestone",JJ$8&gt;=$G13,JJ$8&lt;=$G13+$H13-1),1,""))</f>
        <v/>
      </c>
      <c r="JK13" s="69" t="str">
        <f ca="1">IF(AND($C13="Goal",JK$8&gt;=$G13,JK$8&lt;=$G13+$H13-1),2,IF(AND($C13="Milestone",JK$8&gt;=$G13,JK$8&lt;=$G13+$H13-1),1,""))</f>
        <v/>
      </c>
      <c r="JL13" s="69" t="str">
        <f ca="1">IF(AND($C13="Goal",JL$8&gt;=$G13,JL$8&lt;=$G13+$H13-1),2,IF(AND($C13="Milestone",JL$8&gt;=$G13,JL$8&lt;=$G13+$H13-1),1,""))</f>
        <v/>
      </c>
      <c r="JM13" s="69" t="str">
        <f ca="1">IF(AND($C13="Goal",JM$8&gt;=$G13,JM$8&lt;=$G13+$H13-1),2,IF(AND($C13="Milestone",JM$8&gt;=$G13,JM$8&lt;=$G13+$H13-1),1,""))</f>
        <v/>
      </c>
      <c r="JN13" s="69" t="str">
        <f ca="1">IF(AND($C13="Goal",JN$8&gt;=$G13,JN$8&lt;=$G13+$H13-1),2,IF(AND($C13="Milestone",JN$8&gt;=$G13,JN$8&lt;=$G13+$H13-1),1,""))</f>
        <v/>
      </c>
      <c r="JO13" s="69" t="str">
        <f ca="1">IF(AND($C13="Goal",JO$8&gt;=$G13,JO$8&lt;=$G13+$H13-1),2,IF(AND($C13="Milestone",JO$8&gt;=$G13,JO$8&lt;=$G13+$H13-1),1,""))</f>
        <v/>
      </c>
      <c r="JP13" s="69" t="str">
        <f ca="1">IF(AND($C13="Goal",JP$8&gt;=$G13,JP$8&lt;=$G13+$H13-1),2,IF(AND($C13="Milestone",JP$8&gt;=$G13,JP$8&lt;=$G13+$H13-1),1,""))</f>
        <v/>
      </c>
      <c r="JQ13" s="69" t="str">
        <f ca="1">IF(AND($C13="Goal",JQ$8&gt;=$G13,JQ$8&lt;=$G13+$H13-1),2,IF(AND($C13="Milestone",JQ$8&gt;=$G13,JQ$8&lt;=$G13+$H13-1),1,""))</f>
        <v/>
      </c>
      <c r="JR13" s="69" t="str">
        <f ca="1">IF(AND($C13="Goal",JR$8&gt;=$G13,JR$8&lt;=$G13+$H13-1),2,IF(AND($C13="Milestone",JR$8&gt;=$G13,JR$8&lt;=$G13+$H13-1),1,""))</f>
        <v/>
      </c>
      <c r="JS13" s="69" t="str">
        <f ca="1">IF(AND($C13="Goal",JS$8&gt;=$G13,JS$8&lt;=$G13+$H13-1),2,IF(AND($C13="Milestone",JS$8&gt;=$G13,JS$8&lt;=$G13+$H13-1),1,""))</f>
        <v/>
      </c>
      <c r="JT13" s="69" t="str">
        <f ca="1">IF(AND($C13="Goal",JT$8&gt;=$G13,JT$8&lt;=$G13+$H13-1),2,IF(AND($C13="Milestone",JT$8&gt;=$G13,JT$8&lt;=$G13+$H13-1),1,""))</f>
        <v/>
      </c>
      <c r="JU13" s="69" t="str">
        <f ca="1">IF(AND($C13="Goal",JU$8&gt;=$G13,JU$8&lt;=$G13+$H13-1),2,IF(AND($C13="Milestone",JU$8&gt;=$G13,JU$8&lt;=$G13+$H13-1),1,""))</f>
        <v/>
      </c>
      <c r="JV13" s="69" t="str">
        <f ca="1">IF(AND($C13="Goal",JV$8&gt;=$G13,JV$8&lt;=$G13+$H13-1),2,IF(AND($C13="Milestone",JV$8&gt;=$G13,JV$8&lt;=$G13+$H13-1),1,""))</f>
        <v/>
      </c>
      <c r="JW13" s="69" t="str">
        <f ca="1">IF(AND($C13="Goal",JW$8&gt;=$G13,JW$8&lt;=$G13+$H13-1),2,IF(AND($C13="Milestone",JW$8&gt;=$G13,JW$8&lt;=$G13+$H13-1),1,""))</f>
        <v/>
      </c>
      <c r="JX13" s="69" t="str">
        <f ca="1">IF(AND($C13="Goal",JX$8&gt;=$G13,JX$8&lt;=$G13+$H13-1),2,IF(AND($C13="Milestone",JX$8&gt;=$G13,JX$8&lt;=$G13+$H13-1),1,""))</f>
        <v/>
      </c>
      <c r="JY13" s="69" t="str">
        <f ca="1">IF(AND($C13="Goal",JY$8&gt;=$G13,JY$8&lt;=$G13+$H13-1),2,IF(AND($C13="Milestone",JY$8&gt;=$G13,JY$8&lt;=$G13+$H13-1),1,""))</f>
        <v/>
      </c>
      <c r="JZ13" s="69" t="str">
        <f ca="1">IF(AND($C13="Goal",JZ$8&gt;=$G13,JZ$8&lt;=$G13+$H13-1),2,IF(AND($C13="Milestone",JZ$8&gt;=$G13,JZ$8&lt;=$G13+$H13-1),1,""))</f>
        <v/>
      </c>
      <c r="KA13" s="69" t="str">
        <f ca="1">IF(AND($C13="Goal",KA$8&gt;=$G13,KA$8&lt;=$G13+$H13-1),2,IF(AND($C13="Milestone",KA$8&gt;=$G13,KA$8&lt;=$G13+$H13-1),1,""))</f>
        <v/>
      </c>
      <c r="KB13" s="69" t="str">
        <f ca="1">IF(AND($C13="Goal",KB$8&gt;=$G13,KB$8&lt;=$G13+$H13-1),2,IF(AND($C13="Milestone",KB$8&gt;=$G13,KB$8&lt;=$G13+$H13-1),1,""))</f>
        <v/>
      </c>
      <c r="KC13" s="69" t="str">
        <f ca="1">IF(AND($C13="Goal",KC$8&gt;=$G13,KC$8&lt;=$G13+$H13-1),2,IF(AND($C13="Milestone",KC$8&gt;=$G13,KC$8&lt;=$G13+$H13-1),1,""))</f>
        <v/>
      </c>
      <c r="KD13" s="69" t="str">
        <f ca="1">IF(AND($C13="Goal",KD$8&gt;=$G13,KD$8&lt;=$G13+$H13-1),2,IF(AND($C13="Milestone",KD$8&gt;=$G13,KD$8&lt;=$G13+$H13-1),1,""))</f>
        <v/>
      </c>
      <c r="KE13" s="69" t="str">
        <f ca="1">IF(AND($C13="Goal",KE$8&gt;=$G13,KE$8&lt;=$G13+$H13-1),2,IF(AND($C13="Milestone",KE$8&gt;=$G13,KE$8&lt;=$G13+$H13-1),1,""))</f>
        <v/>
      </c>
      <c r="KF13" s="69" t="str">
        <f ca="1">IF(AND($C13="Goal",KF$8&gt;=$G13,KF$8&lt;=$G13+$H13-1),2,IF(AND($C13="Milestone",KF$8&gt;=$G13,KF$8&lt;=$G13+$H13-1),1,""))</f>
        <v/>
      </c>
      <c r="KG13" s="69" t="str">
        <f ca="1">IF(AND($C13="Goal",KG$8&gt;=$G13,KG$8&lt;=$G13+$H13-1),2,IF(AND($C13="Milestone",KG$8&gt;=$G13,KG$8&lt;=$G13+$H13-1),1,""))</f>
        <v/>
      </c>
      <c r="KH13" s="69" t="str">
        <f ca="1">IF(AND($C13="Goal",KH$8&gt;=$G13,KH$8&lt;=$G13+$H13-1),2,IF(AND($C13="Milestone",KH$8&gt;=$G13,KH$8&lt;=$G13+$H13-1),1,""))</f>
        <v/>
      </c>
      <c r="KI13" s="69" t="str">
        <f ca="1">IF(AND($C13="Goal",KI$8&gt;=$G13,KI$8&lt;=$G13+$H13-1),2,IF(AND($C13="Milestone",KI$8&gt;=$G13,KI$8&lt;=$G13+$H13-1),1,""))</f>
        <v/>
      </c>
      <c r="KJ13" s="69" t="str">
        <f ca="1">IF(AND($C13="Goal",KJ$8&gt;=$G13,KJ$8&lt;=$G13+$H13-1),2,IF(AND($C13="Milestone",KJ$8&gt;=$G13,KJ$8&lt;=$G13+$H13-1),1,""))</f>
        <v/>
      </c>
      <c r="KK13" s="69" t="str">
        <f ca="1">IF(AND($C13="Goal",KK$8&gt;=$G13,KK$8&lt;=$G13+$H13-1),2,IF(AND($C13="Milestone",KK$8&gt;=$G13,KK$8&lt;=$G13+$H13-1),1,""))</f>
        <v/>
      </c>
      <c r="KL13" s="69" t="str">
        <f ca="1">IF(AND($C13="Goal",KL$8&gt;=$G13,KL$8&lt;=$G13+$H13-1),2,IF(AND($C13="Milestone",KL$8&gt;=$G13,KL$8&lt;=$G13+$H13-1),1,""))</f>
        <v/>
      </c>
      <c r="KM13" s="69" t="str">
        <f ca="1">IF(AND($C13="Goal",KM$8&gt;=$G13,KM$8&lt;=$G13+$H13-1),2,IF(AND($C13="Milestone",KM$8&gt;=$G13,KM$8&lt;=$G13+$H13-1),1,""))</f>
        <v/>
      </c>
      <c r="KN13" s="69" t="str">
        <f ca="1">IF(AND($C13="Goal",KN$8&gt;=$G13,KN$8&lt;=$G13+$H13-1),2,IF(AND($C13="Milestone",KN$8&gt;=$G13,KN$8&lt;=$G13+$H13-1),1,""))</f>
        <v/>
      </c>
      <c r="KO13" s="69" t="str">
        <f ca="1">IF(AND($C13="Goal",KO$8&gt;=$G13,KO$8&lt;=$G13+$H13-1),2,IF(AND($C13="Milestone",KO$8&gt;=$G13,KO$8&lt;=$G13+$H13-1),1,""))</f>
        <v/>
      </c>
      <c r="KP13" s="69" t="str">
        <f ca="1">IF(AND($C13="Goal",KP$8&gt;=$G13,KP$8&lt;=$G13+$H13-1),2,IF(AND($C13="Milestone",KP$8&gt;=$G13,KP$8&lt;=$G13+$H13-1),1,""))</f>
        <v/>
      </c>
      <c r="KQ13" s="69" t="str">
        <f ca="1">IF(AND($C13="Goal",KQ$8&gt;=$G13,KQ$8&lt;=$G13+$H13-1),2,IF(AND($C13="Milestone",KQ$8&gt;=$G13,KQ$8&lt;=$G13+$H13-1),1,""))</f>
        <v/>
      </c>
      <c r="KR13" s="69" t="str">
        <f ca="1">IF(AND($C13="Goal",KR$8&gt;=$G13,KR$8&lt;=$G13+$H13-1),2,IF(AND($C13="Milestone",KR$8&gt;=$G13,KR$8&lt;=$G13+$H13-1),1,""))</f>
        <v/>
      </c>
      <c r="KS13" s="69" t="str">
        <f ca="1">IF(AND($C13="Goal",KS$8&gt;=$G13,KS$8&lt;=$G13+$H13-1),2,IF(AND($C13="Milestone",KS$8&gt;=$G13,KS$8&lt;=$G13+$H13-1),1,""))</f>
        <v/>
      </c>
      <c r="KT13" s="69" t="str">
        <f ca="1">IF(AND($C13="Goal",KT$8&gt;=$G13,KT$8&lt;=$G13+$H13-1),2,IF(AND($C13="Milestone",KT$8&gt;=$G13,KT$8&lt;=$G13+$H13-1),1,""))</f>
        <v/>
      </c>
      <c r="KU13" s="69" t="str">
        <f ca="1">IF(AND($C13="Goal",KU$8&gt;=$G13,KU$8&lt;=$G13+$H13-1),2,IF(AND($C13="Milestone",KU$8&gt;=$G13,KU$8&lt;=$G13+$H13-1),1,""))</f>
        <v/>
      </c>
      <c r="KV13" s="69" t="str">
        <f ca="1">IF(AND($C13="Goal",KV$8&gt;=$G13,KV$8&lt;=$G13+$H13-1),2,IF(AND($C13="Milestone",KV$8&gt;=$G13,KV$8&lt;=$G13+$H13-1),1,""))</f>
        <v/>
      </c>
      <c r="KW13" s="69" t="str">
        <f ca="1">IF(AND($C13="Goal",KW$8&gt;=$G13,KW$8&lt;=$G13+$H13-1),2,IF(AND($C13="Milestone",KW$8&gt;=$G13,KW$8&lt;=$G13+$H13-1),1,""))</f>
        <v/>
      </c>
      <c r="KX13" s="69" t="str">
        <f ca="1">IF(AND($C13="Goal",KX$8&gt;=$G13,KX$8&lt;=$G13+$H13-1),2,IF(AND($C13="Milestone",KX$8&gt;=$G13,KX$8&lt;=$G13+$H13-1),1,""))</f>
        <v/>
      </c>
      <c r="KY13" s="69" t="str">
        <f ca="1">IF(AND($C13="Goal",KY$8&gt;=$G13,KY$8&lt;=$G13+$H13-1),2,IF(AND($C13="Milestone",KY$8&gt;=$G13,KY$8&lt;=$G13+$H13-1),1,""))</f>
        <v/>
      </c>
      <c r="KZ13" s="69" t="str">
        <f ca="1">IF(AND($C13="Goal",KZ$8&gt;=$G13,KZ$8&lt;=$G13+$H13-1),2,IF(AND($C13="Milestone",KZ$8&gt;=$G13,KZ$8&lt;=$G13+$H13-1),1,""))</f>
        <v/>
      </c>
      <c r="LA13" s="69" t="str">
        <f ca="1">IF(AND($C13="Goal",LA$8&gt;=$G13,LA$8&lt;=$G13+$H13-1),2,IF(AND($C13="Milestone",LA$8&gt;=$G13,LA$8&lt;=$G13+$H13-1),1,""))</f>
        <v/>
      </c>
      <c r="LB13" s="69" t="str">
        <f ca="1">IF(AND($C13="Goal",LB$8&gt;=$G13,LB$8&lt;=$G13+$H13-1),2,IF(AND($C13="Milestone",LB$8&gt;=$G13,LB$8&lt;=$G13+$H13-1),1,""))</f>
        <v/>
      </c>
      <c r="LC13" s="69" t="str">
        <f ca="1">IF(AND($C13="Goal",LC$8&gt;=$G13,LC$8&lt;=$G13+$H13-1),2,IF(AND($C13="Milestone",LC$8&gt;=$G13,LC$8&lt;=$G13+$H13-1),1,""))</f>
        <v/>
      </c>
      <c r="LD13" s="69" t="str">
        <f ca="1">IF(AND($C13="Goal",LD$8&gt;=$G13,LD$8&lt;=$G13+$H13-1),2,IF(AND($C13="Milestone",LD$8&gt;=$G13,LD$8&lt;=$G13+$H13-1),1,""))</f>
        <v/>
      </c>
      <c r="LE13" s="69" t="str">
        <f ca="1">IF(AND($C13="Goal",LE$8&gt;=$G13,LE$8&lt;=$G13+$H13-1),2,IF(AND($C13="Milestone",LE$8&gt;=$G13,LE$8&lt;=$G13+$H13-1),1,""))</f>
        <v/>
      </c>
      <c r="LF13" s="69" t="str">
        <f ca="1">IF(AND($C13="Goal",LF$8&gt;=$G13,LF$8&lt;=$G13+$H13-1),2,IF(AND($C13="Milestone",LF$8&gt;=$G13,LF$8&lt;=$G13+$H13-1),1,""))</f>
        <v/>
      </c>
      <c r="LG13" s="69" t="str">
        <f ca="1">IF(AND($C13="Goal",LG$8&gt;=$G13,LG$8&lt;=$G13+$H13-1),2,IF(AND($C13="Milestone",LG$8&gt;=$G13,LG$8&lt;=$G13+$H13-1),1,""))</f>
        <v/>
      </c>
      <c r="LH13" s="69" t="str">
        <f ca="1">IF(AND($C13="Goal",LH$8&gt;=$G13,LH$8&lt;=$G13+$H13-1),2,IF(AND($C13="Milestone",LH$8&gt;=$G13,LH$8&lt;=$G13+$H13-1),1,""))</f>
        <v/>
      </c>
      <c r="LI13" s="69" t="str">
        <f ca="1">IF(AND($C13="Goal",LI$8&gt;=$G13,LI$8&lt;=$G13+$H13-1),2,IF(AND($C13="Milestone",LI$8&gt;=$G13,LI$8&lt;=$G13+$H13-1),1,""))</f>
        <v/>
      </c>
      <c r="LJ13" s="69" t="str">
        <f ca="1">IF(AND($C13="Goal",LJ$8&gt;=$G13,LJ$8&lt;=$G13+$H13-1),2,IF(AND($C13="Milestone",LJ$8&gt;=$G13,LJ$8&lt;=$G13+$H13-1),1,""))</f>
        <v/>
      </c>
      <c r="LK13" s="69" t="str">
        <f ca="1">IF(AND($C13="Goal",LK$8&gt;=$G13,LK$8&lt;=$G13+$H13-1),2,IF(AND($C13="Milestone",LK$8&gt;=$G13,LK$8&lt;=$G13+$H13-1),1,""))</f>
        <v/>
      </c>
      <c r="LL13" s="69" t="str">
        <f ca="1">IF(AND($C13="Goal",LL$8&gt;=$G13,LL$8&lt;=$G13+$H13-1),2,IF(AND($C13="Milestone",LL$8&gt;=$G13,LL$8&lt;=$G13+$H13-1),1,""))</f>
        <v/>
      </c>
      <c r="LM13" s="69" t="str">
        <f ca="1">IF(AND($C13="Goal",LM$8&gt;=$G13,LM$8&lt;=$G13+$H13-1),2,IF(AND($C13="Milestone",LM$8&gt;=$G13,LM$8&lt;=$G13+$H13-1),1,""))</f>
        <v/>
      </c>
      <c r="LN13" s="69" t="str">
        <f ca="1">IF(AND($C13="Goal",LN$8&gt;=$G13,LN$8&lt;=$G13+$H13-1),2,IF(AND($C13="Milestone",LN$8&gt;=$G13,LN$8&lt;=$G13+$H13-1),1,""))</f>
        <v/>
      </c>
      <c r="LO13" s="69" t="str">
        <f ca="1">IF(AND($C13="Goal",LO$8&gt;=$G13,LO$8&lt;=$G13+$H13-1),2,IF(AND($C13="Milestone",LO$8&gt;=$G13,LO$8&lt;=$G13+$H13-1),1,""))</f>
        <v/>
      </c>
      <c r="LP13" s="69" t="str">
        <f ca="1">IF(AND($C13="Goal",LP$8&gt;=$G13,LP$8&lt;=$G13+$H13-1),2,IF(AND($C13="Milestone",LP$8&gt;=$G13,LP$8&lt;=$G13+$H13-1),1,""))</f>
        <v/>
      </c>
      <c r="LQ13" s="69" t="str">
        <f ca="1">IF(AND($C13="Goal",LQ$8&gt;=$G13,LQ$8&lt;=$G13+$H13-1),2,IF(AND($C13="Milestone",LQ$8&gt;=$G13,LQ$8&lt;=$G13+$H13-1),1,""))</f>
        <v/>
      </c>
      <c r="LR13" s="69" t="str">
        <f ca="1">IF(AND($C13="Goal",LR$8&gt;=$G13,LR$8&lt;=$G13+$H13-1),2,IF(AND($C13="Milestone",LR$8&gt;=$G13,LR$8&lt;=$G13+$H13-1),1,""))</f>
        <v/>
      </c>
      <c r="LS13" s="69" t="str">
        <f ca="1">IF(AND($C13="Goal",LS$8&gt;=$G13,LS$8&lt;=$G13+$H13-1),2,IF(AND($C13="Milestone",LS$8&gt;=$G13,LS$8&lt;=$G13+$H13-1),1,""))</f>
        <v/>
      </c>
      <c r="LT13" s="69" t="str">
        <f ca="1">IF(AND($C13="Goal",LT$8&gt;=$G13,LT$8&lt;=$G13+$H13-1),2,IF(AND($C13="Milestone",LT$8&gt;=$G13,LT$8&lt;=$G13+$H13-1),1,""))</f>
        <v/>
      </c>
      <c r="LU13" s="69" t="str">
        <f ca="1">IF(AND($C13="Goal",LU$8&gt;=$G13,LU$8&lt;=$G13+$H13-1),2,IF(AND($C13="Milestone",LU$8&gt;=$G13,LU$8&lt;=$G13+$H13-1),1,""))</f>
        <v/>
      </c>
      <c r="LV13" s="69" t="str">
        <f ca="1">IF(AND($C13="Goal",LV$8&gt;=$G13,LV$8&lt;=$G13+$H13-1),2,IF(AND($C13="Milestone",LV$8&gt;=$G13,LV$8&lt;=$G13+$H13-1),1,""))</f>
        <v/>
      </c>
      <c r="LW13" s="69" t="str">
        <f ca="1">IF(AND($C13="Goal",LW$8&gt;=$G13,LW$8&lt;=$G13+$H13-1),2,IF(AND($C13="Milestone",LW$8&gt;=$G13,LW$8&lt;=$G13+$H13-1),1,""))</f>
        <v/>
      </c>
      <c r="LX13" s="69" t="str">
        <f ca="1">IF(AND($C13="Goal",LX$8&gt;=$G13,LX$8&lt;=$G13+$H13-1),2,IF(AND($C13="Milestone",LX$8&gt;=$G13,LX$8&lt;=$G13+$H13-1),1,""))</f>
        <v/>
      </c>
    </row>
    <row r="14" spans="1:336" s="1" customFormat="1" ht="27.5" customHeight="1" x14ac:dyDescent="0.25">
      <c r="A14" s="6"/>
      <c r="B14" s="47" t="s">
        <v>19</v>
      </c>
      <c r="C14" s="58"/>
      <c r="D14" s="58" t="str">
        <f ca="1">IF(G14="","",
IF(G14+Milestones4352[[#This Row],[Days]]="","",
IF(OR(F14=1,F14=100%),"Complete",
CHOOSE(
  1
  + --(((1-IF(F14&gt;1,F14/100,F14))*POWER(2.718281828,(60-MAX(0,G14+Milestones4352[[#This Row],[Days]]-TODAY()))/12))&gt;=0.6)
  + --(((1-IF(F14&gt;1,F14/100,F14))*POWER(2.718281828,(60-MAX(0,G14+Milestones4352[[#This Row],[Days]]-TODAY()))/12))&gt;=1.2)
  + --(((1-IF(F14&gt;1,F14/100,F14))*POWER(2.718281828,(60-MAX(0,G14+Milestones4352[[#This Row],[Days]]-TODAY()))/12))&gt;=2),
  "On track","Low risk","Medium risk","High risk"
))))</f>
        <v>High risk</v>
      </c>
      <c r="E14" s="58"/>
      <c r="F14" s="56">
        <v>0.1</v>
      </c>
      <c r="G14" s="70">
        <f t="shared" si="208"/>
        <v>45946</v>
      </c>
      <c r="H14" s="57">
        <v>15</v>
      </c>
      <c r="I14" s="57">
        <f t="shared" si="207"/>
        <v>12</v>
      </c>
      <c r="J14" s="12">
        <f ca="1">IF(OR(Milestones4352[[#This Row],[Start]]="",Milestones4352[[#This Row],[Days]]=""),"",(Milestones4352[[#This Row],[Start]]+Milestones4352[[#This Row],[Days]])-TODAY())</f>
        <v>12</v>
      </c>
      <c r="K14" s="9"/>
      <c r="L14" s="69" t="str">
        <f ca="1">IF(AND($C14="Goal",L$8&gt;=$G14,L$8&lt;=$G14+$H14-1),2,IF(AND($C14="Milestone",L$8&gt;=$G14,L$8&lt;=$G14+$H14-1),1,""))</f>
        <v/>
      </c>
      <c r="M14" s="69" t="str">
        <f ca="1">IF(AND($C14="Goal",M$8&gt;=$G14,M$8&lt;=$G14+$H14-1),2,IF(AND($C14="Milestone",M$8&gt;=$G14,M$8&lt;=$G14+$H14-1),1,""))</f>
        <v/>
      </c>
      <c r="N14" s="69" t="str">
        <f ca="1">IF(AND($C14="Goal",N$8&gt;=$G14,N$8&lt;=$G14+$H14-1),2,IF(AND($C14="Milestone",N$8&gt;=$G14,N$8&lt;=$G14+$H14-1),1,""))</f>
        <v/>
      </c>
      <c r="O14" s="69" t="str">
        <f ca="1">IF(AND($C14="Goal",O$8&gt;=$G14,O$8&lt;=$G14+$H14-1),2,IF(AND($C14="Milestone",O$8&gt;=$G14,O$8&lt;=$G14+$H14-1),1,""))</f>
        <v/>
      </c>
      <c r="P14" s="69" t="str">
        <f ca="1">IF(AND($C14="Goal",P$8&gt;=$G14,P$8&lt;=$G14+$H14-1),2,IF(AND($C14="Milestone",P$8&gt;=$G14,P$8&lt;=$G14+$H14-1),1,""))</f>
        <v/>
      </c>
      <c r="Q14" s="69" t="str">
        <f ca="1">IF(AND($C14="Goal",Q$8&gt;=$G14,Q$8&lt;=$G14+$H14-1),2,IF(AND($C14="Milestone",Q$8&gt;=$G14,Q$8&lt;=$G14+$H14-1),1,""))</f>
        <v/>
      </c>
      <c r="R14" s="69" t="str">
        <f ca="1">IF(AND($C14="Goal",R$8&gt;=$G14,R$8&lt;=$G14+$H14-1),2,IF(AND($C14="Milestone",R$8&gt;=$G14,R$8&lt;=$G14+$H14-1),1,""))</f>
        <v/>
      </c>
      <c r="S14" s="69" t="str">
        <f ca="1">IF(AND($C14="Goal",S$8&gt;=$G14,S$8&lt;=$G14+$H14-1),2,IF(AND($C14="Milestone",S$8&gt;=$G14,S$8&lt;=$G14+$H14-1),1,""))</f>
        <v/>
      </c>
      <c r="T14" s="69" t="str">
        <f ca="1">IF(AND($C14="Goal",T$8&gt;=$G14,T$8&lt;=$G14+$H14-1),2,IF(AND($C14="Milestone",T$8&gt;=$G14,T$8&lt;=$G14+$H14-1),1,""))</f>
        <v/>
      </c>
      <c r="U14" s="69" t="str">
        <f ca="1">IF(AND($C14="Goal",U$8&gt;=$G14,U$8&lt;=$G14+$H14-1),2,IF(AND($C14="Milestone",U$8&gt;=$G14,U$8&lt;=$G14+$H14-1),1,""))</f>
        <v/>
      </c>
      <c r="V14" s="69" t="str">
        <f ca="1">IF(AND($C14="Goal",V$8&gt;=$G14,V$8&lt;=$G14+$H14-1),2,IF(AND($C14="Milestone",V$8&gt;=$G14,V$8&lt;=$G14+$H14-1),1,""))</f>
        <v/>
      </c>
      <c r="W14" s="69" t="str">
        <f ca="1">IF(AND($C14="Goal",W$8&gt;=$G14,W$8&lt;=$G14+$H14-1),2,IF(AND($C14="Milestone",W$8&gt;=$G14,W$8&lt;=$G14+$H14-1),1,""))</f>
        <v/>
      </c>
      <c r="X14" s="69" t="str">
        <f ca="1">IF(AND($C14="Goal",X$8&gt;=$G14,X$8&lt;=$G14+$H14-1),2,IF(AND($C14="Milestone",X$8&gt;=$G14,X$8&lt;=$G14+$H14-1),1,""))</f>
        <v/>
      </c>
      <c r="Y14" s="69" t="str">
        <f ca="1">IF(AND($C14="Goal",Y$8&gt;=$G14,Y$8&lt;=$G14+$H14-1),2,IF(AND($C14="Milestone",Y$8&gt;=$G14,Y$8&lt;=$G14+$H14-1),1,""))</f>
        <v/>
      </c>
      <c r="Z14" s="69" t="str">
        <f ca="1">IF(AND($C14="Goal",Z$8&gt;=$G14,Z$8&lt;=$G14+$H14-1),2,IF(AND($C14="Milestone",Z$8&gt;=$G14,Z$8&lt;=$G14+$H14-1),1,""))</f>
        <v/>
      </c>
      <c r="AA14" s="69" t="str">
        <f ca="1">IF(AND($C14="Goal",AA$8&gt;=$G14,AA$8&lt;=$G14+$H14-1),2,IF(AND($C14="Milestone",AA$8&gt;=$G14,AA$8&lt;=$G14+$H14-1),1,""))</f>
        <v/>
      </c>
      <c r="AB14" s="69" t="str">
        <f ca="1">IF(AND($C14="Goal",AB$8&gt;=$G14,AB$8&lt;=$G14+$H14-1),2,IF(AND($C14="Milestone",AB$8&gt;=$G14,AB$8&lt;=$G14+$H14-1),1,""))</f>
        <v/>
      </c>
      <c r="AC14" s="69" t="str">
        <f ca="1">IF(AND($C14="Goal",AC$8&gt;=$G14,AC$8&lt;=$G14+$H14-1),2,IF(AND($C14="Milestone",AC$8&gt;=$G14,AC$8&lt;=$G14+$H14-1),1,""))</f>
        <v/>
      </c>
      <c r="AD14" s="69" t="str">
        <f ca="1">IF(AND($C14="Goal",AD$8&gt;=$G14,AD$8&lt;=$G14+$H14-1),2,IF(AND($C14="Milestone",AD$8&gt;=$G14,AD$8&lt;=$G14+$H14-1),1,""))</f>
        <v/>
      </c>
      <c r="AE14" s="69" t="str">
        <f ca="1">IF(AND($C14="Goal",AE$8&gt;=$G14,AE$8&lt;=$G14+$H14-1),2,IF(AND($C14="Milestone",AE$8&gt;=$G14,AE$8&lt;=$G14+$H14-1),1,""))</f>
        <v/>
      </c>
      <c r="AF14" s="69" t="str">
        <f ca="1">IF(AND($C14="Goal",AF$8&gt;=$G14,AF$8&lt;=$G14+$H14-1),2,IF(AND($C14="Milestone",AF$8&gt;=$G14,AF$8&lt;=$G14+$H14-1),1,""))</f>
        <v/>
      </c>
      <c r="AG14" s="69" t="str">
        <f ca="1">IF(AND($C14="Goal",AG$8&gt;=$G14,AG$8&lt;=$G14+$H14-1),2,IF(AND($C14="Milestone",AG$8&gt;=$G14,AG$8&lt;=$G14+$H14-1),1,""))</f>
        <v/>
      </c>
      <c r="AH14" s="69" t="str">
        <f ca="1">IF(AND($C14="Goal",AH$8&gt;=$G14,AH$8&lt;=$G14+$H14-1),2,IF(AND($C14="Milestone",AH$8&gt;=$G14,AH$8&lt;=$G14+$H14-1),1,""))</f>
        <v/>
      </c>
      <c r="AI14" s="69" t="str">
        <f ca="1">IF(AND($C14="Goal",AI$8&gt;=$G14,AI$8&lt;=$G14+$H14-1),2,IF(AND($C14="Milestone",AI$8&gt;=$G14,AI$8&lt;=$G14+$H14-1),1,""))</f>
        <v/>
      </c>
      <c r="AJ14" s="69" t="str">
        <f ca="1">IF(AND($C14="Goal",AJ$8&gt;=$G14,AJ$8&lt;=$G14+$H14-1),2,IF(AND($C14="Milestone",AJ$8&gt;=$G14,AJ$8&lt;=$G14+$H14-1),1,""))</f>
        <v/>
      </c>
      <c r="AK14" s="69" t="str">
        <f ca="1">IF(AND($C14="Goal",AK$8&gt;=$G14,AK$8&lt;=$G14+$H14-1),2,IF(AND($C14="Milestone",AK$8&gt;=$G14,AK$8&lt;=$G14+$H14-1),1,""))</f>
        <v/>
      </c>
      <c r="AL14" s="69" t="str">
        <f ca="1">IF(AND($C14="Goal",AL$8&gt;=$G14,AL$8&lt;=$G14+$H14-1),2,IF(AND($C14="Milestone",AL$8&gt;=$G14,AL$8&lt;=$G14+$H14-1),1,""))</f>
        <v/>
      </c>
      <c r="AM14" s="69" t="str">
        <f ca="1">IF(AND($C14="Goal",AM$8&gt;=$G14,AM$8&lt;=$G14+$H14-1),2,IF(AND($C14="Milestone",AM$8&gt;=$G14,AM$8&lt;=$G14+$H14-1),1,""))</f>
        <v/>
      </c>
      <c r="AN14" s="69" t="str">
        <f ca="1">IF(AND($C14="Goal",AN$8&gt;=$G14,AN$8&lt;=$G14+$H14-1),2,IF(AND($C14="Milestone",AN$8&gt;=$G14,AN$8&lt;=$G14+$H14-1),1,""))</f>
        <v/>
      </c>
      <c r="AO14" s="69" t="str">
        <f ca="1">IF(AND($C14="Goal",AO$8&gt;=$G14,AO$8&lt;=$G14+$H14-1),2,IF(AND($C14="Milestone",AO$8&gt;=$G14,AO$8&lt;=$G14+$H14-1),1,""))</f>
        <v/>
      </c>
      <c r="AP14" s="69" t="str">
        <f ca="1">IF(AND($C14="Goal",AP$8&gt;=$G14,AP$8&lt;=$G14+$H14-1),2,IF(AND($C14="Milestone",AP$8&gt;=$G14,AP$8&lt;=$G14+$H14-1),1,""))</f>
        <v/>
      </c>
      <c r="AQ14" s="69" t="str">
        <f ca="1">IF(AND($C14="Goal",AQ$8&gt;=$G14,AQ$8&lt;=$G14+$H14-1),2,IF(AND($C14="Milestone",AQ$8&gt;=$G14,AQ$8&lt;=$G14+$H14-1),1,""))</f>
        <v/>
      </c>
      <c r="AR14" s="69" t="str">
        <f ca="1">IF(AND($C14="Goal",AR$8&gt;=$G14,AR$8&lt;=$G14+$H14-1),2,IF(AND($C14="Milestone",AR$8&gt;=$G14,AR$8&lt;=$G14+$H14-1),1,""))</f>
        <v/>
      </c>
      <c r="AS14" s="69" t="str">
        <f ca="1">IF(AND($C14="Goal",AS$8&gt;=$G14,AS$8&lt;=$G14+$H14-1),2,IF(AND($C14="Milestone",AS$8&gt;=$G14,AS$8&lt;=$G14+$H14-1),1,""))</f>
        <v/>
      </c>
      <c r="AT14" s="69" t="str">
        <f ca="1">IF(AND($C14="Goal",AT$8&gt;=$G14,AT$8&lt;=$G14+$H14-1),2,IF(AND($C14="Milestone",AT$8&gt;=$G14,AT$8&lt;=$G14+$H14-1),1,""))</f>
        <v/>
      </c>
      <c r="AU14" s="69" t="str">
        <f ca="1">IF(AND($C14="Goal",AU$8&gt;=$G14,AU$8&lt;=$G14+$H14-1),2,IF(AND($C14="Milestone",AU$8&gt;=$G14,AU$8&lt;=$G14+$H14-1),1,""))</f>
        <v/>
      </c>
      <c r="AV14" s="69" t="str">
        <f ca="1">IF(AND($C14="Goal",AV$8&gt;=$G14,AV$8&lt;=$G14+$H14-1),2,IF(AND($C14="Milestone",AV$8&gt;=$G14,AV$8&lt;=$G14+$H14-1),1,""))</f>
        <v/>
      </c>
      <c r="AW14" s="69" t="str">
        <f ca="1">IF(AND($C14="Goal",AW$8&gt;=$G14,AW$8&lt;=$G14+$H14-1),2,IF(AND($C14="Milestone",AW$8&gt;=$G14,AW$8&lt;=$G14+$H14-1),1,""))</f>
        <v/>
      </c>
      <c r="AX14" s="69" t="str">
        <f ca="1">IF(AND($C14="Goal",AX$8&gt;=$G14,AX$8&lt;=$G14+$H14-1),2,IF(AND($C14="Milestone",AX$8&gt;=$G14,AX$8&lt;=$G14+$H14-1),1,""))</f>
        <v/>
      </c>
      <c r="AY14" s="69" t="str">
        <f ca="1">IF(AND($C14="Goal",AY$8&gt;=$G14,AY$8&lt;=$G14+$H14-1),2,IF(AND($C14="Milestone",AY$8&gt;=$G14,AY$8&lt;=$G14+$H14-1),1,""))</f>
        <v/>
      </c>
      <c r="AZ14" s="69" t="str">
        <f ca="1">IF(AND($C14="Goal",AZ$8&gt;=$G14,AZ$8&lt;=$G14+$H14-1),2,IF(AND($C14="Milestone",AZ$8&gt;=$G14,AZ$8&lt;=$G14+$H14-1),1,""))</f>
        <v/>
      </c>
      <c r="BA14" s="69" t="str">
        <f ca="1">IF(AND($C14="Goal",BA$8&gt;=$G14,BA$8&lt;=$G14+$H14-1),2,IF(AND($C14="Milestone",BA$8&gt;=$G14,BA$8&lt;=$G14+$H14-1),1,""))</f>
        <v/>
      </c>
      <c r="BB14" s="69" t="str">
        <f ca="1">IF(AND($C14="Goal",BB$8&gt;=$G14,BB$8&lt;=$G14+$H14-1),2,IF(AND($C14="Milestone",BB$8&gt;=$G14,BB$8&lt;=$G14+$H14-1),1,""))</f>
        <v/>
      </c>
      <c r="BC14" s="69" t="str">
        <f ca="1">IF(AND($C14="Goal",BC$8&gt;=$G14,BC$8&lt;=$G14+$H14-1),2,IF(AND($C14="Milestone",BC$8&gt;=$G14,BC$8&lt;=$G14+$H14-1),1,""))</f>
        <v/>
      </c>
      <c r="BD14" s="69" t="str">
        <f ca="1">IF(AND($C14="Goal",BD$8&gt;=$G14,BD$8&lt;=$G14+$H14-1),2,IF(AND($C14="Milestone",BD$8&gt;=$G14,BD$8&lt;=$G14+$H14-1),1,""))</f>
        <v/>
      </c>
      <c r="BE14" s="69" t="str">
        <f ca="1">IF(AND($C14="Goal",BE$8&gt;=$G14,BE$8&lt;=$G14+$H14-1),2,IF(AND($C14="Milestone",BE$8&gt;=$G14,BE$8&lt;=$G14+$H14-1),1,""))</f>
        <v/>
      </c>
      <c r="BF14" s="69" t="str">
        <f ca="1">IF(AND($C14="Goal",BF$8&gt;=$G14,BF$8&lt;=$G14+$H14-1),2,IF(AND($C14="Milestone",BF$8&gt;=$G14,BF$8&lt;=$G14+$H14-1),1,""))</f>
        <v/>
      </c>
      <c r="BG14" s="69" t="str">
        <f ca="1">IF(AND($C14="Goal",BG$8&gt;=$G14,BG$8&lt;=$G14+$H14-1),2,IF(AND($C14="Milestone",BG$8&gt;=$G14,BG$8&lt;=$G14+$H14-1),1,""))</f>
        <v/>
      </c>
      <c r="BH14" s="69" t="str">
        <f ca="1">IF(AND($C14="Goal",BH$8&gt;=$G14,BH$8&lt;=$G14+$H14-1),2,IF(AND($C14="Milestone",BH$8&gt;=$G14,BH$8&lt;=$G14+$H14-1),1,""))</f>
        <v/>
      </c>
      <c r="BI14" s="69" t="str">
        <f ca="1">IF(AND($C14="Goal",BI$8&gt;=$G14,BI$8&lt;=$G14+$H14-1),2,IF(AND($C14="Milestone",BI$8&gt;=$G14,BI$8&lt;=$G14+$H14-1),1,""))</f>
        <v/>
      </c>
      <c r="BJ14" s="69" t="str">
        <f ca="1">IF(AND($C14="Goal",BJ$8&gt;=$G14,BJ$8&lt;=$G14+$H14-1),2,IF(AND($C14="Milestone",BJ$8&gt;=$G14,BJ$8&lt;=$G14+$H14-1),1,""))</f>
        <v/>
      </c>
      <c r="BK14" s="69" t="str">
        <f ca="1">IF(AND($C14="Goal",BK$8&gt;=$G14,BK$8&lt;=$G14+$H14-1),2,IF(AND($C14="Milestone",BK$8&gt;=$G14,BK$8&lt;=$G14+$H14-1),1,""))</f>
        <v/>
      </c>
      <c r="BL14" s="69" t="str">
        <f ca="1">IF(AND($C14="Goal",BL$8&gt;=$G14,BL$8&lt;=$G14+$H14-1),2,IF(AND($C14="Milestone",BL$8&gt;=$G14,BL$8&lt;=$G14+$H14-1),1,""))</f>
        <v/>
      </c>
      <c r="BM14" s="69" t="str">
        <f ca="1">IF(AND($C14="Goal",BM$8&gt;=$G14,BM$8&lt;=$G14+$H14-1),2,IF(AND($C14="Milestone",BM$8&gt;=$G14,BM$8&lt;=$G14+$H14-1),1,""))</f>
        <v/>
      </c>
      <c r="BN14" s="69" t="str">
        <f ca="1">IF(AND($C14="Goal",BN$8&gt;=$G14,BN$8&lt;=$G14+$H14-1),2,IF(AND($C14="Milestone",BN$8&gt;=$G14,BN$8&lt;=$G14+$H14-1),1,""))</f>
        <v/>
      </c>
      <c r="BO14" s="69" t="str">
        <f ca="1">IF(AND($C14="Goal",BO$8&gt;=$G14,BO$8&lt;=$G14+$H14-1),2,IF(AND($C14="Milestone",BO$8&gt;=$G14,BO$8&lt;=$G14+$H14-1),1,""))</f>
        <v/>
      </c>
      <c r="BP14" s="69" t="str">
        <f ca="1">IF(AND($C14="Goal",BP$8&gt;=$G14,BP$8&lt;=$G14+$H14-1),2,IF(AND($C14="Milestone",BP$8&gt;=$G14,BP$8&lt;=$G14+$H14-1),1,""))</f>
        <v/>
      </c>
      <c r="BQ14" s="69" t="str">
        <f ca="1">IF(AND($C14="Goal",BQ$8&gt;=$G14,BQ$8&lt;=$G14+$H14-1),2,IF(AND($C14="Milestone",BQ$8&gt;=$G14,BQ$8&lt;=$G14+$H14-1),1,""))</f>
        <v/>
      </c>
      <c r="BR14" s="69" t="str">
        <f ca="1">IF(AND($C14="Goal",BR$8&gt;=$G14,BR$8&lt;=$G14+$H14-1),2,IF(AND($C14="Milestone",BR$8&gt;=$G14,BR$8&lt;=$G14+$H14-1),1,""))</f>
        <v/>
      </c>
      <c r="BS14" s="69" t="str">
        <f ca="1">IF(AND($C14="Goal",BS$8&gt;=$G14,BS$8&lt;=$G14+$H14-1),2,IF(AND($C14="Milestone",BS$8&gt;=$G14,BS$8&lt;=$G14+$H14-1),1,""))</f>
        <v/>
      </c>
      <c r="BT14" s="69" t="str">
        <f ca="1">IF(AND($C14="Goal",BT$8&gt;=$G14,BT$8&lt;=$G14+$H14-1),2,IF(AND($C14="Milestone",BT$8&gt;=$G14,BT$8&lt;=$G14+$H14-1),1,""))</f>
        <v/>
      </c>
      <c r="BU14" s="69" t="str">
        <f ca="1">IF(AND($C14="Goal",BU$8&gt;=$G14,BU$8&lt;=$G14+$H14-1),2,IF(AND($C14="Milestone",BU$8&gt;=$G14,BU$8&lt;=$G14+$H14-1),1,""))</f>
        <v/>
      </c>
      <c r="BV14" s="69" t="str">
        <f ca="1">IF(AND($C14="Goal",BV$8&gt;=$G14,BV$8&lt;=$G14+$H14-1),2,IF(AND($C14="Milestone",BV$8&gt;=$G14,BV$8&lt;=$G14+$H14-1),1,""))</f>
        <v/>
      </c>
      <c r="BW14" s="69" t="str">
        <f ca="1">IF(AND($C14="Goal",BW$8&gt;=$G14,BW$8&lt;=$G14+$H14-1),2,IF(AND($C14="Milestone",BW$8&gt;=$G14,BW$8&lt;=$G14+$H14-1),1,""))</f>
        <v/>
      </c>
      <c r="BX14" s="69" t="str">
        <f ca="1">IF(AND($C14="Goal",BX$8&gt;=$G14,BX$8&lt;=$G14+$H14-1),2,IF(AND($C14="Milestone",BX$8&gt;=$G14,BX$8&lt;=$G14+$H14-1),1,""))</f>
        <v/>
      </c>
      <c r="BY14" s="69" t="str">
        <f ca="1">IF(AND($C14="Goal",BY$8&gt;=$G14,BY$8&lt;=$G14+$H14-1),2,IF(AND($C14="Milestone",BY$8&gt;=$G14,BY$8&lt;=$G14+$H14-1),1,""))</f>
        <v/>
      </c>
      <c r="BZ14" s="69" t="str">
        <f ca="1">IF(AND($C14="Goal",BZ$8&gt;=$G14,BZ$8&lt;=$G14+$H14-1),2,IF(AND($C14="Milestone",BZ$8&gt;=$G14,BZ$8&lt;=$G14+$H14-1),1,""))</f>
        <v/>
      </c>
      <c r="CA14" s="69" t="str">
        <f ca="1">IF(AND($C14="Goal",CA$8&gt;=$G14,CA$8&lt;=$G14+$H14-1),2,IF(AND($C14="Milestone",CA$8&gt;=$G14,CA$8&lt;=$G14+$H14-1),1,""))</f>
        <v/>
      </c>
      <c r="CB14" s="69" t="str">
        <f ca="1">IF(AND($C14="Goal",CB$8&gt;=$G14,CB$8&lt;=$G14+$H14-1),2,IF(AND($C14="Milestone",CB$8&gt;=$G14,CB$8&lt;=$G14+$H14-1),1,""))</f>
        <v/>
      </c>
      <c r="CC14" s="69" t="str">
        <f ca="1">IF(AND($C14="Goal",CC$8&gt;=$G14,CC$8&lt;=$G14+$H14-1),2,IF(AND($C14="Milestone",CC$8&gt;=$G14,CC$8&lt;=$G14+$H14-1),1,""))</f>
        <v/>
      </c>
      <c r="CD14" s="69" t="str">
        <f ca="1">IF(AND($C14="Goal",CD$8&gt;=$G14,CD$8&lt;=$G14+$H14-1),2,IF(AND($C14="Milestone",CD$8&gt;=$G14,CD$8&lt;=$G14+$H14-1),1,""))</f>
        <v/>
      </c>
      <c r="CE14" s="69" t="str">
        <f ca="1">IF(AND($C14="Goal",CE$8&gt;=$G14,CE$8&lt;=$G14+$H14-1),2,IF(AND($C14="Milestone",CE$8&gt;=$G14,CE$8&lt;=$G14+$H14-1),1,""))</f>
        <v/>
      </c>
      <c r="CF14" s="69" t="str">
        <f ca="1">IF(AND($C14="Goal",CF$8&gt;=$G14,CF$8&lt;=$G14+$H14-1),2,IF(AND($C14="Milestone",CF$8&gt;=$G14,CF$8&lt;=$G14+$H14-1),1,""))</f>
        <v/>
      </c>
      <c r="CG14" s="69" t="str">
        <f ca="1">IF(AND($C14="Goal",CG$8&gt;=$G14,CG$8&lt;=$G14+$H14-1),2,IF(AND($C14="Milestone",CG$8&gt;=$G14,CG$8&lt;=$G14+$H14-1),1,""))</f>
        <v/>
      </c>
      <c r="CH14" s="69" t="str">
        <f ca="1">IF(AND($C14="Goal",CH$8&gt;=$G14,CH$8&lt;=$G14+$H14-1),2,IF(AND($C14="Milestone",CH$8&gt;=$G14,CH$8&lt;=$G14+$H14-1),1,""))</f>
        <v/>
      </c>
      <c r="CI14" s="69" t="str">
        <f ca="1">IF(AND($C14="Goal",CI$8&gt;=$G14,CI$8&lt;=$G14+$H14-1),2,IF(AND($C14="Milestone",CI$8&gt;=$G14,CI$8&lt;=$G14+$H14-1),1,""))</f>
        <v/>
      </c>
      <c r="CJ14" s="69" t="str">
        <f ca="1">IF(AND($C14="Goal",CJ$8&gt;=$G14,CJ$8&lt;=$G14+$H14-1),2,IF(AND($C14="Milestone",CJ$8&gt;=$G14,CJ$8&lt;=$G14+$H14-1),1,""))</f>
        <v/>
      </c>
      <c r="CK14" s="69" t="str">
        <f ca="1">IF(AND($C14="Goal",CK$8&gt;=$G14,CK$8&lt;=$G14+$H14-1),2,IF(AND($C14="Milestone",CK$8&gt;=$G14,CK$8&lt;=$G14+$H14-1),1,""))</f>
        <v/>
      </c>
      <c r="CL14" s="69" t="str">
        <f ca="1">IF(AND($C14="Goal",CL$8&gt;=$G14,CL$8&lt;=$G14+$H14-1),2,IF(AND($C14="Milestone",CL$8&gt;=$G14,CL$8&lt;=$G14+$H14-1),1,""))</f>
        <v/>
      </c>
      <c r="CM14" s="69" t="str">
        <f ca="1">IF(AND($C14="Goal",CM$8&gt;=$G14,CM$8&lt;=$G14+$H14-1),2,IF(AND($C14="Milestone",CM$8&gt;=$G14,CM$8&lt;=$G14+$H14-1),1,""))</f>
        <v/>
      </c>
      <c r="CN14" s="69" t="str">
        <f ca="1">IF(AND($C14="Goal",CN$8&gt;=$G14,CN$8&lt;=$G14+$H14-1),2,IF(AND($C14="Milestone",CN$8&gt;=$G14,CN$8&lt;=$G14+$H14-1),1,""))</f>
        <v/>
      </c>
      <c r="CO14" s="69" t="str">
        <f ca="1">IF(AND($C14="Goal",CO$8&gt;=$G14,CO$8&lt;=$G14+$H14-1),2,IF(AND($C14="Milestone",CO$8&gt;=$G14,CO$8&lt;=$G14+$H14-1),1,""))</f>
        <v/>
      </c>
      <c r="CP14" s="69" t="str">
        <f ca="1">IF(AND($C14="Goal",CP$8&gt;=$G14,CP$8&lt;=$G14+$H14-1),2,IF(AND($C14="Milestone",CP$8&gt;=$G14,CP$8&lt;=$G14+$H14-1),1,""))</f>
        <v/>
      </c>
      <c r="CQ14" s="69" t="str">
        <f ca="1">IF(AND($C14="Goal",CQ$8&gt;=$G14,CQ$8&lt;=$G14+$H14-1),2,IF(AND($C14="Milestone",CQ$8&gt;=$G14,CQ$8&lt;=$G14+$H14-1),1,""))</f>
        <v/>
      </c>
      <c r="CR14" s="69" t="str">
        <f ca="1">IF(AND($C14="Goal",CR$8&gt;=$G14,CR$8&lt;=$G14+$H14-1),2,IF(AND($C14="Milestone",CR$8&gt;=$G14,CR$8&lt;=$G14+$H14-1),1,""))</f>
        <v/>
      </c>
      <c r="CS14" s="69" t="str">
        <f ca="1">IF(AND($C14="Goal",CS$8&gt;=$G14,CS$8&lt;=$G14+$H14-1),2,IF(AND($C14="Milestone",CS$8&gt;=$G14,CS$8&lt;=$G14+$H14-1),1,""))</f>
        <v/>
      </c>
      <c r="CT14" s="69" t="str">
        <f ca="1">IF(AND($C14="Goal",CT$8&gt;=$G14,CT$8&lt;=$G14+$H14-1),2,IF(AND($C14="Milestone",CT$8&gt;=$G14,CT$8&lt;=$G14+$H14-1),1,""))</f>
        <v/>
      </c>
      <c r="CU14" s="69" t="str">
        <f ca="1">IF(AND($C14="Goal",CU$8&gt;=$G14,CU$8&lt;=$G14+$H14-1),2,IF(AND($C14="Milestone",CU$8&gt;=$G14,CU$8&lt;=$G14+$H14-1),1,""))</f>
        <v/>
      </c>
      <c r="CV14" s="69" t="str">
        <f ca="1">IF(AND($C14="Goal",CV$8&gt;=$G14,CV$8&lt;=$G14+$H14-1),2,IF(AND($C14="Milestone",CV$8&gt;=$G14,CV$8&lt;=$G14+$H14-1),1,""))</f>
        <v/>
      </c>
      <c r="CW14" s="69" t="str">
        <f ca="1">IF(AND($C14="Goal",CW$8&gt;=$G14,CW$8&lt;=$G14+$H14-1),2,IF(AND($C14="Milestone",CW$8&gt;=$G14,CW$8&lt;=$G14+$H14-1),1,""))</f>
        <v/>
      </c>
      <c r="CX14" s="69" t="str">
        <f ca="1">IF(AND($C14="Goal",CX$8&gt;=$G14,CX$8&lt;=$G14+$H14-1),2,IF(AND($C14="Milestone",CX$8&gt;=$G14,CX$8&lt;=$G14+$H14-1),1,""))</f>
        <v/>
      </c>
      <c r="CY14" s="69" t="str">
        <f ca="1">IF(AND($C14="Goal",CY$8&gt;=$G14,CY$8&lt;=$G14+$H14-1),2,IF(AND($C14="Milestone",CY$8&gt;=$G14,CY$8&lt;=$G14+$H14-1),1,""))</f>
        <v/>
      </c>
      <c r="CZ14" s="69" t="str">
        <f ca="1">IF(AND($C14="Goal",CZ$8&gt;=$G14,CZ$8&lt;=$G14+$H14-1),2,IF(AND($C14="Milestone",CZ$8&gt;=$G14,CZ$8&lt;=$G14+$H14-1),1,""))</f>
        <v/>
      </c>
      <c r="DA14" s="69" t="str">
        <f ca="1">IF(AND($C14="Goal",DA$8&gt;=$G14,DA$8&lt;=$G14+$H14-1),2,IF(AND($C14="Milestone",DA$8&gt;=$G14,DA$8&lt;=$G14+$H14-1),1,""))</f>
        <v/>
      </c>
      <c r="DB14" s="69" t="str">
        <f ca="1">IF(AND($C14="Goal",DB$8&gt;=$G14,DB$8&lt;=$G14+$H14-1),2,IF(AND($C14="Milestone",DB$8&gt;=$G14,DB$8&lt;=$G14+$H14-1),1,""))</f>
        <v/>
      </c>
      <c r="DC14" s="69" t="str">
        <f ca="1">IF(AND($C14="Goal",DC$8&gt;=$G14,DC$8&lt;=$G14+$H14-1),2,IF(AND($C14="Milestone",DC$8&gt;=$G14,DC$8&lt;=$G14+$H14-1),1,""))</f>
        <v/>
      </c>
      <c r="DD14" s="69" t="str">
        <f ca="1">IF(AND($C14="Goal",DD$8&gt;=$G14,DD$8&lt;=$G14+$H14-1),2,IF(AND($C14="Milestone",DD$8&gt;=$G14,DD$8&lt;=$G14+$H14-1),1,""))</f>
        <v/>
      </c>
      <c r="DE14" s="69" t="str">
        <f ca="1">IF(AND($C14="Goal",DE$8&gt;=$G14,DE$8&lt;=$G14+$H14-1),2,IF(AND($C14="Milestone",DE$8&gt;=$G14,DE$8&lt;=$G14+$H14-1),1,""))</f>
        <v/>
      </c>
      <c r="DF14" s="69" t="str">
        <f ca="1">IF(AND($C14="Goal",DF$8&gt;=$G14,DF$8&lt;=$G14+$H14-1),2,IF(AND($C14="Milestone",DF$8&gt;=$G14,DF$8&lt;=$G14+$H14-1),1,""))</f>
        <v/>
      </c>
      <c r="DG14" s="69" t="str">
        <f ca="1">IF(AND($C14="Goal",DG$8&gt;=$G14,DG$8&lt;=$G14+$H14-1),2,IF(AND($C14="Milestone",DG$8&gt;=$G14,DG$8&lt;=$G14+$H14-1),1,""))</f>
        <v/>
      </c>
      <c r="DH14" s="69" t="str">
        <f ca="1">IF(AND($C14="Goal",DH$8&gt;=$G14,DH$8&lt;=$G14+$H14-1),2,IF(AND($C14="Milestone",DH$8&gt;=$G14,DH$8&lt;=$G14+$H14-1),1,""))</f>
        <v/>
      </c>
      <c r="DI14" s="69" t="str">
        <f ca="1">IF(AND($C14="Goal",DI$8&gt;=$G14,DI$8&lt;=$G14+$H14-1),2,IF(AND($C14="Milestone",DI$8&gt;=$G14,DI$8&lt;=$G14+$H14-1),1,""))</f>
        <v/>
      </c>
      <c r="DJ14" s="69" t="str">
        <f ca="1">IF(AND($C14="Goal",DJ$8&gt;=$G14,DJ$8&lt;=$G14+$H14-1),2,IF(AND($C14="Milestone",DJ$8&gt;=$G14,DJ$8&lt;=$G14+$H14-1),1,""))</f>
        <v/>
      </c>
      <c r="DK14" s="69" t="str">
        <f ca="1">IF(AND($C14="Goal",DK$8&gt;=$G14,DK$8&lt;=$G14+$H14-1),2,IF(AND($C14="Milestone",DK$8&gt;=$G14,DK$8&lt;=$G14+$H14-1),1,""))</f>
        <v/>
      </c>
      <c r="DL14" s="69" t="str">
        <f ca="1">IF(AND($C14="Goal",DL$8&gt;=$G14,DL$8&lt;=$G14+$H14-1),2,IF(AND($C14="Milestone",DL$8&gt;=$G14,DL$8&lt;=$G14+$H14-1),1,""))</f>
        <v/>
      </c>
      <c r="DM14" s="69" t="str">
        <f ca="1">IF(AND($C14="Goal",DM$8&gt;=$G14,DM$8&lt;=$G14+$H14-1),2,IF(AND($C14="Milestone",DM$8&gt;=$G14,DM$8&lt;=$G14+$H14-1),1,""))</f>
        <v/>
      </c>
      <c r="DN14" s="69" t="str">
        <f ca="1">IF(AND($C14="Goal",DN$8&gt;=$G14,DN$8&lt;=$G14+$H14-1),2,IF(AND($C14="Milestone",DN$8&gt;=$G14,DN$8&lt;=$G14+$H14-1),1,""))</f>
        <v/>
      </c>
      <c r="DO14" s="69" t="str">
        <f ca="1">IF(AND($C14="Goal",DO$8&gt;=$G14,DO$8&lt;=$G14+$H14-1),2,IF(AND($C14="Milestone",DO$8&gt;=$G14,DO$8&lt;=$G14+$H14-1),1,""))</f>
        <v/>
      </c>
      <c r="DP14" s="69" t="str">
        <f ca="1">IF(AND($C14="Goal",DP$8&gt;=$G14,DP$8&lt;=$G14+$H14-1),2,IF(AND($C14="Milestone",DP$8&gt;=$G14,DP$8&lt;=$G14+$H14-1),1,""))</f>
        <v/>
      </c>
      <c r="DQ14" s="69" t="str">
        <f ca="1">IF(AND($C14="Goal",DQ$8&gt;=$G14,DQ$8&lt;=$G14+$H14-1),2,IF(AND($C14="Milestone",DQ$8&gt;=$G14,DQ$8&lt;=$G14+$H14-1),1,""))</f>
        <v/>
      </c>
      <c r="DR14" s="69" t="str">
        <f ca="1">IF(AND($C14="Goal",DR$8&gt;=$G14,DR$8&lt;=$G14+$H14-1),2,IF(AND($C14="Milestone",DR$8&gt;=$G14,DR$8&lt;=$G14+$H14-1),1,""))</f>
        <v/>
      </c>
      <c r="DS14" s="69" t="str">
        <f ca="1">IF(AND($C14="Goal",DS$8&gt;=$G14,DS$8&lt;=$G14+$H14-1),2,IF(AND($C14="Milestone",DS$8&gt;=$G14,DS$8&lt;=$G14+$H14-1),1,""))</f>
        <v/>
      </c>
      <c r="DT14" s="69" t="str">
        <f ca="1">IF(AND($C14="Goal",DT$8&gt;=$G14,DT$8&lt;=$G14+$H14-1),2,IF(AND($C14="Milestone",DT$8&gt;=$G14,DT$8&lt;=$G14+$H14-1),1,""))</f>
        <v/>
      </c>
      <c r="DU14" s="69" t="str">
        <f ca="1">IF(AND($C14="Goal",DU$8&gt;=$G14,DU$8&lt;=$G14+$H14-1),2,IF(AND($C14="Milestone",DU$8&gt;=$G14,DU$8&lt;=$G14+$H14-1),1,""))</f>
        <v/>
      </c>
      <c r="DV14" s="69" t="str">
        <f ca="1">IF(AND($C14="Goal",DV$8&gt;=$G14,DV$8&lt;=$G14+$H14-1),2,IF(AND($C14="Milestone",DV$8&gt;=$G14,DV$8&lt;=$G14+$H14-1),1,""))</f>
        <v/>
      </c>
      <c r="DW14" s="69" t="str">
        <f ca="1">IF(AND($C14="Goal",DW$8&gt;=$G14,DW$8&lt;=$G14+$H14-1),2,IF(AND($C14="Milestone",DW$8&gt;=$G14,DW$8&lt;=$G14+$H14-1),1,""))</f>
        <v/>
      </c>
      <c r="DX14" s="69" t="str">
        <f ca="1">IF(AND($C14="Goal",DX$8&gt;=$G14,DX$8&lt;=$G14+$H14-1),2,IF(AND($C14="Milestone",DX$8&gt;=$G14,DX$8&lt;=$G14+$H14-1),1,""))</f>
        <v/>
      </c>
      <c r="DY14" s="69" t="str">
        <f ca="1">IF(AND($C14="Goal",DY$8&gt;=$G14,DY$8&lt;=$G14+$H14-1),2,IF(AND($C14="Milestone",DY$8&gt;=$G14,DY$8&lt;=$G14+$H14-1),1,""))</f>
        <v/>
      </c>
      <c r="DZ14" s="69" t="str">
        <f ca="1">IF(AND($C14="Goal",DZ$8&gt;=$G14,DZ$8&lt;=$G14+$H14-1),2,IF(AND($C14="Milestone",DZ$8&gt;=$G14,DZ$8&lt;=$G14+$H14-1),1,""))</f>
        <v/>
      </c>
      <c r="EA14" s="69" t="str">
        <f ca="1">IF(AND($C14="Goal",EA$8&gt;=$G14,EA$8&lt;=$G14+$H14-1),2,IF(AND($C14="Milestone",EA$8&gt;=$G14,EA$8&lt;=$G14+$H14-1),1,""))</f>
        <v/>
      </c>
      <c r="EB14" s="69" t="str">
        <f ca="1">IF(AND($C14="Goal",EB$8&gt;=$G14,EB$8&lt;=$G14+$H14-1),2,IF(AND($C14="Milestone",EB$8&gt;=$G14,EB$8&lt;=$G14+$H14-1),1,""))</f>
        <v/>
      </c>
      <c r="EC14" s="69" t="str">
        <f ca="1">IF(AND($C14="Goal",EC$8&gt;=$G14,EC$8&lt;=$G14+$H14-1),2,IF(AND($C14="Milestone",EC$8&gt;=$G14,EC$8&lt;=$G14+$H14-1),1,""))</f>
        <v/>
      </c>
      <c r="ED14" s="69" t="str">
        <f ca="1">IF(AND($C14="Goal",ED$8&gt;=$G14,ED$8&lt;=$G14+$H14-1),2,IF(AND($C14="Milestone",ED$8&gt;=$G14,ED$8&lt;=$G14+$H14-1),1,""))</f>
        <v/>
      </c>
      <c r="EE14" s="69" t="str">
        <f ca="1">IF(AND($C14="Goal",EE$8&gt;=$G14,EE$8&lt;=$G14+$H14-1),2,IF(AND($C14="Milestone",EE$8&gt;=$G14,EE$8&lt;=$G14+$H14-1),1,""))</f>
        <v/>
      </c>
      <c r="EF14" s="69" t="str">
        <f ca="1">IF(AND($C14="Goal",EF$8&gt;=$G14,EF$8&lt;=$G14+$H14-1),2,IF(AND($C14="Milestone",EF$8&gt;=$G14,EF$8&lt;=$G14+$H14-1),1,""))</f>
        <v/>
      </c>
      <c r="EG14" s="69" t="str">
        <f ca="1">IF(AND($C14="Goal",EG$8&gt;=$G14,EG$8&lt;=$G14+$H14-1),2,IF(AND($C14="Milestone",EG$8&gt;=$G14,EG$8&lt;=$G14+$H14-1),1,""))</f>
        <v/>
      </c>
      <c r="EH14" s="69" t="str">
        <f ca="1">IF(AND($C14="Goal",EH$8&gt;=$G14,EH$8&lt;=$G14+$H14-1),2,IF(AND($C14="Milestone",EH$8&gt;=$G14,EH$8&lt;=$G14+$H14-1),1,""))</f>
        <v/>
      </c>
      <c r="EI14" s="69" t="str">
        <f ca="1">IF(AND($C14="Goal",EI$8&gt;=$G14,EI$8&lt;=$G14+$H14-1),2,IF(AND($C14="Milestone",EI$8&gt;=$G14,EI$8&lt;=$G14+$H14-1),1,""))</f>
        <v/>
      </c>
      <c r="EJ14" s="69" t="str">
        <f ca="1">IF(AND($C14="Goal",EJ$8&gt;=$G14,EJ$8&lt;=$G14+$H14-1),2,IF(AND($C14="Milestone",EJ$8&gt;=$G14,EJ$8&lt;=$G14+$H14-1),1,""))</f>
        <v/>
      </c>
      <c r="EK14" s="69" t="str">
        <f ca="1">IF(AND($C14="Goal",EK$8&gt;=$G14,EK$8&lt;=$G14+$H14-1),2,IF(AND($C14="Milestone",EK$8&gt;=$G14,EK$8&lt;=$G14+$H14-1),1,""))</f>
        <v/>
      </c>
      <c r="EL14" s="69" t="str">
        <f ca="1">IF(AND($C14="Goal",EL$8&gt;=$G14,EL$8&lt;=$G14+$H14-1),2,IF(AND($C14="Milestone",EL$8&gt;=$G14,EL$8&lt;=$G14+$H14-1),1,""))</f>
        <v/>
      </c>
      <c r="EM14" s="69" t="str">
        <f ca="1">IF(AND($C14="Goal",EM$8&gt;=$G14,EM$8&lt;=$G14+$H14-1),2,IF(AND($C14="Milestone",EM$8&gt;=$G14,EM$8&lt;=$G14+$H14-1),1,""))</f>
        <v/>
      </c>
      <c r="EN14" s="69" t="str">
        <f ca="1">IF(AND($C14="Goal",EN$8&gt;=$G14,EN$8&lt;=$G14+$H14-1),2,IF(AND($C14="Milestone",EN$8&gt;=$G14,EN$8&lt;=$G14+$H14-1),1,""))</f>
        <v/>
      </c>
      <c r="EO14" s="69" t="str">
        <f ca="1">IF(AND($C14="Goal",EO$8&gt;=$G14,EO$8&lt;=$G14+$H14-1),2,IF(AND($C14="Milestone",EO$8&gt;=$G14,EO$8&lt;=$G14+$H14-1),1,""))</f>
        <v/>
      </c>
      <c r="EP14" s="69" t="str">
        <f ca="1">IF(AND($C14="Goal",EP$8&gt;=$G14,EP$8&lt;=$G14+$H14-1),2,IF(AND($C14="Milestone",EP$8&gt;=$G14,EP$8&lt;=$G14+$H14-1),1,""))</f>
        <v/>
      </c>
      <c r="EQ14" s="69" t="str">
        <f ca="1">IF(AND($C14="Goal",EQ$8&gt;=$G14,EQ$8&lt;=$G14+$H14-1),2,IF(AND($C14="Milestone",EQ$8&gt;=$G14,EQ$8&lt;=$G14+$H14-1),1,""))</f>
        <v/>
      </c>
      <c r="ER14" s="69" t="str">
        <f ca="1">IF(AND($C14="Goal",ER$8&gt;=$G14,ER$8&lt;=$G14+$H14-1),2,IF(AND($C14="Milestone",ER$8&gt;=$G14,ER$8&lt;=$G14+$H14-1),1,""))</f>
        <v/>
      </c>
      <c r="ES14" s="69" t="str">
        <f ca="1">IF(AND($C14="Goal",ES$8&gt;=$G14,ES$8&lt;=$G14+$H14-1),2,IF(AND($C14="Milestone",ES$8&gt;=$G14,ES$8&lt;=$G14+$H14-1),1,""))</f>
        <v/>
      </c>
      <c r="ET14" s="69" t="str">
        <f ca="1">IF(AND($C14="Goal",ET$8&gt;=$G14,ET$8&lt;=$G14+$H14-1),2,IF(AND($C14="Milestone",ET$8&gt;=$G14,ET$8&lt;=$G14+$H14-1),1,""))</f>
        <v/>
      </c>
      <c r="EU14" s="69" t="str">
        <f ca="1">IF(AND($C14="Goal",EU$8&gt;=$G14,EU$8&lt;=$G14+$H14-1),2,IF(AND($C14="Milestone",EU$8&gt;=$G14,EU$8&lt;=$G14+$H14-1),1,""))</f>
        <v/>
      </c>
      <c r="EV14" s="69" t="str">
        <f ca="1">IF(AND($C14="Goal",EV$8&gt;=$G14,EV$8&lt;=$G14+$H14-1),2,IF(AND($C14="Milestone",EV$8&gt;=$G14,EV$8&lt;=$G14+$H14-1),1,""))</f>
        <v/>
      </c>
      <c r="EW14" s="69" t="str">
        <f ca="1">IF(AND($C14="Goal",EW$8&gt;=$G14,EW$8&lt;=$G14+$H14-1),2,IF(AND($C14="Milestone",EW$8&gt;=$G14,EW$8&lt;=$G14+$H14-1),1,""))</f>
        <v/>
      </c>
      <c r="EX14" s="69" t="str">
        <f ca="1">IF(AND($C14="Goal",EX$8&gt;=$G14,EX$8&lt;=$G14+$H14-1),2,IF(AND($C14="Milestone",EX$8&gt;=$G14,EX$8&lt;=$G14+$H14-1),1,""))</f>
        <v/>
      </c>
      <c r="EY14" s="69" t="str">
        <f ca="1">IF(AND($C14="Goal",EY$8&gt;=$G14,EY$8&lt;=$G14+$H14-1),2,IF(AND($C14="Milestone",EY$8&gt;=$G14,EY$8&lt;=$G14+$H14-1),1,""))</f>
        <v/>
      </c>
      <c r="EZ14" s="69" t="str">
        <f ca="1">IF(AND($C14="Goal",EZ$8&gt;=$G14,EZ$8&lt;=$G14+$H14-1),2,IF(AND($C14="Milestone",EZ$8&gt;=$G14,EZ$8&lt;=$G14+$H14-1),1,""))</f>
        <v/>
      </c>
      <c r="FA14" s="69" t="str">
        <f ca="1">IF(AND($C14="Goal",FA$8&gt;=$G14,FA$8&lt;=$G14+$H14-1),2,IF(AND($C14="Milestone",FA$8&gt;=$G14,FA$8&lt;=$G14+$H14-1),1,""))</f>
        <v/>
      </c>
      <c r="FB14" s="69" t="str">
        <f ca="1">IF(AND($C14="Goal",FB$8&gt;=$G14,FB$8&lt;=$G14+$H14-1),2,IF(AND($C14="Milestone",FB$8&gt;=$G14,FB$8&lt;=$G14+$H14-1),1,""))</f>
        <v/>
      </c>
      <c r="FC14" s="69" t="str">
        <f ca="1">IF(AND($C14="Goal",FC$8&gt;=$G14,FC$8&lt;=$G14+$H14-1),2,IF(AND($C14="Milestone",FC$8&gt;=$G14,FC$8&lt;=$G14+$H14-1),1,""))</f>
        <v/>
      </c>
      <c r="FD14" s="69" t="str">
        <f ca="1">IF(AND($C14="Goal",FD$8&gt;=$G14,FD$8&lt;=$G14+$H14-1),2,IF(AND($C14="Milestone",FD$8&gt;=$G14,FD$8&lt;=$G14+$H14-1),1,""))</f>
        <v/>
      </c>
      <c r="FE14" s="69" t="str">
        <f ca="1">IF(AND($C14="Goal",FE$8&gt;=$G14,FE$8&lt;=$G14+$H14-1),2,IF(AND($C14="Milestone",FE$8&gt;=$G14,FE$8&lt;=$G14+$H14-1),1,""))</f>
        <v/>
      </c>
      <c r="FF14" s="69" t="str">
        <f ca="1">IF(AND($C14="Goal",FF$8&gt;=$G14,FF$8&lt;=$G14+$H14-1),2,IF(AND($C14="Milestone",FF$8&gt;=$G14,FF$8&lt;=$G14+$H14-1),1,""))</f>
        <v/>
      </c>
      <c r="FG14" s="69" t="str">
        <f ca="1">IF(AND($C14="Goal",FG$8&gt;=$G14,FG$8&lt;=$G14+$H14-1),2,IF(AND($C14="Milestone",FG$8&gt;=$G14,FG$8&lt;=$G14+$H14-1),1,""))</f>
        <v/>
      </c>
      <c r="FH14" s="69" t="str">
        <f ca="1">IF(AND($C14="Goal",FH$8&gt;=$G14,FH$8&lt;=$G14+$H14-1),2,IF(AND($C14="Milestone",FH$8&gt;=$G14,FH$8&lt;=$G14+$H14-1),1,""))</f>
        <v/>
      </c>
      <c r="FI14" s="69" t="str">
        <f ca="1">IF(AND($C14="Goal",FI$8&gt;=$G14,FI$8&lt;=$G14+$H14-1),2,IF(AND($C14="Milestone",FI$8&gt;=$G14,FI$8&lt;=$G14+$H14-1),1,""))</f>
        <v/>
      </c>
      <c r="FJ14" s="69" t="str">
        <f ca="1">IF(AND($C14="Goal",FJ$8&gt;=$G14,FJ$8&lt;=$G14+$H14-1),2,IF(AND($C14="Milestone",FJ$8&gt;=$G14,FJ$8&lt;=$G14+$H14-1),1,""))</f>
        <v/>
      </c>
      <c r="FK14" s="69" t="str">
        <f ca="1">IF(AND($C14="Goal",FK$8&gt;=$G14,FK$8&lt;=$G14+$H14-1),2,IF(AND($C14="Milestone",FK$8&gt;=$G14,FK$8&lt;=$G14+$H14-1),1,""))</f>
        <v/>
      </c>
      <c r="FL14" s="69" t="str">
        <f ca="1">IF(AND($C14="Goal",FL$8&gt;=$G14,FL$8&lt;=$G14+$H14-1),2,IF(AND($C14="Milestone",FL$8&gt;=$G14,FL$8&lt;=$G14+$H14-1),1,""))</f>
        <v/>
      </c>
      <c r="FM14" s="69" t="str">
        <f ca="1">IF(AND($C14="Goal",FM$8&gt;=$G14,FM$8&lt;=$G14+$H14-1),2,IF(AND($C14="Milestone",FM$8&gt;=$G14,FM$8&lt;=$G14+$H14-1),1,""))</f>
        <v/>
      </c>
      <c r="FN14" s="69" t="str">
        <f ca="1">IF(AND($C14="Goal",FN$8&gt;=$G14,FN$8&lt;=$G14+$H14-1),2,IF(AND($C14="Milestone",FN$8&gt;=$G14,FN$8&lt;=$G14+$H14-1),1,""))</f>
        <v/>
      </c>
      <c r="FO14" s="69" t="str">
        <f ca="1">IF(AND($C14="Goal",FO$8&gt;=$G14,FO$8&lt;=$G14+$H14-1),2,IF(AND($C14="Milestone",FO$8&gt;=$G14,FO$8&lt;=$G14+$H14-1),1,""))</f>
        <v/>
      </c>
      <c r="FP14" s="69" t="str">
        <f ca="1">IF(AND($C14="Goal",FP$8&gt;=$G14,FP$8&lt;=$G14+$H14-1),2,IF(AND($C14="Milestone",FP$8&gt;=$G14,FP$8&lt;=$G14+$H14-1),1,""))</f>
        <v/>
      </c>
      <c r="FQ14" s="69" t="str">
        <f ca="1">IF(AND($C14="Goal",FQ$8&gt;=$G14,FQ$8&lt;=$G14+$H14-1),2,IF(AND($C14="Milestone",FQ$8&gt;=$G14,FQ$8&lt;=$G14+$H14-1),1,""))</f>
        <v/>
      </c>
      <c r="FR14" s="69" t="str">
        <f ca="1">IF(AND($C14="Goal",FR$8&gt;=$G14,FR$8&lt;=$G14+$H14-1),2,IF(AND($C14="Milestone",FR$8&gt;=$G14,FR$8&lt;=$G14+$H14-1),1,""))</f>
        <v/>
      </c>
      <c r="FS14" s="69" t="str">
        <f ca="1">IF(AND($C14="Goal",FS$8&gt;=$G14,FS$8&lt;=$G14+$H14-1),2,IF(AND($C14="Milestone",FS$8&gt;=$G14,FS$8&lt;=$G14+$H14-1),1,""))</f>
        <v/>
      </c>
      <c r="FT14" s="69" t="str">
        <f ca="1">IF(AND($C14="Goal",FT$8&gt;=$G14,FT$8&lt;=$G14+$H14-1),2,IF(AND($C14="Milestone",FT$8&gt;=$G14,FT$8&lt;=$G14+$H14-1),1,""))</f>
        <v/>
      </c>
      <c r="FU14" s="69" t="str">
        <f ca="1">IF(AND($C14="Goal",FU$8&gt;=$G14,FU$8&lt;=$G14+$H14-1),2,IF(AND($C14="Milestone",FU$8&gt;=$G14,FU$8&lt;=$G14+$H14-1),1,""))</f>
        <v/>
      </c>
      <c r="FV14" s="69" t="str">
        <f ca="1">IF(AND($C14="Goal",FV$8&gt;=$G14,FV$8&lt;=$G14+$H14-1),2,IF(AND($C14="Milestone",FV$8&gt;=$G14,FV$8&lt;=$G14+$H14-1),1,""))</f>
        <v/>
      </c>
      <c r="FW14" s="69" t="str">
        <f ca="1">IF(AND($C14="Goal",FW$8&gt;=$G14,FW$8&lt;=$G14+$H14-1),2,IF(AND($C14="Milestone",FW$8&gt;=$G14,FW$8&lt;=$G14+$H14-1),1,""))</f>
        <v/>
      </c>
      <c r="FX14" s="69" t="str">
        <f ca="1">IF(AND($C14="Goal",FX$8&gt;=$G14,FX$8&lt;=$G14+$H14-1),2,IF(AND($C14="Milestone",FX$8&gt;=$G14,FX$8&lt;=$G14+$H14-1),1,""))</f>
        <v/>
      </c>
      <c r="FY14" s="69" t="str">
        <f ca="1">IF(AND($C14="Goal",FY$8&gt;=$G14,FY$8&lt;=$G14+$H14-1),2,IF(AND($C14="Milestone",FY$8&gt;=$G14,FY$8&lt;=$G14+$H14-1),1,""))</f>
        <v/>
      </c>
      <c r="FZ14" s="69" t="str">
        <f ca="1">IF(AND($C14="Goal",FZ$8&gt;=$G14,FZ$8&lt;=$G14+$H14-1),2,IF(AND($C14="Milestone",FZ$8&gt;=$G14,FZ$8&lt;=$G14+$H14-1),1,""))</f>
        <v/>
      </c>
      <c r="GA14" s="69" t="str">
        <f ca="1">IF(AND($C14="Goal",GA$8&gt;=$G14,GA$8&lt;=$G14+$H14-1),2,IF(AND($C14="Milestone",GA$8&gt;=$G14,GA$8&lt;=$G14+$H14-1),1,""))</f>
        <v/>
      </c>
      <c r="GB14" s="69" t="str">
        <f ca="1">IF(AND($C14="Goal",GB$8&gt;=$G14,GB$8&lt;=$G14+$H14-1),2,IF(AND($C14="Milestone",GB$8&gt;=$G14,GB$8&lt;=$G14+$H14-1),1,""))</f>
        <v/>
      </c>
      <c r="GC14" s="69" t="str">
        <f ca="1">IF(AND($C14="Goal",GC$8&gt;=$G14,GC$8&lt;=$G14+$H14-1),2,IF(AND($C14="Milestone",GC$8&gt;=$G14,GC$8&lt;=$G14+$H14-1),1,""))</f>
        <v/>
      </c>
      <c r="GD14" s="69" t="str">
        <f ca="1">IF(AND($C14="Goal",GD$8&gt;=$G14,GD$8&lt;=$G14+$H14-1),2,IF(AND($C14="Milestone",GD$8&gt;=$G14,GD$8&lt;=$G14+$H14-1),1,""))</f>
        <v/>
      </c>
      <c r="GE14" s="69" t="str">
        <f ca="1">IF(AND($C14="Goal",GE$8&gt;=$G14,GE$8&lt;=$G14+$H14-1),2,IF(AND($C14="Milestone",GE$8&gt;=$G14,GE$8&lt;=$G14+$H14-1),1,""))</f>
        <v/>
      </c>
      <c r="GF14" s="69" t="str">
        <f ca="1">IF(AND($C14="Goal",GF$8&gt;=$G14,GF$8&lt;=$G14+$H14-1),2,IF(AND($C14="Milestone",GF$8&gt;=$G14,GF$8&lt;=$G14+$H14-1),1,""))</f>
        <v/>
      </c>
      <c r="GG14" s="69" t="str">
        <f ca="1">IF(AND($C14="Goal",GG$8&gt;=$G14,GG$8&lt;=$G14+$H14-1),2,IF(AND($C14="Milestone",GG$8&gt;=$G14,GG$8&lt;=$G14+$H14-1),1,""))</f>
        <v/>
      </c>
      <c r="GH14" s="69" t="str">
        <f ca="1">IF(AND($C14="Goal",GH$8&gt;=$G14,GH$8&lt;=$G14+$H14-1),2,IF(AND($C14="Milestone",GH$8&gt;=$G14,GH$8&lt;=$G14+$H14-1),1,""))</f>
        <v/>
      </c>
      <c r="GI14" s="69" t="str">
        <f ca="1">IF(AND($C14="Goal",GI$8&gt;=$G14,GI$8&lt;=$G14+$H14-1),2,IF(AND($C14="Milestone",GI$8&gt;=$G14,GI$8&lt;=$G14+$H14-1),1,""))</f>
        <v/>
      </c>
      <c r="GJ14" s="69" t="str">
        <f ca="1">IF(AND($C14="Goal",GJ$8&gt;=$G14,GJ$8&lt;=$G14+$H14-1),2,IF(AND($C14="Milestone",GJ$8&gt;=$G14,GJ$8&lt;=$G14+$H14-1),1,""))</f>
        <v/>
      </c>
      <c r="GK14" s="69" t="str">
        <f ca="1">IF(AND($C14="Goal",GK$8&gt;=$G14,GK$8&lt;=$G14+$H14-1),2,IF(AND($C14="Milestone",GK$8&gt;=$G14,GK$8&lt;=$G14+$H14-1),1,""))</f>
        <v/>
      </c>
      <c r="GL14" s="69" t="str">
        <f ca="1">IF(AND($C14="Goal",GL$8&gt;=$G14,GL$8&lt;=$G14+$H14-1),2,IF(AND($C14="Milestone",GL$8&gt;=$G14,GL$8&lt;=$G14+$H14-1),1,""))</f>
        <v/>
      </c>
      <c r="GM14" s="69" t="str">
        <f ca="1">IF(AND($C14="Goal",GM$8&gt;=$G14,GM$8&lt;=$G14+$H14-1),2,IF(AND($C14="Milestone",GM$8&gt;=$G14,GM$8&lt;=$G14+$H14-1),1,""))</f>
        <v/>
      </c>
      <c r="GN14" s="69" t="str">
        <f ca="1">IF(AND($C14="Goal",GN$8&gt;=$G14,GN$8&lt;=$G14+$H14-1),2,IF(AND($C14="Milestone",GN$8&gt;=$G14,GN$8&lt;=$G14+$H14-1),1,""))</f>
        <v/>
      </c>
      <c r="GO14" s="69" t="str">
        <f ca="1">IF(AND($C14="Goal",GO$8&gt;=$G14,GO$8&lt;=$G14+$H14-1),2,IF(AND($C14="Milestone",GO$8&gt;=$G14,GO$8&lt;=$G14+$H14-1),1,""))</f>
        <v/>
      </c>
      <c r="GP14" s="69" t="str">
        <f ca="1">IF(AND($C14="Goal",GP$8&gt;=$G14,GP$8&lt;=$G14+$H14-1),2,IF(AND($C14="Milestone",GP$8&gt;=$G14,GP$8&lt;=$G14+$H14-1),1,""))</f>
        <v/>
      </c>
      <c r="GQ14" s="69" t="str">
        <f ca="1">IF(AND($C14="Goal",GQ$8&gt;=$G14,GQ$8&lt;=$G14+$H14-1),2,IF(AND($C14="Milestone",GQ$8&gt;=$G14,GQ$8&lt;=$G14+$H14-1),1,""))</f>
        <v/>
      </c>
      <c r="GR14" s="69" t="str">
        <f ca="1">IF(AND($C14="Goal",GR$8&gt;=$G14,GR$8&lt;=$G14+$H14-1),2,IF(AND($C14="Milestone",GR$8&gt;=$G14,GR$8&lt;=$G14+$H14-1),1,""))</f>
        <v/>
      </c>
      <c r="GS14" s="69" t="str">
        <f ca="1">IF(AND($C14="Goal",GS$8&gt;=$G14,GS$8&lt;=$G14+$H14-1),2,IF(AND($C14="Milestone",GS$8&gt;=$G14,GS$8&lt;=$G14+$H14-1),1,""))</f>
        <v/>
      </c>
      <c r="GT14" s="69" t="str">
        <f ca="1">IF(AND($C14="Goal",GT$8&gt;=$G14,GT$8&lt;=$G14+$H14-1),2,IF(AND($C14="Milestone",GT$8&gt;=$G14,GT$8&lt;=$G14+$H14-1),1,""))</f>
        <v/>
      </c>
      <c r="GU14" s="69" t="str">
        <f ca="1">IF(AND($C14="Goal",GU$8&gt;=$G14,GU$8&lt;=$G14+$H14-1),2,IF(AND($C14="Milestone",GU$8&gt;=$G14,GU$8&lt;=$G14+$H14-1),1,""))</f>
        <v/>
      </c>
      <c r="GV14" s="69" t="str">
        <f ca="1">IF(AND($C14="Goal",GV$8&gt;=$G14,GV$8&lt;=$G14+$H14-1),2,IF(AND($C14="Milestone",GV$8&gt;=$G14,GV$8&lt;=$G14+$H14-1),1,""))</f>
        <v/>
      </c>
      <c r="GW14" s="69" t="str">
        <f ca="1">IF(AND($C14="Goal",GW$8&gt;=$G14,GW$8&lt;=$G14+$H14-1),2,IF(AND($C14="Milestone",GW$8&gt;=$G14,GW$8&lt;=$G14+$H14-1),1,""))</f>
        <v/>
      </c>
      <c r="GX14" s="69" t="str">
        <f ca="1">IF(AND($C14="Goal",GX$8&gt;=$G14,GX$8&lt;=$G14+$H14-1),2,IF(AND($C14="Milestone",GX$8&gt;=$G14,GX$8&lt;=$G14+$H14-1),1,""))</f>
        <v/>
      </c>
      <c r="GY14" s="69" t="str">
        <f ca="1">IF(AND($C14="Goal",GY$8&gt;=$G14,GY$8&lt;=$G14+$H14-1),2,IF(AND($C14="Milestone",GY$8&gt;=$G14,GY$8&lt;=$G14+$H14-1),1,""))</f>
        <v/>
      </c>
      <c r="GZ14" s="69" t="str">
        <f ca="1">IF(AND($C14="Goal",GZ$8&gt;=$G14,GZ$8&lt;=$G14+$H14-1),2,IF(AND($C14="Milestone",GZ$8&gt;=$G14,GZ$8&lt;=$G14+$H14-1),1,""))</f>
        <v/>
      </c>
      <c r="HA14" s="69" t="str">
        <f ca="1">IF(AND($C14="Goal",HA$8&gt;=$G14,HA$8&lt;=$G14+$H14-1),2,IF(AND($C14="Milestone",HA$8&gt;=$G14,HA$8&lt;=$G14+$H14-1),1,""))</f>
        <v/>
      </c>
      <c r="HB14" s="69" t="str">
        <f ca="1">IF(AND($C14="Goal",HB$8&gt;=$G14,HB$8&lt;=$G14+$H14-1),2,IF(AND($C14="Milestone",HB$8&gt;=$G14,HB$8&lt;=$G14+$H14-1),1,""))</f>
        <v/>
      </c>
      <c r="HC14" s="69" t="str">
        <f ca="1">IF(AND($C14="Goal",HC$8&gt;=$G14,HC$8&lt;=$G14+$H14-1),2,IF(AND($C14="Milestone",HC$8&gt;=$G14,HC$8&lt;=$G14+$H14-1),1,""))</f>
        <v/>
      </c>
      <c r="HD14" s="69" t="str">
        <f ca="1">IF(AND($C14="Goal",HD$8&gt;=$G14,HD$8&lt;=$G14+$H14-1),2,IF(AND($C14="Milestone",HD$8&gt;=$G14,HD$8&lt;=$G14+$H14-1),1,""))</f>
        <v/>
      </c>
      <c r="HE14" s="69" t="str">
        <f ca="1">IF(AND($C14="Goal",HE$8&gt;=$G14,HE$8&lt;=$G14+$H14-1),2,IF(AND($C14="Milestone",HE$8&gt;=$G14,HE$8&lt;=$G14+$H14-1),1,""))</f>
        <v/>
      </c>
      <c r="HF14" s="69" t="str">
        <f ca="1">IF(AND($C14="Goal",HF$8&gt;=$G14,HF$8&lt;=$G14+$H14-1),2,IF(AND($C14="Milestone",HF$8&gt;=$G14,HF$8&lt;=$G14+$H14-1),1,""))</f>
        <v/>
      </c>
      <c r="HG14" s="69" t="str">
        <f ca="1">IF(AND($C14="Goal",HG$8&gt;=$G14,HG$8&lt;=$G14+$H14-1),2,IF(AND($C14="Milestone",HG$8&gt;=$G14,HG$8&lt;=$G14+$H14-1),1,""))</f>
        <v/>
      </c>
      <c r="HH14" s="69" t="str">
        <f ca="1">IF(AND($C14="Goal",HH$8&gt;=$G14,HH$8&lt;=$G14+$H14-1),2,IF(AND($C14="Milestone",HH$8&gt;=$G14,HH$8&lt;=$G14+$H14-1),1,""))</f>
        <v/>
      </c>
      <c r="HI14" s="69" t="str">
        <f ca="1">IF(AND($C14="Goal",HI$8&gt;=$G14,HI$8&lt;=$G14+$H14-1),2,IF(AND($C14="Milestone",HI$8&gt;=$G14,HI$8&lt;=$G14+$H14-1),1,""))</f>
        <v/>
      </c>
      <c r="HJ14" s="69" t="str">
        <f ca="1">IF(AND($C14="Goal",HJ$8&gt;=$G14,HJ$8&lt;=$G14+$H14-1),2,IF(AND($C14="Milestone",HJ$8&gt;=$G14,HJ$8&lt;=$G14+$H14-1),1,""))</f>
        <v/>
      </c>
      <c r="HK14" s="69" t="str">
        <f ca="1">IF(AND($C14="Goal",HK$8&gt;=$G14,HK$8&lt;=$G14+$H14-1),2,IF(AND($C14="Milestone",HK$8&gt;=$G14,HK$8&lt;=$G14+$H14-1),1,""))</f>
        <v/>
      </c>
      <c r="HL14" s="69" t="str">
        <f ca="1">IF(AND($C14="Goal",HL$8&gt;=$G14,HL$8&lt;=$G14+$H14-1),2,IF(AND($C14="Milestone",HL$8&gt;=$G14,HL$8&lt;=$G14+$H14-1),1,""))</f>
        <v/>
      </c>
      <c r="HM14" s="69" t="str">
        <f ca="1">IF(AND($C14="Goal",HM$8&gt;=$G14,HM$8&lt;=$G14+$H14-1),2,IF(AND($C14="Milestone",HM$8&gt;=$G14,HM$8&lt;=$G14+$H14-1),1,""))</f>
        <v/>
      </c>
      <c r="HN14" s="69" t="str">
        <f ca="1">IF(AND($C14="Goal",HN$8&gt;=$G14,HN$8&lt;=$G14+$H14-1),2,IF(AND($C14="Milestone",HN$8&gt;=$G14,HN$8&lt;=$G14+$H14-1),1,""))</f>
        <v/>
      </c>
      <c r="HO14" s="69" t="str">
        <f ca="1">IF(AND($C14="Goal",HO$8&gt;=$G14,HO$8&lt;=$G14+$H14-1),2,IF(AND($C14="Milestone",HO$8&gt;=$G14,HO$8&lt;=$G14+$H14-1),1,""))</f>
        <v/>
      </c>
      <c r="HP14" s="69" t="str">
        <f ca="1">IF(AND($C14="Goal",HP$8&gt;=$G14,HP$8&lt;=$G14+$H14-1),2,IF(AND($C14="Milestone",HP$8&gt;=$G14,HP$8&lt;=$G14+$H14-1),1,""))</f>
        <v/>
      </c>
      <c r="HQ14" s="69" t="str">
        <f ca="1">IF(AND($C14="Goal",HQ$8&gt;=$G14,HQ$8&lt;=$G14+$H14-1),2,IF(AND($C14="Milestone",HQ$8&gt;=$G14,HQ$8&lt;=$G14+$H14-1),1,""))</f>
        <v/>
      </c>
      <c r="HR14" s="69" t="str">
        <f ca="1">IF(AND($C14="Goal",HR$8&gt;=$G14,HR$8&lt;=$G14+$H14-1),2,IF(AND($C14="Milestone",HR$8&gt;=$G14,HR$8&lt;=$G14+$H14-1),1,""))</f>
        <v/>
      </c>
      <c r="HS14" s="69" t="str">
        <f ca="1">IF(AND($C14="Goal",HS$8&gt;=$G14,HS$8&lt;=$G14+$H14-1),2,IF(AND($C14="Milestone",HS$8&gt;=$G14,HS$8&lt;=$G14+$H14-1),1,""))</f>
        <v/>
      </c>
      <c r="HT14" s="69" t="str">
        <f ca="1">IF(AND($C14="Goal",HT$8&gt;=$G14,HT$8&lt;=$G14+$H14-1),2,IF(AND($C14="Milestone",HT$8&gt;=$G14,HT$8&lt;=$G14+$H14-1),1,""))</f>
        <v/>
      </c>
      <c r="HU14" s="69" t="str">
        <f ca="1">IF(AND($C14="Goal",HU$8&gt;=$G14,HU$8&lt;=$G14+$H14-1),2,IF(AND($C14="Milestone",HU$8&gt;=$G14,HU$8&lt;=$G14+$H14-1),1,""))</f>
        <v/>
      </c>
      <c r="HV14" s="69" t="str">
        <f ca="1">IF(AND($C14="Goal",HV$8&gt;=$G14,HV$8&lt;=$G14+$H14-1),2,IF(AND($C14="Milestone",HV$8&gt;=$G14,HV$8&lt;=$G14+$H14-1),1,""))</f>
        <v/>
      </c>
      <c r="HW14" s="69" t="str">
        <f ca="1">IF(AND($C14="Goal",HW$8&gt;=$G14,HW$8&lt;=$G14+$H14-1),2,IF(AND($C14="Milestone",HW$8&gt;=$G14,HW$8&lt;=$G14+$H14-1),1,""))</f>
        <v/>
      </c>
      <c r="HX14" s="69" t="str">
        <f ca="1">IF(AND($C14="Goal",HX$8&gt;=$G14,HX$8&lt;=$G14+$H14-1),2,IF(AND($C14="Milestone",HX$8&gt;=$G14,HX$8&lt;=$G14+$H14-1),1,""))</f>
        <v/>
      </c>
      <c r="HY14" s="69" t="str">
        <f ca="1">IF(AND($C14="Goal",HY$8&gt;=$G14,HY$8&lt;=$G14+$H14-1),2,IF(AND($C14="Milestone",HY$8&gt;=$G14,HY$8&lt;=$G14+$H14-1),1,""))</f>
        <v/>
      </c>
      <c r="HZ14" s="69" t="str">
        <f ca="1">IF(AND($C14="Goal",HZ$8&gt;=$G14,HZ$8&lt;=$G14+$H14-1),2,IF(AND($C14="Milestone",HZ$8&gt;=$G14,HZ$8&lt;=$G14+$H14-1),1,""))</f>
        <v/>
      </c>
      <c r="IA14" s="69" t="str">
        <f ca="1">IF(AND($C14="Goal",IA$8&gt;=$G14,IA$8&lt;=$G14+$H14-1),2,IF(AND($C14="Milestone",IA$8&gt;=$G14,IA$8&lt;=$G14+$H14-1),1,""))</f>
        <v/>
      </c>
      <c r="IB14" s="69" t="str">
        <f ca="1">IF(AND($C14="Goal",IB$8&gt;=$G14,IB$8&lt;=$G14+$H14-1),2,IF(AND($C14="Milestone",IB$8&gt;=$G14,IB$8&lt;=$G14+$H14-1),1,""))</f>
        <v/>
      </c>
      <c r="IC14" s="69" t="str">
        <f ca="1">IF(AND($C14="Goal",IC$8&gt;=$G14,IC$8&lt;=$G14+$H14-1),2,IF(AND($C14="Milestone",IC$8&gt;=$G14,IC$8&lt;=$G14+$H14-1),1,""))</f>
        <v/>
      </c>
      <c r="ID14" s="69" t="str">
        <f ca="1">IF(AND($C14="Goal",ID$8&gt;=$G14,ID$8&lt;=$G14+$H14-1),2,IF(AND($C14="Milestone",ID$8&gt;=$G14,ID$8&lt;=$G14+$H14-1),1,""))</f>
        <v/>
      </c>
      <c r="IE14" s="69" t="str">
        <f ca="1">IF(AND($C14="Goal",IE$8&gt;=$G14,IE$8&lt;=$G14+$H14-1),2,IF(AND($C14="Milestone",IE$8&gt;=$G14,IE$8&lt;=$G14+$H14-1),1,""))</f>
        <v/>
      </c>
      <c r="IF14" s="69" t="str">
        <f ca="1">IF(AND($C14="Goal",IF$8&gt;=$G14,IF$8&lt;=$G14+$H14-1),2,IF(AND($C14="Milestone",IF$8&gt;=$G14,IF$8&lt;=$G14+$H14-1),1,""))</f>
        <v/>
      </c>
      <c r="IG14" s="69" t="str">
        <f ca="1">IF(AND($C14="Goal",IG$8&gt;=$G14,IG$8&lt;=$G14+$H14-1),2,IF(AND($C14="Milestone",IG$8&gt;=$G14,IG$8&lt;=$G14+$H14-1),1,""))</f>
        <v/>
      </c>
      <c r="IH14" s="69" t="str">
        <f ca="1">IF(AND($C14="Goal",IH$8&gt;=$G14,IH$8&lt;=$G14+$H14-1),2,IF(AND($C14="Milestone",IH$8&gt;=$G14,IH$8&lt;=$G14+$H14-1),1,""))</f>
        <v/>
      </c>
      <c r="II14" s="69" t="str">
        <f ca="1">IF(AND($C14="Goal",II$8&gt;=$G14,II$8&lt;=$G14+$H14-1),2,IF(AND($C14="Milestone",II$8&gt;=$G14,II$8&lt;=$G14+$H14-1),1,""))</f>
        <v/>
      </c>
      <c r="IJ14" s="69" t="str">
        <f ca="1">IF(AND($C14="Goal",IJ$8&gt;=$G14,IJ$8&lt;=$G14+$H14-1),2,IF(AND($C14="Milestone",IJ$8&gt;=$G14,IJ$8&lt;=$G14+$H14-1),1,""))</f>
        <v/>
      </c>
      <c r="IK14" s="69" t="str">
        <f ca="1">IF(AND($C14="Goal",IK$8&gt;=$G14,IK$8&lt;=$G14+$H14-1),2,IF(AND($C14="Milestone",IK$8&gt;=$G14,IK$8&lt;=$G14+$H14-1),1,""))</f>
        <v/>
      </c>
      <c r="IL14" s="69" t="str">
        <f ca="1">IF(AND($C14="Goal",IL$8&gt;=$G14,IL$8&lt;=$G14+$H14-1),2,IF(AND($C14="Milestone",IL$8&gt;=$G14,IL$8&lt;=$G14+$H14-1),1,""))</f>
        <v/>
      </c>
      <c r="IM14" s="69" t="str">
        <f ca="1">IF(AND($C14="Goal",IM$8&gt;=$G14,IM$8&lt;=$G14+$H14-1),2,IF(AND($C14="Milestone",IM$8&gt;=$G14,IM$8&lt;=$G14+$H14-1),1,""))</f>
        <v/>
      </c>
      <c r="IN14" s="69" t="str">
        <f ca="1">IF(AND($C14="Goal",IN$8&gt;=$G14,IN$8&lt;=$G14+$H14-1),2,IF(AND($C14="Milestone",IN$8&gt;=$G14,IN$8&lt;=$G14+$H14-1),1,""))</f>
        <v/>
      </c>
      <c r="IO14" s="69" t="str">
        <f ca="1">IF(AND($C14="Goal",IO$8&gt;=$G14,IO$8&lt;=$G14+$H14-1),2,IF(AND($C14="Milestone",IO$8&gt;=$G14,IO$8&lt;=$G14+$H14-1),1,""))</f>
        <v/>
      </c>
      <c r="IP14" s="69" t="str">
        <f ca="1">IF(AND($C14="Goal",IP$8&gt;=$G14,IP$8&lt;=$G14+$H14-1),2,IF(AND($C14="Milestone",IP$8&gt;=$G14,IP$8&lt;=$G14+$H14-1),1,""))</f>
        <v/>
      </c>
      <c r="IQ14" s="69" t="str">
        <f ca="1">IF(AND($C14="Goal",IQ$8&gt;=$G14,IQ$8&lt;=$G14+$H14-1),2,IF(AND($C14="Milestone",IQ$8&gt;=$G14,IQ$8&lt;=$G14+$H14-1),1,""))</f>
        <v/>
      </c>
      <c r="IR14" s="69" t="str">
        <f ca="1">IF(AND($C14="Goal",IR$8&gt;=$G14,IR$8&lt;=$G14+$H14-1),2,IF(AND($C14="Milestone",IR$8&gt;=$G14,IR$8&lt;=$G14+$H14-1),1,""))</f>
        <v/>
      </c>
      <c r="IS14" s="69" t="str">
        <f ca="1">IF(AND($C14="Goal",IS$8&gt;=$G14,IS$8&lt;=$G14+$H14-1),2,IF(AND($C14="Milestone",IS$8&gt;=$G14,IS$8&lt;=$G14+$H14-1),1,""))</f>
        <v/>
      </c>
      <c r="IT14" s="69" t="str">
        <f ca="1">IF(AND($C14="Goal",IT$8&gt;=$G14,IT$8&lt;=$G14+$H14-1),2,IF(AND($C14="Milestone",IT$8&gt;=$G14,IT$8&lt;=$G14+$H14-1),1,""))</f>
        <v/>
      </c>
      <c r="IU14" s="69" t="str">
        <f ca="1">IF(AND($C14="Goal",IU$8&gt;=$G14,IU$8&lt;=$G14+$H14-1),2,IF(AND($C14="Milestone",IU$8&gt;=$G14,IU$8&lt;=$G14+$H14-1),1,""))</f>
        <v/>
      </c>
      <c r="IV14" s="69" t="str">
        <f ca="1">IF(AND($C14="Goal",IV$8&gt;=$G14,IV$8&lt;=$G14+$H14-1),2,IF(AND($C14="Milestone",IV$8&gt;=$G14,IV$8&lt;=$G14+$H14-1),1,""))</f>
        <v/>
      </c>
      <c r="IW14" s="69" t="str">
        <f ca="1">IF(AND($C14="Goal",IW$8&gt;=$G14,IW$8&lt;=$G14+$H14-1),2,IF(AND($C14="Milestone",IW$8&gt;=$G14,IW$8&lt;=$G14+$H14-1),1,""))</f>
        <v/>
      </c>
      <c r="IX14" s="69" t="str">
        <f ca="1">IF(AND($C14="Goal",IX$8&gt;=$G14,IX$8&lt;=$G14+$H14-1),2,IF(AND($C14="Milestone",IX$8&gt;=$G14,IX$8&lt;=$G14+$H14-1),1,""))</f>
        <v/>
      </c>
      <c r="IY14" s="69" t="str">
        <f ca="1">IF(AND($C14="Goal",IY$8&gt;=$G14,IY$8&lt;=$G14+$H14-1),2,IF(AND($C14="Milestone",IY$8&gt;=$G14,IY$8&lt;=$G14+$H14-1),1,""))</f>
        <v/>
      </c>
      <c r="IZ14" s="69" t="str">
        <f ca="1">IF(AND($C14="Goal",IZ$8&gt;=$G14,IZ$8&lt;=$G14+$H14-1),2,IF(AND($C14="Milestone",IZ$8&gt;=$G14,IZ$8&lt;=$G14+$H14-1),1,""))</f>
        <v/>
      </c>
      <c r="JA14" s="69" t="str">
        <f ca="1">IF(AND($C14="Goal",JA$8&gt;=$G14,JA$8&lt;=$G14+$H14-1),2,IF(AND($C14="Milestone",JA$8&gt;=$G14,JA$8&lt;=$G14+$H14-1),1,""))</f>
        <v/>
      </c>
      <c r="JB14" s="69" t="str">
        <f ca="1">IF(AND($C14="Goal",JB$8&gt;=$G14,JB$8&lt;=$G14+$H14-1),2,IF(AND($C14="Milestone",JB$8&gt;=$G14,JB$8&lt;=$G14+$H14-1),1,""))</f>
        <v/>
      </c>
      <c r="JC14" s="69" t="str">
        <f ca="1">IF(AND($C14="Goal",JC$8&gt;=$G14,JC$8&lt;=$G14+$H14-1),2,IF(AND($C14="Milestone",JC$8&gt;=$G14,JC$8&lt;=$G14+$H14-1),1,""))</f>
        <v/>
      </c>
      <c r="JD14" s="69" t="str">
        <f ca="1">IF(AND($C14="Goal",JD$8&gt;=$G14,JD$8&lt;=$G14+$H14-1),2,IF(AND($C14="Milestone",JD$8&gt;=$G14,JD$8&lt;=$G14+$H14-1),1,""))</f>
        <v/>
      </c>
      <c r="JE14" s="69" t="str">
        <f ca="1">IF(AND($C14="Goal",JE$8&gt;=$G14,JE$8&lt;=$G14+$H14-1),2,IF(AND($C14="Milestone",JE$8&gt;=$G14,JE$8&lt;=$G14+$H14-1),1,""))</f>
        <v/>
      </c>
      <c r="JF14" s="69" t="str">
        <f ca="1">IF(AND($C14="Goal",JF$8&gt;=$G14,JF$8&lt;=$G14+$H14-1),2,IF(AND($C14="Milestone",JF$8&gt;=$G14,JF$8&lt;=$G14+$H14-1),1,""))</f>
        <v/>
      </c>
      <c r="JG14" s="69" t="str">
        <f ca="1">IF(AND($C14="Goal",JG$8&gt;=$G14,JG$8&lt;=$G14+$H14-1),2,IF(AND($C14="Milestone",JG$8&gt;=$G14,JG$8&lt;=$G14+$H14-1),1,""))</f>
        <v/>
      </c>
      <c r="JH14" s="69" t="str">
        <f ca="1">IF(AND($C14="Goal",JH$8&gt;=$G14,JH$8&lt;=$G14+$H14-1),2,IF(AND($C14="Milestone",JH$8&gt;=$G14,JH$8&lt;=$G14+$H14-1),1,""))</f>
        <v/>
      </c>
      <c r="JI14" s="69" t="str">
        <f ca="1">IF(AND($C14="Goal",JI$8&gt;=$G14,JI$8&lt;=$G14+$H14-1),2,IF(AND($C14="Milestone",JI$8&gt;=$G14,JI$8&lt;=$G14+$H14-1),1,""))</f>
        <v/>
      </c>
      <c r="JJ14" s="69" t="str">
        <f ca="1">IF(AND($C14="Goal",JJ$8&gt;=$G14,JJ$8&lt;=$G14+$H14-1),2,IF(AND($C14="Milestone",JJ$8&gt;=$G14,JJ$8&lt;=$G14+$H14-1),1,""))</f>
        <v/>
      </c>
      <c r="JK14" s="69" t="str">
        <f ca="1">IF(AND($C14="Goal",JK$8&gt;=$G14,JK$8&lt;=$G14+$H14-1),2,IF(AND($C14="Milestone",JK$8&gt;=$G14,JK$8&lt;=$G14+$H14-1),1,""))</f>
        <v/>
      </c>
      <c r="JL14" s="69" t="str">
        <f ca="1">IF(AND($C14="Goal",JL$8&gt;=$G14,JL$8&lt;=$G14+$H14-1),2,IF(AND($C14="Milestone",JL$8&gt;=$G14,JL$8&lt;=$G14+$H14-1),1,""))</f>
        <v/>
      </c>
      <c r="JM14" s="69" t="str">
        <f ca="1">IF(AND($C14="Goal",JM$8&gt;=$G14,JM$8&lt;=$G14+$H14-1),2,IF(AND($C14="Milestone",JM$8&gt;=$G14,JM$8&lt;=$G14+$H14-1),1,""))</f>
        <v/>
      </c>
      <c r="JN14" s="69" t="str">
        <f ca="1">IF(AND($C14="Goal",JN$8&gt;=$G14,JN$8&lt;=$G14+$H14-1),2,IF(AND($C14="Milestone",JN$8&gt;=$G14,JN$8&lt;=$G14+$H14-1),1,""))</f>
        <v/>
      </c>
      <c r="JO14" s="69" t="str">
        <f ca="1">IF(AND($C14="Goal",JO$8&gt;=$G14,JO$8&lt;=$G14+$H14-1),2,IF(AND($C14="Milestone",JO$8&gt;=$G14,JO$8&lt;=$G14+$H14-1),1,""))</f>
        <v/>
      </c>
      <c r="JP14" s="69" t="str">
        <f ca="1">IF(AND($C14="Goal",JP$8&gt;=$G14,JP$8&lt;=$G14+$H14-1),2,IF(AND($C14="Milestone",JP$8&gt;=$G14,JP$8&lt;=$G14+$H14-1),1,""))</f>
        <v/>
      </c>
      <c r="JQ14" s="69" t="str">
        <f ca="1">IF(AND($C14="Goal",JQ$8&gt;=$G14,JQ$8&lt;=$G14+$H14-1),2,IF(AND($C14="Milestone",JQ$8&gt;=$G14,JQ$8&lt;=$G14+$H14-1),1,""))</f>
        <v/>
      </c>
      <c r="JR14" s="69" t="str">
        <f ca="1">IF(AND($C14="Goal",JR$8&gt;=$G14,JR$8&lt;=$G14+$H14-1),2,IF(AND($C14="Milestone",JR$8&gt;=$G14,JR$8&lt;=$G14+$H14-1),1,""))</f>
        <v/>
      </c>
      <c r="JS14" s="69" t="str">
        <f ca="1">IF(AND($C14="Goal",JS$8&gt;=$G14,JS$8&lt;=$G14+$H14-1),2,IF(AND($C14="Milestone",JS$8&gt;=$G14,JS$8&lt;=$G14+$H14-1),1,""))</f>
        <v/>
      </c>
      <c r="JT14" s="69" t="str">
        <f ca="1">IF(AND($C14="Goal",JT$8&gt;=$G14,JT$8&lt;=$G14+$H14-1),2,IF(AND($C14="Milestone",JT$8&gt;=$G14,JT$8&lt;=$G14+$H14-1),1,""))</f>
        <v/>
      </c>
      <c r="JU14" s="69" t="str">
        <f ca="1">IF(AND($C14="Goal",JU$8&gt;=$G14,JU$8&lt;=$G14+$H14-1),2,IF(AND($C14="Milestone",JU$8&gt;=$G14,JU$8&lt;=$G14+$H14-1),1,""))</f>
        <v/>
      </c>
      <c r="JV14" s="69" t="str">
        <f ca="1">IF(AND($C14="Goal",JV$8&gt;=$G14,JV$8&lt;=$G14+$H14-1),2,IF(AND($C14="Milestone",JV$8&gt;=$G14,JV$8&lt;=$G14+$H14-1),1,""))</f>
        <v/>
      </c>
      <c r="JW14" s="69" t="str">
        <f ca="1">IF(AND($C14="Goal",JW$8&gt;=$G14,JW$8&lt;=$G14+$H14-1),2,IF(AND($C14="Milestone",JW$8&gt;=$G14,JW$8&lt;=$G14+$H14-1),1,""))</f>
        <v/>
      </c>
      <c r="JX14" s="69" t="str">
        <f ca="1">IF(AND($C14="Goal",JX$8&gt;=$G14,JX$8&lt;=$G14+$H14-1),2,IF(AND($C14="Milestone",JX$8&gt;=$G14,JX$8&lt;=$G14+$H14-1),1,""))</f>
        <v/>
      </c>
      <c r="JY14" s="69" t="str">
        <f ca="1">IF(AND($C14="Goal",JY$8&gt;=$G14,JY$8&lt;=$G14+$H14-1),2,IF(AND($C14="Milestone",JY$8&gt;=$G14,JY$8&lt;=$G14+$H14-1),1,""))</f>
        <v/>
      </c>
      <c r="JZ14" s="69" t="str">
        <f ca="1">IF(AND($C14="Goal",JZ$8&gt;=$G14,JZ$8&lt;=$G14+$H14-1),2,IF(AND($C14="Milestone",JZ$8&gt;=$G14,JZ$8&lt;=$G14+$H14-1),1,""))</f>
        <v/>
      </c>
      <c r="KA14" s="69" t="str">
        <f ca="1">IF(AND($C14="Goal",KA$8&gt;=$G14,KA$8&lt;=$G14+$H14-1),2,IF(AND($C14="Milestone",KA$8&gt;=$G14,KA$8&lt;=$G14+$H14-1),1,""))</f>
        <v/>
      </c>
      <c r="KB14" s="69" t="str">
        <f ca="1">IF(AND($C14="Goal",KB$8&gt;=$G14,KB$8&lt;=$G14+$H14-1),2,IF(AND($C14="Milestone",KB$8&gt;=$G14,KB$8&lt;=$G14+$H14-1),1,""))</f>
        <v/>
      </c>
      <c r="KC14" s="69" t="str">
        <f ca="1">IF(AND($C14="Goal",KC$8&gt;=$G14,KC$8&lt;=$G14+$H14-1),2,IF(AND($C14="Milestone",KC$8&gt;=$G14,KC$8&lt;=$G14+$H14-1),1,""))</f>
        <v/>
      </c>
      <c r="KD14" s="69" t="str">
        <f ca="1">IF(AND($C14="Goal",KD$8&gt;=$G14,KD$8&lt;=$G14+$H14-1),2,IF(AND($C14="Milestone",KD$8&gt;=$G14,KD$8&lt;=$G14+$H14-1),1,""))</f>
        <v/>
      </c>
      <c r="KE14" s="69" t="str">
        <f ca="1">IF(AND($C14="Goal",KE$8&gt;=$G14,KE$8&lt;=$G14+$H14-1),2,IF(AND($C14="Milestone",KE$8&gt;=$G14,KE$8&lt;=$G14+$H14-1),1,""))</f>
        <v/>
      </c>
      <c r="KF14" s="69" t="str">
        <f ca="1">IF(AND($C14="Goal",KF$8&gt;=$G14,KF$8&lt;=$G14+$H14-1),2,IF(AND($C14="Milestone",KF$8&gt;=$G14,KF$8&lt;=$G14+$H14-1),1,""))</f>
        <v/>
      </c>
      <c r="KG14" s="69" t="str">
        <f ca="1">IF(AND($C14="Goal",KG$8&gt;=$G14,KG$8&lt;=$G14+$H14-1),2,IF(AND($C14="Milestone",KG$8&gt;=$G14,KG$8&lt;=$G14+$H14-1),1,""))</f>
        <v/>
      </c>
      <c r="KH14" s="69" t="str">
        <f ca="1">IF(AND($C14="Goal",KH$8&gt;=$G14,KH$8&lt;=$G14+$H14-1),2,IF(AND($C14="Milestone",KH$8&gt;=$G14,KH$8&lt;=$G14+$H14-1),1,""))</f>
        <v/>
      </c>
      <c r="KI14" s="69" t="str">
        <f ca="1">IF(AND($C14="Goal",KI$8&gt;=$G14,KI$8&lt;=$G14+$H14-1),2,IF(AND($C14="Milestone",KI$8&gt;=$G14,KI$8&lt;=$G14+$H14-1),1,""))</f>
        <v/>
      </c>
      <c r="KJ14" s="69" t="str">
        <f ca="1">IF(AND($C14="Goal",KJ$8&gt;=$G14,KJ$8&lt;=$G14+$H14-1),2,IF(AND($C14="Milestone",KJ$8&gt;=$G14,KJ$8&lt;=$G14+$H14-1),1,""))</f>
        <v/>
      </c>
      <c r="KK14" s="69" t="str">
        <f ca="1">IF(AND($C14="Goal",KK$8&gt;=$G14,KK$8&lt;=$G14+$H14-1),2,IF(AND($C14="Milestone",KK$8&gt;=$G14,KK$8&lt;=$G14+$H14-1),1,""))</f>
        <v/>
      </c>
      <c r="KL14" s="69" t="str">
        <f ca="1">IF(AND($C14="Goal",KL$8&gt;=$G14,KL$8&lt;=$G14+$H14-1),2,IF(AND($C14="Milestone",KL$8&gt;=$G14,KL$8&lt;=$G14+$H14-1),1,""))</f>
        <v/>
      </c>
      <c r="KM14" s="69" t="str">
        <f ca="1">IF(AND($C14="Goal",KM$8&gt;=$G14,KM$8&lt;=$G14+$H14-1),2,IF(AND($C14="Milestone",KM$8&gt;=$G14,KM$8&lt;=$G14+$H14-1),1,""))</f>
        <v/>
      </c>
      <c r="KN14" s="69" t="str">
        <f ca="1">IF(AND($C14="Goal",KN$8&gt;=$G14,KN$8&lt;=$G14+$H14-1),2,IF(AND($C14="Milestone",KN$8&gt;=$G14,KN$8&lt;=$G14+$H14-1),1,""))</f>
        <v/>
      </c>
      <c r="KO14" s="69" t="str">
        <f ca="1">IF(AND($C14="Goal",KO$8&gt;=$G14,KO$8&lt;=$G14+$H14-1),2,IF(AND($C14="Milestone",KO$8&gt;=$G14,KO$8&lt;=$G14+$H14-1),1,""))</f>
        <v/>
      </c>
      <c r="KP14" s="69" t="str">
        <f ca="1">IF(AND($C14="Goal",KP$8&gt;=$G14,KP$8&lt;=$G14+$H14-1),2,IF(AND($C14="Milestone",KP$8&gt;=$G14,KP$8&lt;=$G14+$H14-1),1,""))</f>
        <v/>
      </c>
      <c r="KQ14" s="69" t="str">
        <f ca="1">IF(AND($C14="Goal",KQ$8&gt;=$G14,KQ$8&lt;=$G14+$H14-1),2,IF(AND($C14="Milestone",KQ$8&gt;=$G14,KQ$8&lt;=$G14+$H14-1),1,""))</f>
        <v/>
      </c>
      <c r="KR14" s="69" t="str">
        <f ca="1">IF(AND($C14="Goal",KR$8&gt;=$G14,KR$8&lt;=$G14+$H14-1),2,IF(AND($C14="Milestone",KR$8&gt;=$G14,KR$8&lt;=$G14+$H14-1),1,""))</f>
        <v/>
      </c>
      <c r="KS14" s="69" t="str">
        <f ca="1">IF(AND($C14="Goal",KS$8&gt;=$G14,KS$8&lt;=$G14+$H14-1),2,IF(AND($C14="Milestone",KS$8&gt;=$G14,KS$8&lt;=$G14+$H14-1),1,""))</f>
        <v/>
      </c>
      <c r="KT14" s="69" t="str">
        <f ca="1">IF(AND($C14="Goal",KT$8&gt;=$G14,KT$8&lt;=$G14+$H14-1),2,IF(AND($C14="Milestone",KT$8&gt;=$G14,KT$8&lt;=$G14+$H14-1),1,""))</f>
        <v/>
      </c>
      <c r="KU14" s="69" t="str">
        <f ca="1">IF(AND($C14="Goal",KU$8&gt;=$G14,KU$8&lt;=$G14+$H14-1),2,IF(AND($C14="Milestone",KU$8&gt;=$G14,KU$8&lt;=$G14+$H14-1),1,""))</f>
        <v/>
      </c>
      <c r="KV14" s="69" t="str">
        <f ca="1">IF(AND($C14="Goal",KV$8&gt;=$G14,KV$8&lt;=$G14+$H14-1),2,IF(AND($C14="Milestone",KV$8&gt;=$G14,KV$8&lt;=$G14+$H14-1),1,""))</f>
        <v/>
      </c>
      <c r="KW14" s="69" t="str">
        <f ca="1">IF(AND($C14="Goal",KW$8&gt;=$G14,KW$8&lt;=$G14+$H14-1),2,IF(AND($C14="Milestone",KW$8&gt;=$G14,KW$8&lt;=$G14+$H14-1),1,""))</f>
        <v/>
      </c>
      <c r="KX14" s="69" t="str">
        <f ca="1">IF(AND($C14="Goal",KX$8&gt;=$G14,KX$8&lt;=$G14+$H14-1),2,IF(AND($C14="Milestone",KX$8&gt;=$G14,KX$8&lt;=$G14+$H14-1),1,""))</f>
        <v/>
      </c>
      <c r="KY14" s="69" t="str">
        <f ca="1">IF(AND($C14="Goal",KY$8&gt;=$G14,KY$8&lt;=$G14+$H14-1),2,IF(AND($C14="Milestone",KY$8&gt;=$G14,KY$8&lt;=$G14+$H14-1),1,""))</f>
        <v/>
      </c>
      <c r="KZ14" s="69" t="str">
        <f ca="1">IF(AND($C14="Goal",KZ$8&gt;=$G14,KZ$8&lt;=$G14+$H14-1),2,IF(AND($C14="Milestone",KZ$8&gt;=$G14,KZ$8&lt;=$G14+$H14-1),1,""))</f>
        <v/>
      </c>
      <c r="LA14" s="69" t="str">
        <f ca="1">IF(AND($C14="Goal",LA$8&gt;=$G14,LA$8&lt;=$G14+$H14-1),2,IF(AND($C14="Milestone",LA$8&gt;=$G14,LA$8&lt;=$G14+$H14-1),1,""))</f>
        <v/>
      </c>
      <c r="LB14" s="69" t="str">
        <f ca="1">IF(AND($C14="Goal",LB$8&gt;=$G14,LB$8&lt;=$G14+$H14-1),2,IF(AND($C14="Milestone",LB$8&gt;=$G14,LB$8&lt;=$G14+$H14-1),1,""))</f>
        <v/>
      </c>
      <c r="LC14" s="69" t="str">
        <f ca="1">IF(AND($C14="Goal",LC$8&gt;=$G14,LC$8&lt;=$G14+$H14-1),2,IF(AND($C14="Milestone",LC$8&gt;=$G14,LC$8&lt;=$G14+$H14-1),1,""))</f>
        <v/>
      </c>
      <c r="LD14" s="69" t="str">
        <f ca="1">IF(AND($C14="Goal",LD$8&gt;=$G14,LD$8&lt;=$G14+$H14-1),2,IF(AND($C14="Milestone",LD$8&gt;=$G14,LD$8&lt;=$G14+$H14-1),1,""))</f>
        <v/>
      </c>
      <c r="LE14" s="69" t="str">
        <f ca="1">IF(AND($C14="Goal",LE$8&gt;=$G14,LE$8&lt;=$G14+$H14-1),2,IF(AND($C14="Milestone",LE$8&gt;=$G14,LE$8&lt;=$G14+$H14-1),1,""))</f>
        <v/>
      </c>
      <c r="LF14" s="69" t="str">
        <f ca="1">IF(AND($C14="Goal",LF$8&gt;=$G14,LF$8&lt;=$G14+$H14-1),2,IF(AND($C14="Milestone",LF$8&gt;=$G14,LF$8&lt;=$G14+$H14-1),1,""))</f>
        <v/>
      </c>
      <c r="LG14" s="69" t="str">
        <f ca="1">IF(AND($C14="Goal",LG$8&gt;=$G14,LG$8&lt;=$G14+$H14-1),2,IF(AND($C14="Milestone",LG$8&gt;=$G14,LG$8&lt;=$G14+$H14-1),1,""))</f>
        <v/>
      </c>
      <c r="LH14" s="69" t="str">
        <f ca="1">IF(AND($C14="Goal",LH$8&gt;=$G14,LH$8&lt;=$G14+$H14-1),2,IF(AND($C14="Milestone",LH$8&gt;=$G14,LH$8&lt;=$G14+$H14-1),1,""))</f>
        <v/>
      </c>
      <c r="LI14" s="69" t="str">
        <f ca="1">IF(AND($C14="Goal",LI$8&gt;=$G14,LI$8&lt;=$G14+$H14-1),2,IF(AND($C14="Milestone",LI$8&gt;=$G14,LI$8&lt;=$G14+$H14-1),1,""))</f>
        <v/>
      </c>
      <c r="LJ14" s="69" t="str">
        <f ca="1">IF(AND($C14="Goal",LJ$8&gt;=$G14,LJ$8&lt;=$G14+$H14-1),2,IF(AND($C14="Milestone",LJ$8&gt;=$G14,LJ$8&lt;=$G14+$H14-1),1,""))</f>
        <v/>
      </c>
      <c r="LK14" s="69" t="str">
        <f ca="1">IF(AND($C14="Goal",LK$8&gt;=$G14,LK$8&lt;=$G14+$H14-1),2,IF(AND($C14="Milestone",LK$8&gt;=$G14,LK$8&lt;=$G14+$H14-1),1,""))</f>
        <v/>
      </c>
      <c r="LL14" s="69" t="str">
        <f ca="1">IF(AND($C14="Goal",LL$8&gt;=$G14,LL$8&lt;=$G14+$H14-1),2,IF(AND($C14="Milestone",LL$8&gt;=$G14,LL$8&lt;=$G14+$H14-1),1,""))</f>
        <v/>
      </c>
      <c r="LM14" s="69" t="str">
        <f ca="1">IF(AND($C14="Goal",LM$8&gt;=$G14,LM$8&lt;=$G14+$H14-1),2,IF(AND($C14="Milestone",LM$8&gt;=$G14,LM$8&lt;=$G14+$H14-1),1,""))</f>
        <v/>
      </c>
      <c r="LN14" s="69" t="str">
        <f ca="1">IF(AND($C14="Goal",LN$8&gt;=$G14,LN$8&lt;=$G14+$H14-1),2,IF(AND($C14="Milestone",LN$8&gt;=$G14,LN$8&lt;=$G14+$H14-1),1,""))</f>
        <v/>
      </c>
      <c r="LO14" s="69" t="str">
        <f ca="1">IF(AND($C14="Goal",LO$8&gt;=$G14,LO$8&lt;=$G14+$H14-1),2,IF(AND($C14="Milestone",LO$8&gt;=$G14,LO$8&lt;=$G14+$H14-1),1,""))</f>
        <v/>
      </c>
      <c r="LP14" s="69" t="str">
        <f ca="1">IF(AND($C14="Goal",LP$8&gt;=$G14,LP$8&lt;=$G14+$H14-1),2,IF(AND($C14="Milestone",LP$8&gt;=$G14,LP$8&lt;=$G14+$H14-1),1,""))</f>
        <v/>
      </c>
      <c r="LQ14" s="69" t="str">
        <f ca="1">IF(AND($C14="Goal",LQ$8&gt;=$G14,LQ$8&lt;=$G14+$H14-1),2,IF(AND($C14="Milestone",LQ$8&gt;=$G14,LQ$8&lt;=$G14+$H14-1),1,""))</f>
        <v/>
      </c>
      <c r="LR14" s="69" t="str">
        <f ca="1">IF(AND($C14="Goal",LR$8&gt;=$G14,LR$8&lt;=$G14+$H14-1),2,IF(AND($C14="Milestone",LR$8&gt;=$G14,LR$8&lt;=$G14+$H14-1),1,""))</f>
        <v/>
      </c>
      <c r="LS14" s="69" t="str">
        <f ca="1">IF(AND($C14="Goal",LS$8&gt;=$G14,LS$8&lt;=$G14+$H14-1),2,IF(AND($C14="Milestone",LS$8&gt;=$G14,LS$8&lt;=$G14+$H14-1),1,""))</f>
        <v/>
      </c>
      <c r="LT14" s="69" t="str">
        <f ca="1">IF(AND($C14="Goal",LT$8&gt;=$G14,LT$8&lt;=$G14+$H14-1),2,IF(AND($C14="Milestone",LT$8&gt;=$G14,LT$8&lt;=$G14+$H14-1),1,""))</f>
        <v/>
      </c>
      <c r="LU14" s="69" t="str">
        <f ca="1">IF(AND($C14="Goal",LU$8&gt;=$G14,LU$8&lt;=$G14+$H14-1),2,IF(AND($C14="Milestone",LU$8&gt;=$G14,LU$8&lt;=$G14+$H14-1),1,""))</f>
        <v/>
      </c>
      <c r="LV14" s="69" t="str">
        <f ca="1">IF(AND($C14="Goal",LV$8&gt;=$G14,LV$8&lt;=$G14+$H14-1),2,IF(AND($C14="Milestone",LV$8&gt;=$G14,LV$8&lt;=$G14+$H14-1),1,""))</f>
        <v/>
      </c>
      <c r="LW14" s="69" t="str">
        <f ca="1">IF(AND($C14="Goal",LW$8&gt;=$G14,LW$8&lt;=$G14+$H14-1),2,IF(AND($C14="Milestone",LW$8&gt;=$G14,LW$8&lt;=$G14+$H14-1),1,""))</f>
        <v/>
      </c>
      <c r="LX14" s="69" t="str">
        <f ca="1">IF(AND($C14="Goal",LX$8&gt;=$G14,LX$8&lt;=$G14+$H14-1),2,IF(AND($C14="Milestone",LX$8&gt;=$G14,LX$8&lt;=$G14+$H14-1),1,""))</f>
        <v/>
      </c>
    </row>
    <row r="15" spans="1:336" s="1" customFormat="1" ht="27.5" customHeight="1" x14ac:dyDescent="0.25">
      <c r="A15" s="6"/>
      <c r="B15" s="47" t="s">
        <v>20</v>
      </c>
      <c r="C15" s="58"/>
      <c r="D15" s="58" t="str">
        <f ca="1">IF(G15="","",
IF(G15+Milestones4352[[#This Row],[Days]]="","",
IF(OR(F15=1,F15=100%),"Complete",
CHOOSE(
  1
  + --(((1-IF(F15&gt;1,F15/100,F15))*POWER(2.718281828,(60-MAX(0,G15+Milestones4352[[#This Row],[Days]]-TODAY()))/12))&gt;=0.6)
  + --(((1-IF(F15&gt;1,F15/100,F15))*POWER(2.718281828,(60-MAX(0,G15+Milestones4352[[#This Row],[Days]]-TODAY()))/12))&gt;=1.2)
  + --(((1-IF(F15&gt;1,F15/100,F15))*POWER(2.718281828,(60-MAX(0,G15+Milestones4352[[#This Row],[Days]]-TODAY()))/12))&gt;=2),
  "On track","Low risk","Medium risk","High risk"
))))</f>
        <v>Complete</v>
      </c>
      <c r="E15" s="58"/>
      <c r="F15" s="56">
        <v>1</v>
      </c>
      <c r="G15" s="70">
        <f t="shared" si="208"/>
        <v>45961</v>
      </c>
      <c r="H15" s="57">
        <v>8</v>
      </c>
      <c r="I15" s="57">
        <f t="shared" si="207"/>
        <v>6</v>
      </c>
      <c r="J15" s="12">
        <f ca="1">IF(OR(Milestones4352[[#This Row],[Start]]="",Milestones4352[[#This Row],[Days]]=""),"",(Milestones4352[[#This Row],[Start]]+Milestones4352[[#This Row],[Days]])-TODAY())</f>
        <v>20</v>
      </c>
      <c r="K15" s="9"/>
      <c r="L15" s="69" t="str">
        <f ca="1">IF(AND($C15="Goal",L$8&gt;=$G15,L$8&lt;=$G15+$H15-1),2,IF(AND($C15="Milestone",L$8&gt;=$G15,L$8&lt;=$G15+$H15-1),1,""))</f>
        <v/>
      </c>
      <c r="M15" s="69" t="str">
        <f ca="1">IF(AND($C15="Goal",M$8&gt;=$G15,M$8&lt;=$G15+$H15-1),2,IF(AND($C15="Milestone",M$8&gt;=$G15,M$8&lt;=$G15+$H15-1),1,""))</f>
        <v/>
      </c>
      <c r="N15" s="69" t="str">
        <f ca="1">IF(AND($C15="Goal",N$8&gt;=$G15,N$8&lt;=$G15+$H15-1),2,IF(AND($C15="Milestone",N$8&gt;=$G15,N$8&lt;=$G15+$H15-1),1,""))</f>
        <v/>
      </c>
      <c r="O15" s="69" t="str">
        <f ca="1">IF(AND($C15="Goal",O$8&gt;=$G15,O$8&lt;=$G15+$H15-1),2,IF(AND($C15="Milestone",O$8&gt;=$G15,O$8&lt;=$G15+$H15-1),1,""))</f>
        <v/>
      </c>
      <c r="P15" s="69" t="str">
        <f ca="1">IF(AND($C15="Goal",P$8&gt;=$G15,P$8&lt;=$G15+$H15-1),2,IF(AND($C15="Milestone",P$8&gt;=$G15,P$8&lt;=$G15+$H15-1),1,""))</f>
        <v/>
      </c>
      <c r="Q15" s="69" t="str">
        <f ca="1">IF(AND($C15="Goal",Q$8&gt;=$G15,Q$8&lt;=$G15+$H15-1),2,IF(AND($C15="Milestone",Q$8&gt;=$G15,Q$8&lt;=$G15+$H15-1),1,""))</f>
        <v/>
      </c>
      <c r="R15" s="69" t="str">
        <f ca="1">IF(AND($C15="Goal",R$8&gt;=$G15,R$8&lt;=$G15+$H15-1),2,IF(AND($C15="Milestone",R$8&gt;=$G15,R$8&lt;=$G15+$H15-1),1,""))</f>
        <v/>
      </c>
      <c r="S15" s="69" t="str">
        <f ca="1">IF(AND($C15="Goal",S$8&gt;=$G15,S$8&lt;=$G15+$H15-1),2,IF(AND($C15="Milestone",S$8&gt;=$G15,S$8&lt;=$G15+$H15-1),1,""))</f>
        <v/>
      </c>
      <c r="T15" s="69" t="str">
        <f ca="1">IF(AND($C15="Goal",T$8&gt;=$G15,T$8&lt;=$G15+$H15-1),2,IF(AND($C15="Milestone",T$8&gt;=$G15,T$8&lt;=$G15+$H15-1),1,""))</f>
        <v/>
      </c>
      <c r="U15" s="69" t="str">
        <f ca="1">IF(AND($C15="Goal",U$8&gt;=$G15,U$8&lt;=$G15+$H15-1),2,IF(AND($C15="Milestone",U$8&gt;=$G15,U$8&lt;=$G15+$H15-1),1,""))</f>
        <v/>
      </c>
      <c r="V15" s="69" t="str">
        <f ca="1">IF(AND($C15="Goal",V$8&gt;=$G15,V$8&lt;=$G15+$H15-1),2,IF(AND($C15="Milestone",V$8&gt;=$G15,V$8&lt;=$G15+$H15-1),1,""))</f>
        <v/>
      </c>
      <c r="W15" s="69" t="str">
        <f ca="1">IF(AND($C15="Goal",W$8&gt;=$G15,W$8&lt;=$G15+$H15-1),2,IF(AND($C15="Milestone",W$8&gt;=$G15,W$8&lt;=$G15+$H15-1),1,""))</f>
        <v/>
      </c>
      <c r="X15" s="69" t="str">
        <f ca="1">IF(AND($C15="Goal",X$8&gt;=$G15,X$8&lt;=$G15+$H15-1),2,IF(AND($C15="Milestone",X$8&gt;=$G15,X$8&lt;=$G15+$H15-1),1,""))</f>
        <v/>
      </c>
      <c r="Y15" s="69" t="str">
        <f ca="1">IF(AND($C15="Goal",Y$8&gt;=$G15,Y$8&lt;=$G15+$H15-1),2,IF(AND($C15="Milestone",Y$8&gt;=$G15,Y$8&lt;=$G15+$H15-1),1,""))</f>
        <v/>
      </c>
      <c r="Z15" s="69" t="str">
        <f ca="1">IF(AND($C15="Goal",Z$8&gt;=$G15,Z$8&lt;=$G15+$H15-1),2,IF(AND($C15="Milestone",Z$8&gt;=$G15,Z$8&lt;=$G15+$H15-1),1,""))</f>
        <v/>
      </c>
      <c r="AA15" s="69" t="str">
        <f ca="1">IF(AND($C15="Goal",AA$8&gt;=$G15,AA$8&lt;=$G15+$H15-1),2,IF(AND($C15="Milestone",AA$8&gt;=$G15,AA$8&lt;=$G15+$H15-1),1,""))</f>
        <v/>
      </c>
      <c r="AB15" s="69" t="str">
        <f ca="1">IF(AND($C15="Goal",AB$8&gt;=$G15,AB$8&lt;=$G15+$H15-1),2,IF(AND($C15="Milestone",AB$8&gt;=$G15,AB$8&lt;=$G15+$H15-1),1,""))</f>
        <v/>
      </c>
      <c r="AC15" s="69" t="str">
        <f ca="1">IF(AND($C15="Goal",AC$8&gt;=$G15,AC$8&lt;=$G15+$H15-1),2,IF(AND($C15="Milestone",AC$8&gt;=$G15,AC$8&lt;=$G15+$H15-1),1,""))</f>
        <v/>
      </c>
      <c r="AD15" s="69" t="str">
        <f ca="1">IF(AND($C15="Goal",AD$8&gt;=$G15,AD$8&lt;=$G15+$H15-1),2,IF(AND($C15="Milestone",AD$8&gt;=$G15,AD$8&lt;=$G15+$H15-1),1,""))</f>
        <v/>
      </c>
      <c r="AE15" s="69" t="str">
        <f ca="1">IF(AND($C15="Goal",AE$8&gt;=$G15,AE$8&lt;=$G15+$H15-1),2,IF(AND($C15="Milestone",AE$8&gt;=$G15,AE$8&lt;=$G15+$H15-1),1,""))</f>
        <v/>
      </c>
      <c r="AF15" s="69" t="str">
        <f ca="1">IF(AND($C15="Goal",AF$8&gt;=$G15,AF$8&lt;=$G15+$H15-1),2,IF(AND($C15="Milestone",AF$8&gt;=$G15,AF$8&lt;=$G15+$H15-1),1,""))</f>
        <v/>
      </c>
      <c r="AG15" s="69" t="str">
        <f ca="1">IF(AND($C15="Goal",AG$8&gt;=$G15,AG$8&lt;=$G15+$H15-1),2,IF(AND($C15="Milestone",AG$8&gt;=$G15,AG$8&lt;=$G15+$H15-1),1,""))</f>
        <v/>
      </c>
      <c r="AH15" s="69" t="str">
        <f ca="1">IF(AND($C15="Goal",AH$8&gt;=$G15,AH$8&lt;=$G15+$H15-1),2,IF(AND($C15="Milestone",AH$8&gt;=$G15,AH$8&lt;=$G15+$H15-1),1,""))</f>
        <v/>
      </c>
      <c r="AI15" s="69" t="str">
        <f ca="1">IF(AND($C15="Goal",AI$8&gt;=$G15,AI$8&lt;=$G15+$H15-1),2,IF(AND($C15="Milestone",AI$8&gt;=$G15,AI$8&lt;=$G15+$H15-1),1,""))</f>
        <v/>
      </c>
      <c r="AJ15" s="69" t="str">
        <f ca="1">IF(AND($C15="Goal",AJ$8&gt;=$G15,AJ$8&lt;=$G15+$H15-1),2,IF(AND($C15="Milestone",AJ$8&gt;=$G15,AJ$8&lt;=$G15+$H15-1),1,""))</f>
        <v/>
      </c>
      <c r="AK15" s="69" t="str">
        <f ca="1">IF(AND($C15="Goal",AK$8&gt;=$G15,AK$8&lt;=$G15+$H15-1),2,IF(AND($C15="Milestone",AK$8&gt;=$G15,AK$8&lt;=$G15+$H15-1),1,""))</f>
        <v/>
      </c>
      <c r="AL15" s="69" t="str">
        <f ca="1">IF(AND($C15="Goal",AL$8&gt;=$G15,AL$8&lt;=$G15+$H15-1),2,IF(AND($C15="Milestone",AL$8&gt;=$G15,AL$8&lt;=$G15+$H15-1),1,""))</f>
        <v/>
      </c>
      <c r="AM15" s="69" t="str">
        <f ca="1">IF(AND($C15="Goal",AM$8&gt;=$G15,AM$8&lt;=$G15+$H15-1),2,IF(AND($C15="Milestone",AM$8&gt;=$G15,AM$8&lt;=$G15+$H15-1),1,""))</f>
        <v/>
      </c>
      <c r="AN15" s="69" t="str">
        <f ca="1">IF(AND($C15="Goal",AN$8&gt;=$G15,AN$8&lt;=$G15+$H15-1),2,IF(AND($C15="Milestone",AN$8&gt;=$G15,AN$8&lt;=$G15+$H15-1),1,""))</f>
        <v/>
      </c>
      <c r="AO15" s="69" t="str">
        <f ca="1">IF(AND($C15="Goal",AO$8&gt;=$G15,AO$8&lt;=$G15+$H15-1),2,IF(AND($C15="Milestone",AO$8&gt;=$G15,AO$8&lt;=$G15+$H15-1),1,""))</f>
        <v/>
      </c>
      <c r="AP15" s="69" t="str">
        <f ca="1">IF(AND($C15="Goal",AP$8&gt;=$G15,AP$8&lt;=$G15+$H15-1),2,IF(AND($C15="Milestone",AP$8&gt;=$G15,AP$8&lt;=$G15+$H15-1),1,""))</f>
        <v/>
      </c>
      <c r="AQ15" s="69" t="str">
        <f ca="1">IF(AND($C15="Goal",AQ$8&gt;=$G15,AQ$8&lt;=$G15+$H15-1),2,IF(AND($C15="Milestone",AQ$8&gt;=$G15,AQ$8&lt;=$G15+$H15-1),1,""))</f>
        <v/>
      </c>
      <c r="AR15" s="69" t="str">
        <f ca="1">IF(AND($C15="Goal",AR$8&gt;=$G15,AR$8&lt;=$G15+$H15-1),2,IF(AND($C15="Milestone",AR$8&gt;=$G15,AR$8&lt;=$G15+$H15-1),1,""))</f>
        <v/>
      </c>
      <c r="AS15" s="69" t="str">
        <f ca="1">IF(AND($C15="Goal",AS$8&gt;=$G15,AS$8&lt;=$G15+$H15-1),2,IF(AND($C15="Milestone",AS$8&gt;=$G15,AS$8&lt;=$G15+$H15-1),1,""))</f>
        <v/>
      </c>
      <c r="AT15" s="69" t="str">
        <f ca="1">IF(AND($C15="Goal",AT$8&gt;=$G15,AT$8&lt;=$G15+$H15-1),2,IF(AND($C15="Milestone",AT$8&gt;=$G15,AT$8&lt;=$G15+$H15-1),1,""))</f>
        <v/>
      </c>
      <c r="AU15" s="69" t="str">
        <f ca="1">IF(AND($C15="Goal",AU$8&gt;=$G15,AU$8&lt;=$G15+$H15-1),2,IF(AND($C15="Milestone",AU$8&gt;=$G15,AU$8&lt;=$G15+$H15-1),1,""))</f>
        <v/>
      </c>
      <c r="AV15" s="69" t="str">
        <f ca="1">IF(AND($C15="Goal",AV$8&gt;=$G15,AV$8&lt;=$G15+$H15-1),2,IF(AND($C15="Milestone",AV$8&gt;=$G15,AV$8&lt;=$G15+$H15-1),1,""))</f>
        <v/>
      </c>
      <c r="AW15" s="69" t="str">
        <f ca="1">IF(AND($C15="Goal",AW$8&gt;=$G15,AW$8&lt;=$G15+$H15-1),2,IF(AND($C15="Milestone",AW$8&gt;=$G15,AW$8&lt;=$G15+$H15-1),1,""))</f>
        <v/>
      </c>
      <c r="AX15" s="69" t="str">
        <f ca="1">IF(AND($C15="Goal",AX$8&gt;=$G15,AX$8&lt;=$G15+$H15-1),2,IF(AND($C15="Milestone",AX$8&gt;=$G15,AX$8&lt;=$G15+$H15-1),1,""))</f>
        <v/>
      </c>
      <c r="AY15" s="69" t="str">
        <f ca="1">IF(AND($C15="Goal",AY$8&gt;=$G15,AY$8&lt;=$G15+$H15-1),2,IF(AND($C15="Milestone",AY$8&gt;=$G15,AY$8&lt;=$G15+$H15-1),1,""))</f>
        <v/>
      </c>
      <c r="AZ15" s="69" t="str">
        <f ca="1">IF(AND($C15="Goal",AZ$8&gt;=$G15,AZ$8&lt;=$G15+$H15-1),2,IF(AND($C15="Milestone",AZ$8&gt;=$G15,AZ$8&lt;=$G15+$H15-1),1,""))</f>
        <v/>
      </c>
      <c r="BA15" s="69" t="str">
        <f ca="1">IF(AND($C15="Goal",BA$8&gt;=$G15,BA$8&lt;=$G15+$H15-1),2,IF(AND($C15="Milestone",BA$8&gt;=$G15,BA$8&lt;=$G15+$H15-1),1,""))</f>
        <v/>
      </c>
      <c r="BB15" s="69" t="str">
        <f ca="1">IF(AND($C15="Goal",BB$8&gt;=$G15,BB$8&lt;=$G15+$H15-1),2,IF(AND($C15="Milestone",BB$8&gt;=$G15,BB$8&lt;=$G15+$H15-1),1,""))</f>
        <v/>
      </c>
      <c r="BC15" s="69" t="str">
        <f ca="1">IF(AND($C15="Goal",BC$8&gt;=$G15,BC$8&lt;=$G15+$H15-1),2,IF(AND($C15="Milestone",BC$8&gt;=$G15,BC$8&lt;=$G15+$H15-1),1,""))</f>
        <v/>
      </c>
      <c r="BD15" s="69" t="str">
        <f ca="1">IF(AND($C15="Goal",BD$8&gt;=$G15,BD$8&lt;=$G15+$H15-1),2,IF(AND($C15="Milestone",BD$8&gt;=$G15,BD$8&lt;=$G15+$H15-1),1,""))</f>
        <v/>
      </c>
      <c r="BE15" s="69" t="str">
        <f ca="1">IF(AND($C15="Goal",BE$8&gt;=$G15,BE$8&lt;=$G15+$H15-1),2,IF(AND($C15="Milestone",BE$8&gt;=$G15,BE$8&lt;=$G15+$H15-1),1,""))</f>
        <v/>
      </c>
      <c r="BF15" s="69" t="str">
        <f ca="1">IF(AND($C15="Goal",BF$8&gt;=$G15,BF$8&lt;=$G15+$H15-1),2,IF(AND($C15="Milestone",BF$8&gt;=$G15,BF$8&lt;=$G15+$H15-1),1,""))</f>
        <v/>
      </c>
      <c r="BG15" s="69" t="str">
        <f ca="1">IF(AND($C15="Goal",BG$8&gt;=$G15,BG$8&lt;=$G15+$H15-1),2,IF(AND($C15="Milestone",BG$8&gt;=$G15,BG$8&lt;=$G15+$H15-1),1,""))</f>
        <v/>
      </c>
      <c r="BH15" s="69" t="str">
        <f ca="1">IF(AND($C15="Goal",BH$8&gt;=$G15,BH$8&lt;=$G15+$H15-1),2,IF(AND($C15="Milestone",BH$8&gt;=$G15,BH$8&lt;=$G15+$H15-1),1,""))</f>
        <v/>
      </c>
      <c r="BI15" s="69" t="str">
        <f ca="1">IF(AND($C15="Goal",BI$8&gt;=$G15,BI$8&lt;=$G15+$H15-1),2,IF(AND($C15="Milestone",BI$8&gt;=$G15,BI$8&lt;=$G15+$H15-1),1,""))</f>
        <v/>
      </c>
      <c r="BJ15" s="69" t="str">
        <f ca="1">IF(AND($C15="Goal",BJ$8&gt;=$G15,BJ$8&lt;=$G15+$H15-1),2,IF(AND($C15="Milestone",BJ$8&gt;=$G15,BJ$8&lt;=$G15+$H15-1),1,""))</f>
        <v/>
      </c>
      <c r="BK15" s="69" t="str">
        <f ca="1">IF(AND($C15="Goal",BK$8&gt;=$G15,BK$8&lt;=$G15+$H15-1),2,IF(AND($C15="Milestone",BK$8&gt;=$G15,BK$8&lt;=$G15+$H15-1),1,""))</f>
        <v/>
      </c>
      <c r="BL15" s="69" t="str">
        <f ca="1">IF(AND($C15="Goal",BL$8&gt;=$G15,BL$8&lt;=$G15+$H15-1),2,IF(AND($C15="Milestone",BL$8&gt;=$G15,BL$8&lt;=$G15+$H15-1),1,""))</f>
        <v/>
      </c>
      <c r="BM15" s="69" t="str">
        <f ca="1">IF(AND($C15="Goal",BM$8&gt;=$G15,BM$8&lt;=$G15+$H15-1),2,IF(AND($C15="Milestone",BM$8&gt;=$G15,BM$8&lt;=$G15+$H15-1),1,""))</f>
        <v/>
      </c>
      <c r="BN15" s="69" t="str">
        <f ca="1">IF(AND($C15="Goal",BN$8&gt;=$G15,BN$8&lt;=$G15+$H15-1),2,IF(AND($C15="Milestone",BN$8&gt;=$G15,BN$8&lt;=$G15+$H15-1),1,""))</f>
        <v/>
      </c>
      <c r="BO15" s="69" t="str">
        <f ca="1">IF(AND($C15="Goal",BO$8&gt;=$G15,BO$8&lt;=$G15+$H15-1),2,IF(AND($C15="Milestone",BO$8&gt;=$G15,BO$8&lt;=$G15+$H15-1),1,""))</f>
        <v/>
      </c>
      <c r="BP15" s="69" t="str">
        <f ca="1">IF(AND($C15="Goal",BP$8&gt;=$G15,BP$8&lt;=$G15+$H15-1),2,IF(AND($C15="Milestone",BP$8&gt;=$G15,BP$8&lt;=$G15+$H15-1),1,""))</f>
        <v/>
      </c>
      <c r="BQ15" s="69" t="str">
        <f ca="1">IF(AND($C15="Goal",BQ$8&gt;=$G15,BQ$8&lt;=$G15+$H15-1),2,IF(AND($C15="Milestone",BQ$8&gt;=$G15,BQ$8&lt;=$G15+$H15-1),1,""))</f>
        <v/>
      </c>
      <c r="BR15" s="69" t="str">
        <f ca="1">IF(AND($C15="Goal",BR$8&gt;=$G15,BR$8&lt;=$G15+$H15-1),2,IF(AND($C15="Milestone",BR$8&gt;=$G15,BR$8&lt;=$G15+$H15-1),1,""))</f>
        <v/>
      </c>
      <c r="BS15" s="69" t="str">
        <f ca="1">IF(AND($C15="Goal",BS$8&gt;=$G15,BS$8&lt;=$G15+$H15-1),2,IF(AND($C15="Milestone",BS$8&gt;=$G15,BS$8&lt;=$G15+$H15-1),1,""))</f>
        <v/>
      </c>
      <c r="BT15" s="69" t="str">
        <f ca="1">IF(AND($C15="Goal",BT$8&gt;=$G15,BT$8&lt;=$G15+$H15-1),2,IF(AND($C15="Milestone",BT$8&gt;=$G15,BT$8&lt;=$G15+$H15-1),1,""))</f>
        <v/>
      </c>
      <c r="BU15" s="69" t="str">
        <f ca="1">IF(AND($C15="Goal",BU$8&gt;=$G15,BU$8&lt;=$G15+$H15-1),2,IF(AND($C15="Milestone",BU$8&gt;=$G15,BU$8&lt;=$G15+$H15-1),1,""))</f>
        <v/>
      </c>
      <c r="BV15" s="69" t="str">
        <f ca="1">IF(AND($C15="Goal",BV$8&gt;=$G15,BV$8&lt;=$G15+$H15-1),2,IF(AND($C15="Milestone",BV$8&gt;=$G15,BV$8&lt;=$G15+$H15-1),1,""))</f>
        <v/>
      </c>
      <c r="BW15" s="69" t="str">
        <f ca="1">IF(AND($C15="Goal",BW$8&gt;=$G15,BW$8&lt;=$G15+$H15-1),2,IF(AND($C15="Milestone",BW$8&gt;=$G15,BW$8&lt;=$G15+$H15-1),1,""))</f>
        <v/>
      </c>
      <c r="BX15" s="69" t="str">
        <f ca="1">IF(AND($C15="Goal",BX$8&gt;=$G15,BX$8&lt;=$G15+$H15-1),2,IF(AND($C15="Milestone",BX$8&gt;=$G15,BX$8&lt;=$G15+$H15-1),1,""))</f>
        <v/>
      </c>
      <c r="BY15" s="69" t="str">
        <f ca="1">IF(AND($C15="Goal",BY$8&gt;=$G15,BY$8&lt;=$G15+$H15-1),2,IF(AND($C15="Milestone",BY$8&gt;=$G15,BY$8&lt;=$G15+$H15-1),1,""))</f>
        <v/>
      </c>
      <c r="BZ15" s="69" t="str">
        <f ca="1">IF(AND($C15="Goal",BZ$8&gt;=$G15,BZ$8&lt;=$G15+$H15-1),2,IF(AND($C15="Milestone",BZ$8&gt;=$G15,BZ$8&lt;=$G15+$H15-1),1,""))</f>
        <v/>
      </c>
      <c r="CA15" s="69" t="str">
        <f ca="1">IF(AND($C15="Goal",CA$8&gt;=$G15,CA$8&lt;=$G15+$H15-1),2,IF(AND($C15="Milestone",CA$8&gt;=$G15,CA$8&lt;=$G15+$H15-1),1,""))</f>
        <v/>
      </c>
      <c r="CB15" s="69" t="str">
        <f ca="1">IF(AND($C15="Goal",CB$8&gt;=$G15,CB$8&lt;=$G15+$H15-1),2,IF(AND($C15="Milestone",CB$8&gt;=$G15,CB$8&lt;=$G15+$H15-1),1,""))</f>
        <v/>
      </c>
      <c r="CC15" s="69" t="str">
        <f ca="1">IF(AND($C15="Goal",CC$8&gt;=$G15,CC$8&lt;=$G15+$H15-1),2,IF(AND($C15="Milestone",CC$8&gt;=$G15,CC$8&lt;=$G15+$H15-1),1,""))</f>
        <v/>
      </c>
      <c r="CD15" s="69" t="str">
        <f ca="1">IF(AND($C15="Goal",CD$8&gt;=$G15,CD$8&lt;=$G15+$H15-1),2,IF(AND($C15="Milestone",CD$8&gt;=$G15,CD$8&lt;=$G15+$H15-1),1,""))</f>
        <v/>
      </c>
      <c r="CE15" s="69" t="str">
        <f ca="1">IF(AND($C15="Goal",CE$8&gt;=$G15,CE$8&lt;=$G15+$H15-1),2,IF(AND($C15="Milestone",CE$8&gt;=$G15,CE$8&lt;=$G15+$H15-1),1,""))</f>
        <v/>
      </c>
      <c r="CF15" s="69" t="str">
        <f ca="1">IF(AND($C15="Goal",CF$8&gt;=$G15,CF$8&lt;=$G15+$H15-1),2,IF(AND($C15="Milestone",CF$8&gt;=$G15,CF$8&lt;=$G15+$H15-1),1,""))</f>
        <v/>
      </c>
      <c r="CG15" s="69" t="str">
        <f ca="1">IF(AND($C15="Goal",CG$8&gt;=$G15,CG$8&lt;=$G15+$H15-1),2,IF(AND($C15="Milestone",CG$8&gt;=$G15,CG$8&lt;=$G15+$H15-1),1,""))</f>
        <v/>
      </c>
      <c r="CH15" s="69" t="str">
        <f ca="1">IF(AND($C15="Goal",CH$8&gt;=$G15,CH$8&lt;=$G15+$H15-1),2,IF(AND($C15="Milestone",CH$8&gt;=$G15,CH$8&lt;=$G15+$H15-1),1,""))</f>
        <v/>
      </c>
      <c r="CI15" s="69" t="str">
        <f ca="1">IF(AND($C15="Goal",CI$8&gt;=$G15,CI$8&lt;=$G15+$H15-1),2,IF(AND($C15="Milestone",CI$8&gt;=$G15,CI$8&lt;=$G15+$H15-1),1,""))</f>
        <v/>
      </c>
      <c r="CJ15" s="69" t="str">
        <f ca="1">IF(AND($C15="Goal",CJ$8&gt;=$G15,CJ$8&lt;=$G15+$H15-1),2,IF(AND($C15="Milestone",CJ$8&gt;=$G15,CJ$8&lt;=$G15+$H15-1),1,""))</f>
        <v/>
      </c>
      <c r="CK15" s="69" t="str">
        <f ca="1">IF(AND($C15="Goal",CK$8&gt;=$G15,CK$8&lt;=$G15+$H15-1),2,IF(AND($C15="Milestone",CK$8&gt;=$G15,CK$8&lt;=$G15+$H15-1),1,""))</f>
        <v/>
      </c>
      <c r="CL15" s="69" t="str">
        <f ca="1">IF(AND($C15="Goal",CL$8&gt;=$G15,CL$8&lt;=$G15+$H15-1),2,IF(AND($C15="Milestone",CL$8&gt;=$G15,CL$8&lt;=$G15+$H15-1),1,""))</f>
        <v/>
      </c>
      <c r="CM15" s="69" t="str">
        <f ca="1">IF(AND($C15="Goal",CM$8&gt;=$G15,CM$8&lt;=$G15+$H15-1),2,IF(AND($C15="Milestone",CM$8&gt;=$G15,CM$8&lt;=$G15+$H15-1),1,""))</f>
        <v/>
      </c>
      <c r="CN15" s="69" t="str">
        <f ca="1">IF(AND($C15="Goal",CN$8&gt;=$G15,CN$8&lt;=$G15+$H15-1),2,IF(AND($C15="Milestone",CN$8&gt;=$G15,CN$8&lt;=$G15+$H15-1),1,""))</f>
        <v/>
      </c>
      <c r="CO15" s="69" t="str">
        <f ca="1">IF(AND($C15="Goal",CO$8&gt;=$G15,CO$8&lt;=$G15+$H15-1),2,IF(AND($C15="Milestone",CO$8&gt;=$G15,CO$8&lt;=$G15+$H15-1),1,""))</f>
        <v/>
      </c>
      <c r="CP15" s="69" t="str">
        <f ca="1">IF(AND($C15="Goal",CP$8&gt;=$G15,CP$8&lt;=$G15+$H15-1),2,IF(AND($C15="Milestone",CP$8&gt;=$G15,CP$8&lt;=$G15+$H15-1),1,""))</f>
        <v/>
      </c>
      <c r="CQ15" s="69" t="str">
        <f ca="1">IF(AND($C15="Goal",CQ$8&gt;=$G15,CQ$8&lt;=$G15+$H15-1),2,IF(AND($C15="Milestone",CQ$8&gt;=$G15,CQ$8&lt;=$G15+$H15-1),1,""))</f>
        <v/>
      </c>
      <c r="CR15" s="69" t="str">
        <f ca="1">IF(AND($C15="Goal",CR$8&gt;=$G15,CR$8&lt;=$G15+$H15-1),2,IF(AND($C15="Milestone",CR$8&gt;=$G15,CR$8&lt;=$G15+$H15-1),1,""))</f>
        <v/>
      </c>
      <c r="CS15" s="69" t="str">
        <f ca="1">IF(AND($C15="Goal",CS$8&gt;=$G15,CS$8&lt;=$G15+$H15-1),2,IF(AND($C15="Milestone",CS$8&gt;=$G15,CS$8&lt;=$G15+$H15-1),1,""))</f>
        <v/>
      </c>
      <c r="CT15" s="69" t="str">
        <f ca="1">IF(AND($C15="Goal",CT$8&gt;=$G15,CT$8&lt;=$G15+$H15-1),2,IF(AND($C15="Milestone",CT$8&gt;=$G15,CT$8&lt;=$G15+$H15-1),1,""))</f>
        <v/>
      </c>
      <c r="CU15" s="69" t="str">
        <f ca="1">IF(AND($C15="Goal",CU$8&gt;=$G15,CU$8&lt;=$G15+$H15-1),2,IF(AND($C15="Milestone",CU$8&gt;=$G15,CU$8&lt;=$G15+$H15-1),1,""))</f>
        <v/>
      </c>
      <c r="CV15" s="69" t="str">
        <f ca="1">IF(AND($C15="Goal",CV$8&gt;=$G15,CV$8&lt;=$G15+$H15-1),2,IF(AND($C15="Milestone",CV$8&gt;=$G15,CV$8&lt;=$G15+$H15-1),1,""))</f>
        <v/>
      </c>
      <c r="CW15" s="69" t="str">
        <f ca="1">IF(AND($C15="Goal",CW$8&gt;=$G15,CW$8&lt;=$G15+$H15-1),2,IF(AND($C15="Milestone",CW$8&gt;=$G15,CW$8&lt;=$G15+$H15-1),1,""))</f>
        <v/>
      </c>
      <c r="CX15" s="69" t="str">
        <f ca="1">IF(AND($C15="Goal",CX$8&gt;=$G15,CX$8&lt;=$G15+$H15-1),2,IF(AND($C15="Milestone",CX$8&gt;=$G15,CX$8&lt;=$G15+$H15-1),1,""))</f>
        <v/>
      </c>
      <c r="CY15" s="69" t="str">
        <f ca="1">IF(AND($C15="Goal",CY$8&gt;=$G15,CY$8&lt;=$G15+$H15-1),2,IF(AND($C15="Milestone",CY$8&gt;=$G15,CY$8&lt;=$G15+$H15-1),1,""))</f>
        <v/>
      </c>
      <c r="CZ15" s="69" t="str">
        <f ca="1">IF(AND($C15="Goal",CZ$8&gt;=$G15,CZ$8&lt;=$G15+$H15-1),2,IF(AND($C15="Milestone",CZ$8&gt;=$G15,CZ$8&lt;=$G15+$H15-1),1,""))</f>
        <v/>
      </c>
      <c r="DA15" s="69" t="str">
        <f ca="1">IF(AND($C15="Goal",DA$8&gt;=$G15,DA$8&lt;=$G15+$H15-1),2,IF(AND($C15="Milestone",DA$8&gt;=$G15,DA$8&lt;=$G15+$H15-1),1,""))</f>
        <v/>
      </c>
      <c r="DB15" s="69" t="str">
        <f ca="1">IF(AND($C15="Goal",DB$8&gt;=$G15,DB$8&lt;=$G15+$H15-1),2,IF(AND($C15="Milestone",DB$8&gt;=$G15,DB$8&lt;=$G15+$H15-1),1,""))</f>
        <v/>
      </c>
      <c r="DC15" s="69" t="str">
        <f ca="1">IF(AND($C15="Goal",DC$8&gt;=$G15,DC$8&lt;=$G15+$H15-1),2,IF(AND($C15="Milestone",DC$8&gt;=$G15,DC$8&lt;=$G15+$H15-1),1,""))</f>
        <v/>
      </c>
      <c r="DD15" s="69" t="str">
        <f ca="1">IF(AND($C15="Goal",DD$8&gt;=$G15,DD$8&lt;=$G15+$H15-1),2,IF(AND($C15="Milestone",DD$8&gt;=$G15,DD$8&lt;=$G15+$H15-1),1,""))</f>
        <v/>
      </c>
      <c r="DE15" s="69" t="str">
        <f ca="1">IF(AND($C15="Goal",DE$8&gt;=$G15,DE$8&lt;=$G15+$H15-1),2,IF(AND($C15="Milestone",DE$8&gt;=$G15,DE$8&lt;=$G15+$H15-1),1,""))</f>
        <v/>
      </c>
      <c r="DF15" s="69" t="str">
        <f ca="1">IF(AND($C15="Goal",DF$8&gt;=$G15,DF$8&lt;=$G15+$H15-1),2,IF(AND($C15="Milestone",DF$8&gt;=$G15,DF$8&lt;=$G15+$H15-1),1,""))</f>
        <v/>
      </c>
      <c r="DG15" s="69" t="str">
        <f ca="1">IF(AND($C15="Goal",DG$8&gt;=$G15,DG$8&lt;=$G15+$H15-1),2,IF(AND($C15="Milestone",DG$8&gt;=$G15,DG$8&lt;=$G15+$H15-1),1,""))</f>
        <v/>
      </c>
      <c r="DH15" s="69" t="str">
        <f ca="1">IF(AND($C15="Goal",DH$8&gt;=$G15,DH$8&lt;=$G15+$H15-1),2,IF(AND($C15="Milestone",DH$8&gt;=$G15,DH$8&lt;=$G15+$H15-1),1,""))</f>
        <v/>
      </c>
      <c r="DI15" s="69" t="str">
        <f ca="1">IF(AND($C15="Goal",DI$8&gt;=$G15,DI$8&lt;=$G15+$H15-1),2,IF(AND($C15="Milestone",DI$8&gt;=$G15,DI$8&lt;=$G15+$H15-1),1,""))</f>
        <v/>
      </c>
      <c r="DJ15" s="69" t="str">
        <f ca="1">IF(AND($C15="Goal",DJ$8&gt;=$G15,DJ$8&lt;=$G15+$H15-1),2,IF(AND($C15="Milestone",DJ$8&gt;=$G15,DJ$8&lt;=$G15+$H15-1),1,""))</f>
        <v/>
      </c>
      <c r="DK15" s="69" t="str">
        <f ca="1">IF(AND($C15="Goal",DK$8&gt;=$G15,DK$8&lt;=$G15+$H15-1),2,IF(AND($C15="Milestone",DK$8&gt;=$G15,DK$8&lt;=$G15+$H15-1),1,""))</f>
        <v/>
      </c>
      <c r="DL15" s="69" t="str">
        <f ca="1">IF(AND($C15="Goal",DL$8&gt;=$G15,DL$8&lt;=$G15+$H15-1),2,IF(AND($C15="Milestone",DL$8&gt;=$G15,DL$8&lt;=$G15+$H15-1),1,""))</f>
        <v/>
      </c>
      <c r="DM15" s="69" t="str">
        <f ca="1">IF(AND($C15="Goal",DM$8&gt;=$G15,DM$8&lt;=$G15+$H15-1),2,IF(AND($C15="Milestone",DM$8&gt;=$G15,DM$8&lt;=$G15+$H15-1),1,""))</f>
        <v/>
      </c>
      <c r="DN15" s="69" t="str">
        <f ca="1">IF(AND($C15="Goal",DN$8&gt;=$G15,DN$8&lt;=$G15+$H15-1),2,IF(AND($C15="Milestone",DN$8&gt;=$G15,DN$8&lt;=$G15+$H15-1),1,""))</f>
        <v/>
      </c>
      <c r="DO15" s="69" t="str">
        <f ca="1">IF(AND($C15="Goal",DO$8&gt;=$G15,DO$8&lt;=$G15+$H15-1),2,IF(AND($C15="Milestone",DO$8&gt;=$G15,DO$8&lt;=$G15+$H15-1),1,""))</f>
        <v/>
      </c>
      <c r="DP15" s="69" t="str">
        <f ca="1">IF(AND($C15="Goal",DP$8&gt;=$G15,DP$8&lt;=$G15+$H15-1),2,IF(AND($C15="Milestone",DP$8&gt;=$G15,DP$8&lt;=$G15+$H15-1),1,""))</f>
        <v/>
      </c>
      <c r="DQ15" s="69" t="str">
        <f ca="1">IF(AND($C15="Goal",DQ$8&gt;=$G15,DQ$8&lt;=$G15+$H15-1),2,IF(AND($C15="Milestone",DQ$8&gt;=$G15,DQ$8&lt;=$G15+$H15-1),1,""))</f>
        <v/>
      </c>
      <c r="DR15" s="69" t="str">
        <f ca="1">IF(AND($C15="Goal",DR$8&gt;=$G15,DR$8&lt;=$G15+$H15-1),2,IF(AND($C15="Milestone",DR$8&gt;=$G15,DR$8&lt;=$G15+$H15-1),1,""))</f>
        <v/>
      </c>
      <c r="DS15" s="69" t="str">
        <f ca="1">IF(AND($C15="Goal",DS$8&gt;=$G15,DS$8&lt;=$G15+$H15-1),2,IF(AND($C15="Milestone",DS$8&gt;=$G15,DS$8&lt;=$G15+$H15-1),1,""))</f>
        <v/>
      </c>
      <c r="DT15" s="69" t="str">
        <f ca="1">IF(AND($C15="Goal",DT$8&gt;=$G15,DT$8&lt;=$G15+$H15-1),2,IF(AND($C15="Milestone",DT$8&gt;=$G15,DT$8&lt;=$G15+$H15-1),1,""))</f>
        <v/>
      </c>
      <c r="DU15" s="69" t="str">
        <f ca="1">IF(AND($C15="Goal",DU$8&gt;=$G15,DU$8&lt;=$G15+$H15-1),2,IF(AND($C15="Milestone",DU$8&gt;=$G15,DU$8&lt;=$G15+$H15-1),1,""))</f>
        <v/>
      </c>
      <c r="DV15" s="69" t="str">
        <f ca="1">IF(AND($C15="Goal",DV$8&gt;=$G15,DV$8&lt;=$G15+$H15-1),2,IF(AND($C15="Milestone",DV$8&gt;=$G15,DV$8&lt;=$G15+$H15-1),1,""))</f>
        <v/>
      </c>
      <c r="DW15" s="69" t="str">
        <f ca="1">IF(AND($C15="Goal",DW$8&gt;=$G15,DW$8&lt;=$G15+$H15-1),2,IF(AND($C15="Milestone",DW$8&gt;=$G15,DW$8&lt;=$G15+$H15-1),1,""))</f>
        <v/>
      </c>
      <c r="DX15" s="69" t="str">
        <f ca="1">IF(AND($C15="Goal",DX$8&gt;=$G15,DX$8&lt;=$G15+$H15-1),2,IF(AND($C15="Milestone",DX$8&gt;=$G15,DX$8&lt;=$G15+$H15-1),1,""))</f>
        <v/>
      </c>
      <c r="DY15" s="69" t="str">
        <f ca="1">IF(AND($C15="Goal",DY$8&gt;=$G15,DY$8&lt;=$G15+$H15-1),2,IF(AND($C15="Milestone",DY$8&gt;=$G15,DY$8&lt;=$G15+$H15-1),1,""))</f>
        <v/>
      </c>
      <c r="DZ15" s="69" t="str">
        <f ca="1">IF(AND($C15="Goal",DZ$8&gt;=$G15,DZ$8&lt;=$G15+$H15-1),2,IF(AND($C15="Milestone",DZ$8&gt;=$G15,DZ$8&lt;=$G15+$H15-1),1,""))</f>
        <v/>
      </c>
      <c r="EA15" s="69" t="str">
        <f ca="1">IF(AND($C15="Goal",EA$8&gt;=$G15,EA$8&lt;=$G15+$H15-1),2,IF(AND($C15="Milestone",EA$8&gt;=$G15,EA$8&lt;=$G15+$H15-1),1,""))</f>
        <v/>
      </c>
      <c r="EB15" s="69" t="str">
        <f ca="1">IF(AND($C15="Goal",EB$8&gt;=$G15,EB$8&lt;=$G15+$H15-1),2,IF(AND($C15="Milestone",EB$8&gt;=$G15,EB$8&lt;=$G15+$H15-1),1,""))</f>
        <v/>
      </c>
      <c r="EC15" s="69" t="str">
        <f ca="1">IF(AND($C15="Goal",EC$8&gt;=$G15,EC$8&lt;=$G15+$H15-1),2,IF(AND($C15="Milestone",EC$8&gt;=$G15,EC$8&lt;=$G15+$H15-1),1,""))</f>
        <v/>
      </c>
      <c r="ED15" s="69" t="str">
        <f ca="1">IF(AND($C15="Goal",ED$8&gt;=$G15,ED$8&lt;=$G15+$H15-1),2,IF(AND($C15="Milestone",ED$8&gt;=$G15,ED$8&lt;=$G15+$H15-1),1,""))</f>
        <v/>
      </c>
      <c r="EE15" s="69" t="str">
        <f ca="1">IF(AND($C15="Goal",EE$8&gt;=$G15,EE$8&lt;=$G15+$H15-1),2,IF(AND($C15="Milestone",EE$8&gt;=$G15,EE$8&lt;=$G15+$H15-1),1,""))</f>
        <v/>
      </c>
      <c r="EF15" s="69" t="str">
        <f ca="1">IF(AND($C15="Goal",EF$8&gt;=$G15,EF$8&lt;=$G15+$H15-1),2,IF(AND($C15="Milestone",EF$8&gt;=$G15,EF$8&lt;=$G15+$H15-1),1,""))</f>
        <v/>
      </c>
      <c r="EG15" s="69" t="str">
        <f ca="1">IF(AND($C15="Goal",EG$8&gt;=$G15,EG$8&lt;=$G15+$H15-1),2,IF(AND($C15="Milestone",EG$8&gt;=$G15,EG$8&lt;=$G15+$H15-1),1,""))</f>
        <v/>
      </c>
      <c r="EH15" s="69" t="str">
        <f ca="1">IF(AND($C15="Goal",EH$8&gt;=$G15,EH$8&lt;=$G15+$H15-1),2,IF(AND($C15="Milestone",EH$8&gt;=$G15,EH$8&lt;=$G15+$H15-1),1,""))</f>
        <v/>
      </c>
      <c r="EI15" s="69" t="str">
        <f ca="1">IF(AND($C15="Goal",EI$8&gt;=$G15,EI$8&lt;=$G15+$H15-1),2,IF(AND($C15="Milestone",EI$8&gt;=$G15,EI$8&lt;=$G15+$H15-1),1,""))</f>
        <v/>
      </c>
      <c r="EJ15" s="69" t="str">
        <f ca="1">IF(AND($C15="Goal",EJ$8&gt;=$G15,EJ$8&lt;=$G15+$H15-1),2,IF(AND($C15="Milestone",EJ$8&gt;=$G15,EJ$8&lt;=$G15+$H15-1),1,""))</f>
        <v/>
      </c>
      <c r="EK15" s="69" t="str">
        <f ca="1">IF(AND($C15="Goal",EK$8&gt;=$G15,EK$8&lt;=$G15+$H15-1),2,IF(AND($C15="Milestone",EK$8&gt;=$G15,EK$8&lt;=$G15+$H15-1),1,""))</f>
        <v/>
      </c>
      <c r="EL15" s="69" t="str">
        <f ca="1">IF(AND($C15="Goal",EL$8&gt;=$G15,EL$8&lt;=$G15+$H15-1),2,IF(AND($C15="Milestone",EL$8&gt;=$G15,EL$8&lt;=$G15+$H15-1),1,""))</f>
        <v/>
      </c>
      <c r="EM15" s="69" t="str">
        <f ca="1">IF(AND($C15="Goal",EM$8&gt;=$G15,EM$8&lt;=$G15+$H15-1),2,IF(AND($C15="Milestone",EM$8&gt;=$G15,EM$8&lt;=$G15+$H15-1),1,""))</f>
        <v/>
      </c>
      <c r="EN15" s="69" t="str">
        <f ca="1">IF(AND($C15="Goal",EN$8&gt;=$G15,EN$8&lt;=$G15+$H15-1),2,IF(AND($C15="Milestone",EN$8&gt;=$G15,EN$8&lt;=$G15+$H15-1),1,""))</f>
        <v/>
      </c>
      <c r="EO15" s="69" t="str">
        <f ca="1">IF(AND($C15="Goal",EO$8&gt;=$G15,EO$8&lt;=$G15+$H15-1),2,IF(AND($C15="Milestone",EO$8&gt;=$G15,EO$8&lt;=$G15+$H15-1),1,""))</f>
        <v/>
      </c>
      <c r="EP15" s="69" t="str">
        <f ca="1">IF(AND($C15="Goal",EP$8&gt;=$G15,EP$8&lt;=$G15+$H15-1),2,IF(AND($C15="Milestone",EP$8&gt;=$G15,EP$8&lt;=$G15+$H15-1),1,""))</f>
        <v/>
      </c>
      <c r="EQ15" s="69" t="str">
        <f ca="1">IF(AND($C15="Goal",EQ$8&gt;=$G15,EQ$8&lt;=$G15+$H15-1),2,IF(AND($C15="Milestone",EQ$8&gt;=$G15,EQ$8&lt;=$G15+$H15-1),1,""))</f>
        <v/>
      </c>
      <c r="ER15" s="69" t="str">
        <f ca="1">IF(AND($C15="Goal",ER$8&gt;=$G15,ER$8&lt;=$G15+$H15-1),2,IF(AND($C15="Milestone",ER$8&gt;=$G15,ER$8&lt;=$G15+$H15-1),1,""))</f>
        <v/>
      </c>
      <c r="ES15" s="69" t="str">
        <f ca="1">IF(AND($C15="Goal",ES$8&gt;=$G15,ES$8&lt;=$G15+$H15-1),2,IF(AND($C15="Milestone",ES$8&gt;=$G15,ES$8&lt;=$G15+$H15-1),1,""))</f>
        <v/>
      </c>
      <c r="ET15" s="69" t="str">
        <f ca="1">IF(AND($C15="Goal",ET$8&gt;=$G15,ET$8&lt;=$G15+$H15-1),2,IF(AND($C15="Milestone",ET$8&gt;=$G15,ET$8&lt;=$G15+$H15-1),1,""))</f>
        <v/>
      </c>
      <c r="EU15" s="69" t="str">
        <f ca="1">IF(AND($C15="Goal",EU$8&gt;=$G15,EU$8&lt;=$G15+$H15-1),2,IF(AND($C15="Milestone",EU$8&gt;=$G15,EU$8&lt;=$G15+$H15-1),1,""))</f>
        <v/>
      </c>
      <c r="EV15" s="69" t="str">
        <f ca="1">IF(AND($C15="Goal",EV$8&gt;=$G15,EV$8&lt;=$G15+$H15-1),2,IF(AND($C15="Milestone",EV$8&gt;=$G15,EV$8&lt;=$G15+$H15-1),1,""))</f>
        <v/>
      </c>
      <c r="EW15" s="69" t="str">
        <f ca="1">IF(AND($C15="Goal",EW$8&gt;=$G15,EW$8&lt;=$G15+$H15-1),2,IF(AND($C15="Milestone",EW$8&gt;=$G15,EW$8&lt;=$G15+$H15-1),1,""))</f>
        <v/>
      </c>
      <c r="EX15" s="69" t="str">
        <f ca="1">IF(AND($C15="Goal",EX$8&gt;=$G15,EX$8&lt;=$G15+$H15-1),2,IF(AND($C15="Milestone",EX$8&gt;=$G15,EX$8&lt;=$G15+$H15-1),1,""))</f>
        <v/>
      </c>
      <c r="EY15" s="69" t="str">
        <f ca="1">IF(AND($C15="Goal",EY$8&gt;=$G15,EY$8&lt;=$G15+$H15-1),2,IF(AND($C15="Milestone",EY$8&gt;=$G15,EY$8&lt;=$G15+$H15-1),1,""))</f>
        <v/>
      </c>
      <c r="EZ15" s="69" t="str">
        <f ca="1">IF(AND($C15="Goal",EZ$8&gt;=$G15,EZ$8&lt;=$G15+$H15-1),2,IF(AND($C15="Milestone",EZ$8&gt;=$G15,EZ$8&lt;=$G15+$H15-1),1,""))</f>
        <v/>
      </c>
      <c r="FA15" s="69" t="str">
        <f ca="1">IF(AND($C15="Goal",FA$8&gt;=$G15,FA$8&lt;=$G15+$H15-1),2,IF(AND($C15="Milestone",FA$8&gt;=$G15,FA$8&lt;=$G15+$H15-1),1,""))</f>
        <v/>
      </c>
      <c r="FB15" s="69" t="str">
        <f ca="1">IF(AND($C15="Goal",FB$8&gt;=$G15,FB$8&lt;=$G15+$H15-1),2,IF(AND($C15="Milestone",FB$8&gt;=$G15,FB$8&lt;=$G15+$H15-1),1,""))</f>
        <v/>
      </c>
      <c r="FC15" s="69" t="str">
        <f ca="1">IF(AND($C15="Goal",FC$8&gt;=$G15,FC$8&lt;=$G15+$H15-1),2,IF(AND($C15="Milestone",FC$8&gt;=$G15,FC$8&lt;=$G15+$H15-1),1,""))</f>
        <v/>
      </c>
      <c r="FD15" s="69" t="str">
        <f ca="1">IF(AND($C15="Goal",FD$8&gt;=$G15,FD$8&lt;=$G15+$H15-1),2,IF(AND($C15="Milestone",FD$8&gt;=$G15,FD$8&lt;=$G15+$H15-1),1,""))</f>
        <v/>
      </c>
      <c r="FE15" s="69" t="str">
        <f ca="1">IF(AND($C15="Goal",FE$8&gt;=$G15,FE$8&lt;=$G15+$H15-1),2,IF(AND($C15="Milestone",FE$8&gt;=$G15,FE$8&lt;=$G15+$H15-1),1,""))</f>
        <v/>
      </c>
      <c r="FF15" s="69" t="str">
        <f ca="1">IF(AND($C15="Goal",FF$8&gt;=$G15,FF$8&lt;=$G15+$H15-1),2,IF(AND($C15="Milestone",FF$8&gt;=$G15,FF$8&lt;=$G15+$H15-1),1,""))</f>
        <v/>
      </c>
      <c r="FG15" s="69" t="str">
        <f ca="1">IF(AND($C15="Goal",FG$8&gt;=$G15,FG$8&lt;=$G15+$H15-1),2,IF(AND($C15="Milestone",FG$8&gt;=$G15,FG$8&lt;=$G15+$H15-1),1,""))</f>
        <v/>
      </c>
      <c r="FH15" s="69" t="str">
        <f ca="1">IF(AND($C15="Goal",FH$8&gt;=$G15,FH$8&lt;=$G15+$H15-1),2,IF(AND($C15="Milestone",FH$8&gt;=$G15,FH$8&lt;=$G15+$H15-1),1,""))</f>
        <v/>
      </c>
      <c r="FI15" s="69" t="str">
        <f ca="1">IF(AND($C15="Goal",FI$8&gt;=$G15,FI$8&lt;=$G15+$H15-1),2,IF(AND($C15="Milestone",FI$8&gt;=$G15,FI$8&lt;=$G15+$H15-1),1,""))</f>
        <v/>
      </c>
      <c r="FJ15" s="69" t="str">
        <f ca="1">IF(AND($C15="Goal",FJ$8&gt;=$G15,FJ$8&lt;=$G15+$H15-1),2,IF(AND($C15="Milestone",FJ$8&gt;=$G15,FJ$8&lt;=$G15+$H15-1),1,""))</f>
        <v/>
      </c>
      <c r="FK15" s="69" t="str">
        <f ca="1">IF(AND($C15="Goal",FK$8&gt;=$G15,FK$8&lt;=$G15+$H15-1),2,IF(AND($C15="Milestone",FK$8&gt;=$G15,FK$8&lt;=$G15+$H15-1),1,""))</f>
        <v/>
      </c>
      <c r="FL15" s="69" t="str">
        <f ca="1">IF(AND($C15="Goal",FL$8&gt;=$G15,FL$8&lt;=$G15+$H15-1),2,IF(AND($C15="Milestone",FL$8&gt;=$G15,FL$8&lt;=$G15+$H15-1),1,""))</f>
        <v/>
      </c>
      <c r="FM15" s="69" t="str">
        <f ca="1">IF(AND($C15="Goal",FM$8&gt;=$G15,FM$8&lt;=$G15+$H15-1),2,IF(AND($C15="Milestone",FM$8&gt;=$G15,FM$8&lt;=$G15+$H15-1),1,""))</f>
        <v/>
      </c>
      <c r="FN15" s="69" t="str">
        <f ca="1">IF(AND($C15="Goal",FN$8&gt;=$G15,FN$8&lt;=$G15+$H15-1),2,IF(AND($C15="Milestone",FN$8&gt;=$G15,FN$8&lt;=$G15+$H15-1),1,""))</f>
        <v/>
      </c>
      <c r="FO15" s="69" t="str">
        <f ca="1">IF(AND($C15="Goal",FO$8&gt;=$G15,FO$8&lt;=$G15+$H15-1),2,IF(AND($C15="Milestone",FO$8&gt;=$G15,FO$8&lt;=$G15+$H15-1),1,""))</f>
        <v/>
      </c>
      <c r="FP15" s="69" t="str">
        <f ca="1">IF(AND($C15="Goal",FP$8&gt;=$G15,FP$8&lt;=$G15+$H15-1),2,IF(AND($C15="Milestone",FP$8&gt;=$G15,FP$8&lt;=$G15+$H15-1),1,""))</f>
        <v/>
      </c>
      <c r="FQ15" s="69" t="str">
        <f ca="1">IF(AND($C15="Goal",FQ$8&gt;=$G15,FQ$8&lt;=$G15+$H15-1),2,IF(AND($C15="Milestone",FQ$8&gt;=$G15,FQ$8&lt;=$G15+$H15-1),1,""))</f>
        <v/>
      </c>
      <c r="FR15" s="69" t="str">
        <f ca="1">IF(AND($C15="Goal",FR$8&gt;=$G15,FR$8&lt;=$G15+$H15-1),2,IF(AND($C15="Milestone",FR$8&gt;=$G15,FR$8&lt;=$G15+$H15-1),1,""))</f>
        <v/>
      </c>
      <c r="FS15" s="69" t="str">
        <f ca="1">IF(AND($C15="Goal",FS$8&gt;=$G15,FS$8&lt;=$G15+$H15-1),2,IF(AND($C15="Milestone",FS$8&gt;=$G15,FS$8&lt;=$G15+$H15-1),1,""))</f>
        <v/>
      </c>
      <c r="FT15" s="69" t="str">
        <f ca="1">IF(AND($C15="Goal",FT$8&gt;=$G15,FT$8&lt;=$G15+$H15-1),2,IF(AND($C15="Milestone",FT$8&gt;=$G15,FT$8&lt;=$G15+$H15-1),1,""))</f>
        <v/>
      </c>
      <c r="FU15" s="69" t="str">
        <f ca="1">IF(AND($C15="Goal",FU$8&gt;=$G15,FU$8&lt;=$G15+$H15-1),2,IF(AND($C15="Milestone",FU$8&gt;=$G15,FU$8&lt;=$G15+$H15-1),1,""))</f>
        <v/>
      </c>
      <c r="FV15" s="69" t="str">
        <f ca="1">IF(AND($C15="Goal",FV$8&gt;=$G15,FV$8&lt;=$G15+$H15-1),2,IF(AND($C15="Milestone",FV$8&gt;=$G15,FV$8&lt;=$G15+$H15-1),1,""))</f>
        <v/>
      </c>
      <c r="FW15" s="69" t="str">
        <f ca="1">IF(AND($C15="Goal",FW$8&gt;=$G15,FW$8&lt;=$G15+$H15-1),2,IF(AND($C15="Milestone",FW$8&gt;=$G15,FW$8&lt;=$G15+$H15-1),1,""))</f>
        <v/>
      </c>
      <c r="FX15" s="69" t="str">
        <f ca="1">IF(AND($C15="Goal",FX$8&gt;=$G15,FX$8&lt;=$G15+$H15-1),2,IF(AND($C15="Milestone",FX$8&gt;=$G15,FX$8&lt;=$G15+$H15-1),1,""))</f>
        <v/>
      </c>
      <c r="FY15" s="69" t="str">
        <f ca="1">IF(AND($C15="Goal",FY$8&gt;=$G15,FY$8&lt;=$G15+$H15-1),2,IF(AND($C15="Milestone",FY$8&gt;=$G15,FY$8&lt;=$G15+$H15-1),1,""))</f>
        <v/>
      </c>
      <c r="FZ15" s="69" t="str">
        <f ca="1">IF(AND($C15="Goal",FZ$8&gt;=$G15,FZ$8&lt;=$G15+$H15-1),2,IF(AND($C15="Milestone",FZ$8&gt;=$G15,FZ$8&lt;=$G15+$H15-1),1,""))</f>
        <v/>
      </c>
      <c r="GA15" s="69" t="str">
        <f ca="1">IF(AND($C15="Goal",GA$8&gt;=$G15,GA$8&lt;=$G15+$H15-1),2,IF(AND($C15="Milestone",GA$8&gt;=$G15,GA$8&lt;=$G15+$H15-1),1,""))</f>
        <v/>
      </c>
      <c r="GB15" s="69" t="str">
        <f ca="1">IF(AND($C15="Goal",GB$8&gt;=$G15,GB$8&lt;=$G15+$H15-1),2,IF(AND($C15="Milestone",GB$8&gt;=$G15,GB$8&lt;=$G15+$H15-1),1,""))</f>
        <v/>
      </c>
      <c r="GC15" s="69" t="str">
        <f ca="1">IF(AND($C15="Goal",GC$8&gt;=$G15,GC$8&lt;=$G15+$H15-1),2,IF(AND($C15="Milestone",GC$8&gt;=$G15,GC$8&lt;=$G15+$H15-1),1,""))</f>
        <v/>
      </c>
      <c r="GD15" s="69" t="str">
        <f ca="1">IF(AND($C15="Goal",GD$8&gt;=$G15,GD$8&lt;=$G15+$H15-1),2,IF(AND($C15="Milestone",GD$8&gt;=$G15,GD$8&lt;=$G15+$H15-1),1,""))</f>
        <v/>
      </c>
      <c r="GE15" s="69" t="str">
        <f ca="1">IF(AND($C15="Goal",GE$8&gt;=$G15,GE$8&lt;=$G15+$H15-1),2,IF(AND($C15="Milestone",GE$8&gt;=$G15,GE$8&lt;=$G15+$H15-1),1,""))</f>
        <v/>
      </c>
      <c r="GF15" s="69" t="str">
        <f ca="1">IF(AND($C15="Goal",GF$8&gt;=$G15,GF$8&lt;=$G15+$H15-1),2,IF(AND($C15="Milestone",GF$8&gt;=$G15,GF$8&lt;=$G15+$H15-1),1,""))</f>
        <v/>
      </c>
      <c r="GG15" s="69" t="str">
        <f ca="1">IF(AND($C15="Goal",GG$8&gt;=$G15,GG$8&lt;=$G15+$H15-1),2,IF(AND($C15="Milestone",GG$8&gt;=$G15,GG$8&lt;=$G15+$H15-1),1,""))</f>
        <v/>
      </c>
      <c r="GH15" s="69" t="str">
        <f ca="1">IF(AND($C15="Goal",GH$8&gt;=$G15,GH$8&lt;=$G15+$H15-1),2,IF(AND($C15="Milestone",GH$8&gt;=$G15,GH$8&lt;=$G15+$H15-1),1,""))</f>
        <v/>
      </c>
      <c r="GI15" s="69" t="str">
        <f ca="1">IF(AND($C15="Goal",GI$8&gt;=$G15,GI$8&lt;=$G15+$H15-1),2,IF(AND($C15="Milestone",GI$8&gt;=$G15,GI$8&lt;=$G15+$H15-1),1,""))</f>
        <v/>
      </c>
      <c r="GJ15" s="69" t="str">
        <f ca="1">IF(AND($C15="Goal",GJ$8&gt;=$G15,GJ$8&lt;=$G15+$H15-1),2,IF(AND($C15="Milestone",GJ$8&gt;=$G15,GJ$8&lt;=$G15+$H15-1),1,""))</f>
        <v/>
      </c>
      <c r="GK15" s="69" t="str">
        <f ca="1">IF(AND($C15="Goal",GK$8&gt;=$G15,GK$8&lt;=$G15+$H15-1),2,IF(AND($C15="Milestone",GK$8&gt;=$G15,GK$8&lt;=$G15+$H15-1),1,""))</f>
        <v/>
      </c>
      <c r="GL15" s="69" t="str">
        <f ca="1">IF(AND($C15="Goal",GL$8&gt;=$G15,GL$8&lt;=$G15+$H15-1),2,IF(AND($C15="Milestone",GL$8&gt;=$G15,GL$8&lt;=$G15+$H15-1),1,""))</f>
        <v/>
      </c>
      <c r="GM15" s="69" t="str">
        <f ca="1">IF(AND($C15="Goal",GM$8&gt;=$G15,GM$8&lt;=$G15+$H15-1),2,IF(AND($C15="Milestone",GM$8&gt;=$G15,GM$8&lt;=$G15+$H15-1),1,""))</f>
        <v/>
      </c>
      <c r="GN15" s="69" t="str">
        <f ca="1">IF(AND($C15="Goal",GN$8&gt;=$G15,GN$8&lt;=$G15+$H15-1),2,IF(AND($C15="Milestone",GN$8&gt;=$G15,GN$8&lt;=$G15+$H15-1),1,""))</f>
        <v/>
      </c>
      <c r="GO15" s="69" t="str">
        <f ca="1">IF(AND($C15="Goal",GO$8&gt;=$G15,GO$8&lt;=$G15+$H15-1),2,IF(AND($C15="Milestone",GO$8&gt;=$G15,GO$8&lt;=$G15+$H15-1),1,""))</f>
        <v/>
      </c>
      <c r="GP15" s="69" t="str">
        <f ca="1">IF(AND($C15="Goal",GP$8&gt;=$G15,GP$8&lt;=$G15+$H15-1),2,IF(AND($C15="Milestone",GP$8&gt;=$G15,GP$8&lt;=$G15+$H15-1),1,""))</f>
        <v/>
      </c>
      <c r="GQ15" s="69" t="str">
        <f ca="1">IF(AND($C15="Goal",GQ$8&gt;=$G15,GQ$8&lt;=$G15+$H15-1),2,IF(AND($C15="Milestone",GQ$8&gt;=$G15,GQ$8&lt;=$G15+$H15-1),1,""))</f>
        <v/>
      </c>
      <c r="GR15" s="69" t="str">
        <f ca="1">IF(AND($C15="Goal",GR$8&gt;=$G15,GR$8&lt;=$G15+$H15-1),2,IF(AND($C15="Milestone",GR$8&gt;=$G15,GR$8&lt;=$G15+$H15-1),1,""))</f>
        <v/>
      </c>
      <c r="GS15" s="69" t="str">
        <f ca="1">IF(AND($C15="Goal",GS$8&gt;=$G15,GS$8&lt;=$G15+$H15-1),2,IF(AND($C15="Milestone",GS$8&gt;=$G15,GS$8&lt;=$G15+$H15-1),1,""))</f>
        <v/>
      </c>
      <c r="GT15" s="69" t="str">
        <f ca="1">IF(AND($C15="Goal",GT$8&gt;=$G15,GT$8&lt;=$G15+$H15-1),2,IF(AND($C15="Milestone",GT$8&gt;=$G15,GT$8&lt;=$G15+$H15-1),1,""))</f>
        <v/>
      </c>
      <c r="GU15" s="69" t="str">
        <f ca="1">IF(AND($C15="Goal",GU$8&gt;=$G15,GU$8&lt;=$G15+$H15-1),2,IF(AND($C15="Milestone",GU$8&gt;=$G15,GU$8&lt;=$G15+$H15-1),1,""))</f>
        <v/>
      </c>
      <c r="GV15" s="69" t="str">
        <f ca="1">IF(AND($C15="Goal",GV$8&gt;=$G15,GV$8&lt;=$G15+$H15-1),2,IF(AND($C15="Milestone",GV$8&gt;=$G15,GV$8&lt;=$G15+$H15-1),1,""))</f>
        <v/>
      </c>
      <c r="GW15" s="69" t="str">
        <f ca="1">IF(AND($C15="Goal",GW$8&gt;=$G15,GW$8&lt;=$G15+$H15-1),2,IF(AND($C15="Milestone",GW$8&gt;=$G15,GW$8&lt;=$G15+$H15-1),1,""))</f>
        <v/>
      </c>
      <c r="GX15" s="69" t="str">
        <f ca="1">IF(AND($C15="Goal",GX$8&gt;=$G15,GX$8&lt;=$G15+$H15-1),2,IF(AND($C15="Milestone",GX$8&gt;=$G15,GX$8&lt;=$G15+$H15-1),1,""))</f>
        <v/>
      </c>
      <c r="GY15" s="69" t="str">
        <f ca="1">IF(AND($C15="Goal",GY$8&gt;=$G15,GY$8&lt;=$G15+$H15-1),2,IF(AND($C15="Milestone",GY$8&gt;=$G15,GY$8&lt;=$G15+$H15-1),1,""))</f>
        <v/>
      </c>
      <c r="GZ15" s="69" t="str">
        <f ca="1">IF(AND($C15="Goal",GZ$8&gt;=$G15,GZ$8&lt;=$G15+$H15-1),2,IF(AND($C15="Milestone",GZ$8&gt;=$G15,GZ$8&lt;=$G15+$H15-1),1,""))</f>
        <v/>
      </c>
      <c r="HA15" s="69" t="str">
        <f ca="1">IF(AND($C15="Goal",HA$8&gt;=$G15,HA$8&lt;=$G15+$H15-1),2,IF(AND($C15="Milestone",HA$8&gt;=$G15,HA$8&lt;=$G15+$H15-1),1,""))</f>
        <v/>
      </c>
      <c r="HB15" s="69" t="str">
        <f ca="1">IF(AND($C15="Goal",HB$8&gt;=$G15,HB$8&lt;=$G15+$H15-1),2,IF(AND($C15="Milestone",HB$8&gt;=$G15,HB$8&lt;=$G15+$H15-1),1,""))</f>
        <v/>
      </c>
      <c r="HC15" s="69" t="str">
        <f ca="1">IF(AND($C15="Goal",HC$8&gt;=$G15,HC$8&lt;=$G15+$H15-1),2,IF(AND($C15="Milestone",HC$8&gt;=$G15,HC$8&lt;=$G15+$H15-1),1,""))</f>
        <v/>
      </c>
      <c r="HD15" s="69" t="str">
        <f ca="1">IF(AND($C15="Goal",HD$8&gt;=$G15,HD$8&lt;=$G15+$H15-1),2,IF(AND($C15="Milestone",HD$8&gt;=$G15,HD$8&lt;=$G15+$H15-1),1,""))</f>
        <v/>
      </c>
      <c r="HE15" s="69" t="str">
        <f ca="1">IF(AND($C15="Goal",HE$8&gt;=$G15,HE$8&lt;=$G15+$H15-1),2,IF(AND($C15="Milestone",HE$8&gt;=$G15,HE$8&lt;=$G15+$H15-1),1,""))</f>
        <v/>
      </c>
      <c r="HF15" s="69" t="str">
        <f ca="1">IF(AND($C15="Goal",HF$8&gt;=$G15,HF$8&lt;=$G15+$H15-1),2,IF(AND($C15="Milestone",HF$8&gt;=$G15,HF$8&lt;=$G15+$H15-1),1,""))</f>
        <v/>
      </c>
      <c r="HG15" s="69" t="str">
        <f ca="1">IF(AND($C15="Goal",HG$8&gt;=$G15,HG$8&lt;=$G15+$H15-1),2,IF(AND($C15="Milestone",HG$8&gt;=$G15,HG$8&lt;=$G15+$H15-1),1,""))</f>
        <v/>
      </c>
      <c r="HH15" s="69" t="str">
        <f ca="1">IF(AND($C15="Goal",HH$8&gt;=$G15,HH$8&lt;=$G15+$H15-1),2,IF(AND($C15="Milestone",HH$8&gt;=$G15,HH$8&lt;=$G15+$H15-1),1,""))</f>
        <v/>
      </c>
      <c r="HI15" s="69" t="str">
        <f ca="1">IF(AND($C15="Goal",HI$8&gt;=$G15,HI$8&lt;=$G15+$H15-1),2,IF(AND($C15="Milestone",HI$8&gt;=$G15,HI$8&lt;=$G15+$H15-1),1,""))</f>
        <v/>
      </c>
      <c r="HJ15" s="69" t="str">
        <f ca="1">IF(AND($C15="Goal",HJ$8&gt;=$G15,HJ$8&lt;=$G15+$H15-1),2,IF(AND($C15="Milestone",HJ$8&gt;=$G15,HJ$8&lt;=$G15+$H15-1),1,""))</f>
        <v/>
      </c>
      <c r="HK15" s="69" t="str">
        <f ca="1">IF(AND($C15="Goal",HK$8&gt;=$G15,HK$8&lt;=$G15+$H15-1),2,IF(AND($C15="Milestone",HK$8&gt;=$G15,HK$8&lt;=$G15+$H15-1),1,""))</f>
        <v/>
      </c>
      <c r="HL15" s="69" t="str">
        <f ca="1">IF(AND($C15="Goal",HL$8&gt;=$G15,HL$8&lt;=$G15+$H15-1),2,IF(AND($C15="Milestone",HL$8&gt;=$G15,HL$8&lt;=$G15+$H15-1),1,""))</f>
        <v/>
      </c>
      <c r="HM15" s="69" t="str">
        <f ca="1">IF(AND($C15="Goal",HM$8&gt;=$G15,HM$8&lt;=$G15+$H15-1),2,IF(AND($C15="Milestone",HM$8&gt;=$G15,HM$8&lt;=$G15+$H15-1),1,""))</f>
        <v/>
      </c>
      <c r="HN15" s="69" t="str">
        <f ca="1">IF(AND($C15="Goal",HN$8&gt;=$G15,HN$8&lt;=$G15+$H15-1),2,IF(AND($C15="Milestone",HN$8&gt;=$G15,HN$8&lt;=$G15+$H15-1),1,""))</f>
        <v/>
      </c>
      <c r="HO15" s="69" t="str">
        <f ca="1">IF(AND($C15="Goal",HO$8&gt;=$G15,HO$8&lt;=$G15+$H15-1),2,IF(AND($C15="Milestone",HO$8&gt;=$G15,HO$8&lt;=$G15+$H15-1),1,""))</f>
        <v/>
      </c>
      <c r="HP15" s="69" t="str">
        <f ca="1">IF(AND($C15="Goal",HP$8&gt;=$G15,HP$8&lt;=$G15+$H15-1),2,IF(AND($C15="Milestone",HP$8&gt;=$G15,HP$8&lt;=$G15+$H15-1),1,""))</f>
        <v/>
      </c>
      <c r="HQ15" s="69" t="str">
        <f ca="1">IF(AND($C15="Goal",HQ$8&gt;=$G15,HQ$8&lt;=$G15+$H15-1),2,IF(AND($C15="Milestone",HQ$8&gt;=$G15,HQ$8&lt;=$G15+$H15-1),1,""))</f>
        <v/>
      </c>
      <c r="HR15" s="69" t="str">
        <f ca="1">IF(AND($C15="Goal",HR$8&gt;=$G15,HR$8&lt;=$G15+$H15-1),2,IF(AND($C15="Milestone",HR$8&gt;=$G15,HR$8&lt;=$G15+$H15-1),1,""))</f>
        <v/>
      </c>
      <c r="HS15" s="69" t="str">
        <f ca="1">IF(AND($C15="Goal",HS$8&gt;=$G15,HS$8&lt;=$G15+$H15-1),2,IF(AND($C15="Milestone",HS$8&gt;=$G15,HS$8&lt;=$G15+$H15-1),1,""))</f>
        <v/>
      </c>
      <c r="HT15" s="69" t="str">
        <f ca="1">IF(AND($C15="Goal",HT$8&gt;=$G15,HT$8&lt;=$G15+$H15-1),2,IF(AND($C15="Milestone",HT$8&gt;=$G15,HT$8&lt;=$G15+$H15-1),1,""))</f>
        <v/>
      </c>
      <c r="HU15" s="69" t="str">
        <f ca="1">IF(AND($C15="Goal",HU$8&gt;=$G15,HU$8&lt;=$G15+$H15-1),2,IF(AND($C15="Milestone",HU$8&gt;=$G15,HU$8&lt;=$G15+$H15-1),1,""))</f>
        <v/>
      </c>
      <c r="HV15" s="69" t="str">
        <f ca="1">IF(AND($C15="Goal",HV$8&gt;=$G15,HV$8&lt;=$G15+$H15-1),2,IF(AND($C15="Milestone",HV$8&gt;=$G15,HV$8&lt;=$G15+$H15-1),1,""))</f>
        <v/>
      </c>
      <c r="HW15" s="69" t="str">
        <f ca="1">IF(AND($C15="Goal",HW$8&gt;=$G15,HW$8&lt;=$G15+$H15-1),2,IF(AND($C15="Milestone",HW$8&gt;=$G15,HW$8&lt;=$G15+$H15-1),1,""))</f>
        <v/>
      </c>
      <c r="HX15" s="69" t="str">
        <f ca="1">IF(AND($C15="Goal",HX$8&gt;=$G15,HX$8&lt;=$G15+$H15-1),2,IF(AND($C15="Milestone",HX$8&gt;=$G15,HX$8&lt;=$G15+$H15-1),1,""))</f>
        <v/>
      </c>
      <c r="HY15" s="69" t="str">
        <f ca="1">IF(AND($C15="Goal",HY$8&gt;=$G15,HY$8&lt;=$G15+$H15-1),2,IF(AND($C15="Milestone",HY$8&gt;=$G15,HY$8&lt;=$G15+$H15-1),1,""))</f>
        <v/>
      </c>
      <c r="HZ15" s="69" t="str">
        <f ca="1">IF(AND($C15="Goal",HZ$8&gt;=$G15,HZ$8&lt;=$G15+$H15-1),2,IF(AND($C15="Milestone",HZ$8&gt;=$G15,HZ$8&lt;=$G15+$H15-1),1,""))</f>
        <v/>
      </c>
      <c r="IA15" s="69" t="str">
        <f ca="1">IF(AND($C15="Goal",IA$8&gt;=$G15,IA$8&lt;=$G15+$H15-1),2,IF(AND($C15="Milestone",IA$8&gt;=$G15,IA$8&lt;=$G15+$H15-1),1,""))</f>
        <v/>
      </c>
      <c r="IB15" s="69" t="str">
        <f ca="1">IF(AND($C15="Goal",IB$8&gt;=$G15,IB$8&lt;=$G15+$H15-1),2,IF(AND($C15="Milestone",IB$8&gt;=$G15,IB$8&lt;=$G15+$H15-1),1,""))</f>
        <v/>
      </c>
      <c r="IC15" s="69" t="str">
        <f ca="1">IF(AND($C15="Goal",IC$8&gt;=$G15,IC$8&lt;=$G15+$H15-1),2,IF(AND($C15="Milestone",IC$8&gt;=$G15,IC$8&lt;=$G15+$H15-1),1,""))</f>
        <v/>
      </c>
      <c r="ID15" s="69" t="str">
        <f ca="1">IF(AND($C15="Goal",ID$8&gt;=$G15,ID$8&lt;=$G15+$H15-1),2,IF(AND($C15="Milestone",ID$8&gt;=$G15,ID$8&lt;=$G15+$H15-1),1,""))</f>
        <v/>
      </c>
      <c r="IE15" s="69" t="str">
        <f ca="1">IF(AND($C15="Goal",IE$8&gt;=$G15,IE$8&lt;=$G15+$H15-1),2,IF(AND($C15="Milestone",IE$8&gt;=$G15,IE$8&lt;=$G15+$H15-1),1,""))</f>
        <v/>
      </c>
      <c r="IF15" s="69" t="str">
        <f ca="1">IF(AND($C15="Goal",IF$8&gt;=$G15,IF$8&lt;=$G15+$H15-1),2,IF(AND($C15="Milestone",IF$8&gt;=$G15,IF$8&lt;=$G15+$H15-1),1,""))</f>
        <v/>
      </c>
      <c r="IG15" s="69" t="str">
        <f ca="1">IF(AND($C15="Goal",IG$8&gt;=$G15,IG$8&lt;=$G15+$H15-1),2,IF(AND($C15="Milestone",IG$8&gt;=$G15,IG$8&lt;=$G15+$H15-1),1,""))</f>
        <v/>
      </c>
      <c r="IH15" s="69" t="str">
        <f ca="1">IF(AND($C15="Goal",IH$8&gt;=$G15,IH$8&lt;=$G15+$H15-1),2,IF(AND($C15="Milestone",IH$8&gt;=$G15,IH$8&lt;=$G15+$H15-1),1,""))</f>
        <v/>
      </c>
      <c r="II15" s="69" t="str">
        <f ca="1">IF(AND($C15="Goal",II$8&gt;=$G15,II$8&lt;=$G15+$H15-1),2,IF(AND($C15="Milestone",II$8&gt;=$G15,II$8&lt;=$G15+$H15-1),1,""))</f>
        <v/>
      </c>
      <c r="IJ15" s="69" t="str">
        <f ca="1">IF(AND($C15="Goal",IJ$8&gt;=$G15,IJ$8&lt;=$G15+$H15-1),2,IF(AND($C15="Milestone",IJ$8&gt;=$G15,IJ$8&lt;=$G15+$H15-1),1,""))</f>
        <v/>
      </c>
      <c r="IK15" s="69" t="str">
        <f ca="1">IF(AND($C15="Goal",IK$8&gt;=$G15,IK$8&lt;=$G15+$H15-1),2,IF(AND($C15="Milestone",IK$8&gt;=$G15,IK$8&lt;=$G15+$H15-1),1,""))</f>
        <v/>
      </c>
      <c r="IL15" s="69" t="str">
        <f ca="1">IF(AND($C15="Goal",IL$8&gt;=$G15,IL$8&lt;=$G15+$H15-1),2,IF(AND($C15="Milestone",IL$8&gt;=$G15,IL$8&lt;=$G15+$H15-1),1,""))</f>
        <v/>
      </c>
      <c r="IM15" s="69" t="str">
        <f ca="1">IF(AND($C15="Goal",IM$8&gt;=$G15,IM$8&lt;=$G15+$H15-1),2,IF(AND($C15="Milestone",IM$8&gt;=$G15,IM$8&lt;=$G15+$H15-1),1,""))</f>
        <v/>
      </c>
      <c r="IN15" s="69" t="str">
        <f ca="1">IF(AND($C15="Goal",IN$8&gt;=$G15,IN$8&lt;=$G15+$H15-1),2,IF(AND($C15="Milestone",IN$8&gt;=$G15,IN$8&lt;=$G15+$H15-1),1,""))</f>
        <v/>
      </c>
      <c r="IO15" s="69" t="str">
        <f ca="1">IF(AND($C15="Goal",IO$8&gt;=$G15,IO$8&lt;=$G15+$H15-1),2,IF(AND($C15="Milestone",IO$8&gt;=$G15,IO$8&lt;=$G15+$H15-1),1,""))</f>
        <v/>
      </c>
      <c r="IP15" s="69" t="str">
        <f ca="1">IF(AND($C15="Goal",IP$8&gt;=$G15,IP$8&lt;=$G15+$H15-1),2,IF(AND($C15="Milestone",IP$8&gt;=$G15,IP$8&lt;=$G15+$H15-1),1,""))</f>
        <v/>
      </c>
      <c r="IQ15" s="69" t="str">
        <f ca="1">IF(AND($C15="Goal",IQ$8&gt;=$G15,IQ$8&lt;=$G15+$H15-1),2,IF(AND($C15="Milestone",IQ$8&gt;=$G15,IQ$8&lt;=$G15+$H15-1),1,""))</f>
        <v/>
      </c>
      <c r="IR15" s="69" t="str">
        <f ca="1">IF(AND($C15="Goal",IR$8&gt;=$G15,IR$8&lt;=$G15+$H15-1),2,IF(AND($C15="Milestone",IR$8&gt;=$G15,IR$8&lt;=$G15+$H15-1),1,""))</f>
        <v/>
      </c>
      <c r="IS15" s="69" t="str">
        <f ca="1">IF(AND($C15="Goal",IS$8&gt;=$G15,IS$8&lt;=$G15+$H15-1),2,IF(AND($C15="Milestone",IS$8&gt;=$G15,IS$8&lt;=$G15+$H15-1),1,""))</f>
        <v/>
      </c>
      <c r="IT15" s="69" t="str">
        <f ca="1">IF(AND($C15="Goal",IT$8&gt;=$G15,IT$8&lt;=$G15+$H15-1),2,IF(AND($C15="Milestone",IT$8&gt;=$G15,IT$8&lt;=$G15+$H15-1),1,""))</f>
        <v/>
      </c>
      <c r="IU15" s="69" t="str">
        <f ca="1">IF(AND($C15="Goal",IU$8&gt;=$G15,IU$8&lt;=$G15+$H15-1),2,IF(AND($C15="Milestone",IU$8&gt;=$G15,IU$8&lt;=$G15+$H15-1),1,""))</f>
        <v/>
      </c>
      <c r="IV15" s="69" t="str">
        <f ca="1">IF(AND($C15="Goal",IV$8&gt;=$G15,IV$8&lt;=$G15+$H15-1),2,IF(AND($C15="Milestone",IV$8&gt;=$G15,IV$8&lt;=$G15+$H15-1),1,""))</f>
        <v/>
      </c>
      <c r="IW15" s="69" t="str">
        <f ca="1">IF(AND($C15="Goal",IW$8&gt;=$G15,IW$8&lt;=$G15+$H15-1),2,IF(AND($C15="Milestone",IW$8&gt;=$G15,IW$8&lt;=$G15+$H15-1),1,""))</f>
        <v/>
      </c>
      <c r="IX15" s="69" t="str">
        <f ca="1">IF(AND($C15="Goal",IX$8&gt;=$G15,IX$8&lt;=$G15+$H15-1),2,IF(AND($C15="Milestone",IX$8&gt;=$G15,IX$8&lt;=$G15+$H15-1),1,""))</f>
        <v/>
      </c>
      <c r="IY15" s="69" t="str">
        <f ca="1">IF(AND($C15="Goal",IY$8&gt;=$G15,IY$8&lt;=$G15+$H15-1),2,IF(AND($C15="Milestone",IY$8&gt;=$G15,IY$8&lt;=$G15+$H15-1),1,""))</f>
        <v/>
      </c>
      <c r="IZ15" s="69" t="str">
        <f ca="1">IF(AND($C15="Goal",IZ$8&gt;=$G15,IZ$8&lt;=$G15+$H15-1),2,IF(AND($C15="Milestone",IZ$8&gt;=$G15,IZ$8&lt;=$G15+$H15-1),1,""))</f>
        <v/>
      </c>
      <c r="JA15" s="69" t="str">
        <f ca="1">IF(AND($C15="Goal",JA$8&gt;=$G15,JA$8&lt;=$G15+$H15-1),2,IF(AND($C15="Milestone",JA$8&gt;=$G15,JA$8&lt;=$G15+$H15-1),1,""))</f>
        <v/>
      </c>
      <c r="JB15" s="69" t="str">
        <f ca="1">IF(AND($C15="Goal",JB$8&gt;=$G15,JB$8&lt;=$G15+$H15-1),2,IF(AND($C15="Milestone",JB$8&gt;=$G15,JB$8&lt;=$G15+$H15-1),1,""))</f>
        <v/>
      </c>
      <c r="JC15" s="69" t="str">
        <f ca="1">IF(AND($C15="Goal",JC$8&gt;=$G15,JC$8&lt;=$G15+$H15-1),2,IF(AND($C15="Milestone",JC$8&gt;=$G15,JC$8&lt;=$G15+$H15-1),1,""))</f>
        <v/>
      </c>
      <c r="JD15" s="69" t="str">
        <f ca="1">IF(AND($C15="Goal",JD$8&gt;=$G15,JD$8&lt;=$G15+$H15-1),2,IF(AND($C15="Milestone",JD$8&gt;=$G15,JD$8&lt;=$G15+$H15-1),1,""))</f>
        <v/>
      </c>
      <c r="JE15" s="69" t="str">
        <f ca="1">IF(AND($C15="Goal",JE$8&gt;=$G15,JE$8&lt;=$G15+$H15-1),2,IF(AND($C15="Milestone",JE$8&gt;=$G15,JE$8&lt;=$G15+$H15-1),1,""))</f>
        <v/>
      </c>
      <c r="JF15" s="69" t="str">
        <f ca="1">IF(AND($C15="Goal",JF$8&gt;=$G15,JF$8&lt;=$G15+$H15-1),2,IF(AND($C15="Milestone",JF$8&gt;=$G15,JF$8&lt;=$G15+$H15-1),1,""))</f>
        <v/>
      </c>
      <c r="JG15" s="69" t="str">
        <f ca="1">IF(AND($C15="Goal",JG$8&gt;=$G15,JG$8&lt;=$G15+$H15-1),2,IF(AND($C15="Milestone",JG$8&gt;=$G15,JG$8&lt;=$G15+$H15-1),1,""))</f>
        <v/>
      </c>
      <c r="JH15" s="69" t="str">
        <f ca="1">IF(AND($C15="Goal",JH$8&gt;=$G15,JH$8&lt;=$G15+$H15-1),2,IF(AND($C15="Milestone",JH$8&gt;=$G15,JH$8&lt;=$G15+$H15-1),1,""))</f>
        <v/>
      </c>
      <c r="JI15" s="69" t="str">
        <f ca="1">IF(AND($C15="Goal",JI$8&gt;=$G15,JI$8&lt;=$G15+$H15-1),2,IF(AND($C15="Milestone",JI$8&gt;=$G15,JI$8&lt;=$G15+$H15-1),1,""))</f>
        <v/>
      </c>
      <c r="JJ15" s="69" t="str">
        <f ca="1">IF(AND($C15="Goal",JJ$8&gt;=$G15,JJ$8&lt;=$G15+$H15-1),2,IF(AND($C15="Milestone",JJ$8&gt;=$G15,JJ$8&lt;=$G15+$H15-1),1,""))</f>
        <v/>
      </c>
      <c r="JK15" s="69" t="str">
        <f ca="1">IF(AND($C15="Goal",JK$8&gt;=$G15,JK$8&lt;=$G15+$H15-1),2,IF(AND($C15="Milestone",JK$8&gt;=$G15,JK$8&lt;=$G15+$H15-1),1,""))</f>
        <v/>
      </c>
      <c r="JL15" s="69" t="str">
        <f ca="1">IF(AND($C15="Goal",JL$8&gt;=$G15,JL$8&lt;=$G15+$H15-1),2,IF(AND($C15="Milestone",JL$8&gt;=$G15,JL$8&lt;=$G15+$H15-1),1,""))</f>
        <v/>
      </c>
      <c r="JM15" s="69" t="str">
        <f ca="1">IF(AND($C15="Goal",JM$8&gt;=$G15,JM$8&lt;=$G15+$H15-1),2,IF(AND($C15="Milestone",JM$8&gt;=$G15,JM$8&lt;=$G15+$H15-1),1,""))</f>
        <v/>
      </c>
      <c r="JN15" s="69" t="str">
        <f ca="1">IF(AND($C15="Goal",JN$8&gt;=$G15,JN$8&lt;=$G15+$H15-1),2,IF(AND($C15="Milestone",JN$8&gt;=$G15,JN$8&lt;=$G15+$H15-1),1,""))</f>
        <v/>
      </c>
      <c r="JO15" s="69" t="str">
        <f ca="1">IF(AND($C15="Goal",JO$8&gt;=$G15,JO$8&lt;=$G15+$H15-1),2,IF(AND($C15="Milestone",JO$8&gt;=$G15,JO$8&lt;=$G15+$H15-1),1,""))</f>
        <v/>
      </c>
      <c r="JP15" s="69" t="str">
        <f ca="1">IF(AND($C15="Goal",JP$8&gt;=$G15,JP$8&lt;=$G15+$H15-1),2,IF(AND($C15="Milestone",JP$8&gt;=$G15,JP$8&lt;=$G15+$H15-1),1,""))</f>
        <v/>
      </c>
      <c r="JQ15" s="69" t="str">
        <f ca="1">IF(AND($C15="Goal",JQ$8&gt;=$G15,JQ$8&lt;=$G15+$H15-1),2,IF(AND($C15="Milestone",JQ$8&gt;=$G15,JQ$8&lt;=$G15+$H15-1),1,""))</f>
        <v/>
      </c>
      <c r="JR15" s="69" t="str">
        <f ca="1">IF(AND($C15="Goal",JR$8&gt;=$G15,JR$8&lt;=$G15+$H15-1),2,IF(AND($C15="Milestone",JR$8&gt;=$G15,JR$8&lt;=$G15+$H15-1),1,""))</f>
        <v/>
      </c>
      <c r="JS15" s="69" t="str">
        <f ca="1">IF(AND($C15="Goal",JS$8&gt;=$G15,JS$8&lt;=$G15+$H15-1),2,IF(AND($C15="Milestone",JS$8&gt;=$G15,JS$8&lt;=$G15+$H15-1),1,""))</f>
        <v/>
      </c>
      <c r="JT15" s="69" t="str">
        <f ca="1">IF(AND($C15="Goal",JT$8&gt;=$G15,JT$8&lt;=$G15+$H15-1),2,IF(AND($C15="Milestone",JT$8&gt;=$G15,JT$8&lt;=$G15+$H15-1),1,""))</f>
        <v/>
      </c>
      <c r="JU15" s="69" t="str">
        <f ca="1">IF(AND($C15="Goal",JU$8&gt;=$G15,JU$8&lt;=$G15+$H15-1),2,IF(AND($C15="Milestone",JU$8&gt;=$G15,JU$8&lt;=$G15+$H15-1),1,""))</f>
        <v/>
      </c>
      <c r="JV15" s="69" t="str">
        <f ca="1">IF(AND($C15="Goal",JV$8&gt;=$G15,JV$8&lt;=$G15+$H15-1),2,IF(AND($C15="Milestone",JV$8&gt;=$G15,JV$8&lt;=$G15+$H15-1),1,""))</f>
        <v/>
      </c>
      <c r="JW15" s="69" t="str">
        <f ca="1">IF(AND($C15="Goal",JW$8&gt;=$G15,JW$8&lt;=$G15+$H15-1),2,IF(AND($C15="Milestone",JW$8&gt;=$G15,JW$8&lt;=$G15+$H15-1),1,""))</f>
        <v/>
      </c>
      <c r="JX15" s="69" t="str">
        <f ca="1">IF(AND($C15="Goal",JX$8&gt;=$G15,JX$8&lt;=$G15+$H15-1),2,IF(AND($C15="Milestone",JX$8&gt;=$G15,JX$8&lt;=$G15+$H15-1),1,""))</f>
        <v/>
      </c>
      <c r="JY15" s="69" t="str">
        <f ca="1">IF(AND($C15="Goal",JY$8&gt;=$G15,JY$8&lt;=$G15+$H15-1),2,IF(AND($C15="Milestone",JY$8&gt;=$G15,JY$8&lt;=$G15+$H15-1),1,""))</f>
        <v/>
      </c>
      <c r="JZ15" s="69" t="str">
        <f ca="1">IF(AND($C15="Goal",JZ$8&gt;=$G15,JZ$8&lt;=$G15+$H15-1),2,IF(AND($C15="Milestone",JZ$8&gt;=$G15,JZ$8&lt;=$G15+$H15-1),1,""))</f>
        <v/>
      </c>
      <c r="KA15" s="69" t="str">
        <f ca="1">IF(AND($C15="Goal",KA$8&gt;=$G15,KA$8&lt;=$G15+$H15-1),2,IF(AND($C15="Milestone",KA$8&gt;=$G15,KA$8&lt;=$G15+$H15-1),1,""))</f>
        <v/>
      </c>
      <c r="KB15" s="69" t="str">
        <f ca="1">IF(AND($C15="Goal",KB$8&gt;=$G15,KB$8&lt;=$G15+$H15-1),2,IF(AND($C15="Milestone",KB$8&gt;=$G15,KB$8&lt;=$G15+$H15-1),1,""))</f>
        <v/>
      </c>
      <c r="KC15" s="69" t="str">
        <f ca="1">IF(AND($C15="Goal",KC$8&gt;=$G15,KC$8&lt;=$G15+$H15-1),2,IF(AND($C15="Milestone",KC$8&gt;=$G15,KC$8&lt;=$G15+$H15-1),1,""))</f>
        <v/>
      </c>
      <c r="KD15" s="69" t="str">
        <f ca="1">IF(AND($C15="Goal",KD$8&gt;=$G15,KD$8&lt;=$G15+$H15-1),2,IF(AND($C15="Milestone",KD$8&gt;=$G15,KD$8&lt;=$G15+$H15-1),1,""))</f>
        <v/>
      </c>
      <c r="KE15" s="69" t="str">
        <f ca="1">IF(AND($C15="Goal",KE$8&gt;=$G15,KE$8&lt;=$G15+$H15-1),2,IF(AND($C15="Milestone",KE$8&gt;=$G15,KE$8&lt;=$G15+$H15-1),1,""))</f>
        <v/>
      </c>
      <c r="KF15" s="69" t="str">
        <f ca="1">IF(AND($C15="Goal",KF$8&gt;=$G15,KF$8&lt;=$G15+$H15-1),2,IF(AND($C15="Milestone",KF$8&gt;=$G15,KF$8&lt;=$G15+$H15-1),1,""))</f>
        <v/>
      </c>
      <c r="KG15" s="69" t="str">
        <f ca="1">IF(AND($C15="Goal",KG$8&gt;=$G15,KG$8&lt;=$G15+$H15-1),2,IF(AND($C15="Milestone",KG$8&gt;=$G15,KG$8&lt;=$G15+$H15-1),1,""))</f>
        <v/>
      </c>
      <c r="KH15" s="69" t="str">
        <f ca="1">IF(AND($C15="Goal",KH$8&gt;=$G15,KH$8&lt;=$G15+$H15-1),2,IF(AND($C15="Milestone",KH$8&gt;=$G15,KH$8&lt;=$G15+$H15-1),1,""))</f>
        <v/>
      </c>
      <c r="KI15" s="69" t="str">
        <f ca="1">IF(AND($C15="Goal",KI$8&gt;=$G15,KI$8&lt;=$G15+$H15-1),2,IF(AND($C15="Milestone",KI$8&gt;=$G15,KI$8&lt;=$G15+$H15-1),1,""))</f>
        <v/>
      </c>
      <c r="KJ15" s="69" t="str">
        <f ca="1">IF(AND($C15="Goal",KJ$8&gt;=$G15,KJ$8&lt;=$G15+$H15-1),2,IF(AND($C15="Milestone",KJ$8&gt;=$G15,KJ$8&lt;=$G15+$H15-1),1,""))</f>
        <v/>
      </c>
      <c r="KK15" s="69" t="str">
        <f ca="1">IF(AND($C15="Goal",KK$8&gt;=$G15,KK$8&lt;=$G15+$H15-1),2,IF(AND($C15="Milestone",KK$8&gt;=$G15,KK$8&lt;=$G15+$H15-1),1,""))</f>
        <v/>
      </c>
      <c r="KL15" s="69" t="str">
        <f ca="1">IF(AND($C15="Goal",KL$8&gt;=$G15,KL$8&lt;=$G15+$H15-1),2,IF(AND($C15="Milestone",KL$8&gt;=$G15,KL$8&lt;=$G15+$H15-1),1,""))</f>
        <v/>
      </c>
      <c r="KM15" s="69" t="str">
        <f ca="1">IF(AND($C15="Goal",KM$8&gt;=$G15,KM$8&lt;=$G15+$H15-1),2,IF(AND($C15="Milestone",KM$8&gt;=$G15,KM$8&lt;=$G15+$H15-1),1,""))</f>
        <v/>
      </c>
      <c r="KN15" s="69" t="str">
        <f ca="1">IF(AND($C15="Goal",KN$8&gt;=$G15,KN$8&lt;=$G15+$H15-1),2,IF(AND($C15="Milestone",KN$8&gt;=$G15,KN$8&lt;=$G15+$H15-1),1,""))</f>
        <v/>
      </c>
      <c r="KO15" s="69" t="str">
        <f ca="1">IF(AND($C15="Goal",KO$8&gt;=$G15,KO$8&lt;=$G15+$H15-1),2,IF(AND($C15="Milestone",KO$8&gt;=$G15,KO$8&lt;=$G15+$H15-1),1,""))</f>
        <v/>
      </c>
      <c r="KP15" s="69" t="str">
        <f ca="1">IF(AND($C15="Goal",KP$8&gt;=$G15,KP$8&lt;=$G15+$H15-1),2,IF(AND($C15="Milestone",KP$8&gt;=$G15,KP$8&lt;=$G15+$H15-1),1,""))</f>
        <v/>
      </c>
      <c r="KQ15" s="69" t="str">
        <f ca="1">IF(AND($C15="Goal",KQ$8&gt;=$G15,KQ$8&lt;=$G15+$H15-1),2,IF(AND($C15="Milestone",KQ$8&gt;=$G15,KQ$8&lt;=$G15+$H15-1),1,""))</f>
        <v/>
      </c>
      <c r="KR15" s="69" t="str">
        <f ca="1">IF(AND($C15="Goal",KR$8&gt;=$G15,KR$8&lt;=$G15+$H15-1),2,IF(AND($C15="Milestone",KR$8&gt;=$G15,KR$8&lt;=$G15+$H15-1),1,""))</f>
        <v/>
      </c>
      <c r="KS15" s="69" t="str">
        <f ca="1">IF(AND($C15="Goal",KS$8&gt;=$G15,KS$8&lt;=$G15+$H15-1),2,IF(AND($C15="Milestone",KS$8&gt;=$G15,KS$8&lt;=$G15+$H15-1),1,""))</f>
        <v/>
      </c>
      <c r="KT15" s="69" t="str">
        <f ca="1">IF(AND($C15="Goal",KT$8&gt;=$G15,KT$8&lt;=$G15+$H15-1),2,IF(AND($C15="Milestone",KT$8&gt;=$G15,KT$8&lt;=$G15+$H15-1),1,""))</f>
        <v/>
      </c>
      <c r="KU15" s="69" t="str">
        <f ca="1">IF(AND($C15="Goal",KU$8&gt;=$G15,KU$8&lt;=$G15+$H15-1),2,IF(AND($C15="Milestone",KU$8&gt;=$G15,KU$8&lt;=$G15+$H15-1),1,""))</f>
        <v/>
      </c>
      <c r="KV15" s="69" t="str">
        <f ca="1">IF(AND($C15="Goal",KV$8&gt;=$G15,KV$8&lt;=$G15+$H15-1),2,IF(AND($C15="Milestone",KV$8&gt;=$G15,KV$8&lt;=$G15+$H15-1),1,""))</f>
        <v/>
      </c>
      <c r="KW15" s="69" t="str">
        <f ca="1">IF(AND($C15="Goal",KW$8&gt;=$G15,KW$8&lt;=$G15+$H15-1),2,IF(AND($C15="Milestone",KW$8&gt;=$G15,KW$8&lt;=$G15+$H15-1),1,""))</f>
        <v/>
      </c>
      <c r="KX15" s="69" t="str">
        <f ca="1">IF(AND($C15="Goal",KX$8&gt;=$G15,KX$8&lt;=$G15+$H15-1),2,IF(AND($C15="Milestone",KX$8&gt;=$G15,KX$8&lt;=$G15+$H15-1),1,""))</f>
        <v/>
      </c>
      <c r="KY15" s="69" t="str">
        <f ca="1">IF(AND($C15="Goal",KY$8&gt;=$G15,KY$8&lt;=$G15+$H15-1),2,IF(AND($C15="Milestone",KY$8&gt;=$G15,KY$8&lt;=$G15+$H15-1),1,""))</f>
        <v/>
      </c>
      <c r="KZ15" s="69" t="str">
        <f ca="1">IF(AND($C15="Goal",KZ$8&gt;=$G15,KZ$8&lt;=$G15+$H15-1),2,IF(AND($C15="Milestone",KZ$8&gt;=$G15,KZ$8&lt;=$G15+$H15-1),1,""))</f>
        <v/>
      </c>
      <c r="LA15" s="69" t="str">
        <f ca="1">IF(AND($C15="Goal",LA$8&gt;=$G15,LA$8&lt;=$G15+$H15-1),2,IF(AND($C15="Milestone",LA$8&gt;=$G15,LA$8&lt;=$G15+$H15-1),1,""))</f>
        <v/>
      </c>
      <c r="LB15" s="69" t="str">
        <f ca="1">IF(AND($C15="Goal",LB$8&gt;=$G15,LB$8&lt;=$G15+$H15-1),2,IF(AND($C15="Milestone",LB$8&gt;=$G15,LB$8&lt;=$G15+$H15-1),1,""))</f>
        <v/>
      </c>
      <c r="LC15" s="69" t="str">
        <f ca="1">IF(AND($C15="Goal",LC$8&gt;=$G15,LC$8&lt;=$G15+$H15-1),2,IF(AND($C15="Milestone",LC$8&gt;=$G15,LC$8&lt;=$G15+$H15-1),1,""))</f>
        <v/>
      </c>
      <c r="LD15" s="69" t="str">
        <f ca="1">IF(AND($C15="Goal",LD$8&gt;=$G15,LD$8&lt;=$G15+$H15-1),2,IF(AND($C15="Milestone",LD$8&gt;=$G15,LD$8&lt;=$G15+$H15-1),1,""))</f>
        <v/>
      </c>
      <c r="LE15" s="69" t="str">
        <f ca="1">IF(AND($C15="Goal",LE$8&gt;=$G15,LE$8&lt;=$G15+$H15-1),2,IF(AND($C15="Milestone",LE$8&gt;=$G15,LE$8&lt;=$G15+$H15-1),1,""))</f>
        <v/>
      </c>
      <c r="LF15" s="69" t="str">
        <f ca="1">IF(AND($C15="Goal",LF$8&gt;=$G15,LF$8&lt;=$G15+$H15-1),2,IF(AND($C15="Milestone",LF$8&gt;=$G15,LF$8&lt;=$G15+$H15-1),1,""))</f>
        <v/>
      </c>
      <c r="LG15" s="69" t="str">
        <f ca="1">IF(AND($C15="Goal",LG$8&gt;=$G15,LG$8&lt;=$G15+$H15-1),2,IF(AND($C15="Milestone",LG$8&gt;=$G15,LG$8&lt;=$G15+$H15-1),1,""))</f>
        <v/>
      </c>
      <c r="LH15" s="69" t="str">
        <f ca="1">IF(AND($C15="Goal",LH$8&gt;=$G15,LH$8&lt;=$G15+$H15-1),2,IF(AND($C15="Milestone",LH$8&gt;=$G15,LH$8&lt;=$G15+$H15-1),1,""))</f>
        <v/>
      </c>
      <c r="LI15" s="69" t="str">
        <f ca="1">IF(AND($C15="Goal",LI$8&gt;=$G15,LI$8&lt;=$G15+$H15-1),2,IF(AND($C15="Milestone",LI$8&gt;=$G15,LI$8&lt;=$G15+$H15-1),1,""))</f>
        <v/>
      </c>
      <c r="LJ15" s="69" t="str">
        <f ca="1">IF(AND($C15="Goal",LJ$8&gt;=$G15,LJ$8&lt;=$G15+$H15-1),2,IF(AND($C15="Milestone",LJ$8&gt;=$G15,LJ$8&lt;=$G15+$H15-1),1,""))</f>
        <v/>
      </c>
      <c r="LK15" s="69" t="str">
        <f ca="1">IF(AND($C15="Goal",LK$8&gt;=$G15,LK$8&lt;=$G15+$H15-1),2,IF(AND($C15="Milestone",LK$8&gt;=$G15,LK$8&lt;=$G15+$H15-1),1,""))</f>
        <v/>
      </c>
      <c r="LL15" s="69" t="str">
        <f ca="1">IF(AND($C15="Goal",LL$8&gt;=$G15,LL$8&lt;=$G15+$H15-1),2,IF(AND($C15="Milestone",LL$8&gt;=$G15,LL$8&lt;=$G15+$H15-1),1,""))</f>
        <v/>
      </c>
      <c r="LM15" s="69" t="str">
        <f ca="1">IF(AND($C15="Goal",LM$8&gt;=$G15,LM$8&lt;=$G15+$H15-1),2,IF(AND($C15="Milestone",LM$8&gt;=$G15,LM$8&lt;=$G15+$H15-1),1,""))</f>
        <v/>
      </c>
      <c r="LN15" s="69" t="str">
        <f ca="1">IF(AND($C15="Goal",LN$8&gt;=$G15,LN$8&lt;=$G15+$H15-1),2,IF(AND($C15="Milestone",LN$8&gt;=$G15,LN$8&lt;=$G15+$H15-1),1,""))</f>
        <v/>
      </c>
      <c r="LO15" s="69" t="str">
        <f ca="1">IF(AND($C15="Goal",LO$8&gt;=$G15,LO$8&lt;=$G15+$H15-1),2,IF(AND($C15="Milestone",LO$8&gt;=$G15,LO$8&lt;=$G15+$H15-1),1,""))</f>
        <v/>
      </c>
      <c r="LP15" s="69" t="str">
        <f ca="1">IF(AND($C15="Goal",LP$8&gt;=$G15,LP$8&lt;=$G15+$H15-1),2,IF(AND($C15="Milestone",LP$8&gt;=$G15,LP$8&lt;=$G15+$H15-1),1,""))</f>
        <v/>
      </c>
      <c r="LQ15" s="69" t="str">
        <f ca="1">IF(AND($C15="Goal",LQ$8&gt;=$G15,LQ$8&lt;=$G15+$H15-1),2,IF(AND($C15="Milestone",LQ$8&gt;=$G15,LQ$8&lt;=$G15+$H15-1),1,""))</f>
        <v/>
      </c>
      <c r="LR15" s="69" t="str">
        <f ca="1">IF(AND($C15="Goal",LR$8&gt;=$G15,LR$8&lt;=$G15+$H15-1),2,IF(AND($C15="Milestone",LR$8&gt;=$G15,LR$8&lt;=$G15+$H15-1),1,""))</f>
        <v/>
      </c>
      <c r="LS15" s="69" t="str">
        <f ca="1">IF(AND($C15="Goal",LS$8&gt;=$G15,LS$8&lt;=$G15+$H15-1),2,IF(AND($C15="Milestone",LS$8&gt;=$G15,LS$8&lt;=$G15+$H15-1),1,""))</f>
        <v/>
      </c>
      <c r="LT15" s="69" t="str">
        <f ca="1">IF(AND($C15="Goal",LT$8&gt;=$G15,LT$8&lt;=$G15+$H15-1),2,IF(AND($C15="Milestone",LT$8&gt;=$G15,LT$8&lt;=$G15+$H15-1),1,""))</f>
        <v/>
      </c>
      <c r="LU15" s="69" t="str">
        <f ca="1">IF(AND($C15="Goal",LU$8&gt;=$G15,LU$8&lt;=$G15+$H15-1),2,IF(AND($C15="Milestone",LU$8&gt;=$G15,LU$8&lt;=$G15+$H15-1),1,""))</f>
        <v/>
      </c>
      <c r="LV15" s="69" t="str">
        <f ca="1">IF(AND($C15="Goal",LV$8&gt;=$G15,LV$8&lt;=$G15+$H15-1),2,IF(AND($C15="Milestone",LV$8&gt;=$G15,LV$8&lt;=$G15+$H15-1),1,""))</f>
        <v/>
      </c>
      <c r="LW15" s="69" t="str">
        <f ca="1">IF(AND($C15="Goal",LW$8&gt;=$G15,LW$8&lt;=$G15+$H15-1),2,IF(AND($C15="Milestone",LW$8&gt;=$G15,LW$8&lt;=$G15+$H15-1),1,""))</f>
        <v/>
      </c>
      <c r="LX15" s="69" t="str">
        <f ca="1">IF(AND($C15="Goal",LX$8&gt;=$G15,LX$8&lt;=$G15+$H15-1),2,IF(AND($C15="Milestone",LX$8&gt;=$G15,LX$8&lt;=$G15+$H15-1),1,""))</f>
        <v/>
      </c>
    </row>
    <row r="16" spans="1:336" s="54" customFormat="1" ht="14.85" hidden="1" x14ac:dyDescent="0.25">
      <c r="A16" s="52"/>
      <c r="B16" s="47"/>
      <c r="C16" s="58"/>
      <c r="D16" s="58" t="str">
        <f ca="1">IF(G16="","",
IF(G16+Milestones4352[[#This Row],[Days]]="","",
IF(OR(F16=1,F16=100%),"Complete",
CHOOSE(
  1
  + --(((1-IF(F16&gt;1,F16/100,F16))*POWER(2.718281828,(60-MAX(0,G16+Milestones4352[[#This Row],[Days]]-TODAY()))/12))&gt;=0.6)
  + --(((1-IF(F16&gt;1,F16/100,F16))*POWER(2.718281828,(60-MAX(0,G16+Milestones4352[[#This Row],[Days]]-TODAY()))/12))&gt;=1.2)
  + --(((1-IF(F16&gt;1,F16/100,F16))*POWER(2.718281828,(60-MAX(0,G16+Milestones4352[[#This Row],[Days]]-TODAY()))/12))&gt;=2),
  "On track","Low risk","Medium risk","High risk"
))))</f>
        <v/>
      </c>
      <c r="E16" s="58"/>
      <c r="F16" s="56"/>
      <c r="G16" s="71"/>
      <c r="H16" s="57"/>
      <c r="I16" s="57" t="str">
        <f t="shared" si="207"/>
        <v/>
      </c>
      <c r="J16" s="12" t="str">
        <f ca="1">IF(OR(Milestones4352[[#This Row],[Start]]="",Milestones4352[[#This Row],[Days]]=""),"",(Milestones4352[[#This Row],[Start]]+Milestones4352[[#This Row],[Days]])-TODAY())</f>
        <v/>
      </c>
      <c r="K16" s="53"/>
      <c r="L16" s="69" t="str">
        <f ca="1">IF(AND($C16="Goal",L$8&gt;=$G16,L$8&lt;=$G16+$H16-1),2,IF(AND($C16="Milestone",L$8&gt;=$G16,L$8&lt;=$G16+$H16-1),1,""))</f>
        <v/>
      </c>
      <c r="M16" s="69" t="str">
        <f ca="1">IF(AND($C16="Goal",M$8&gt;=$G16,M$8&lt;=$G16+$H16-1),2,IF(AND($C16="Milestone",M$8&gt;=$G16,M$8&lt;=$G16+$H16-1),1,""))</f>
        <v/>
      </c>
      <c r="N16" s="69" t="str">
        <f ca="1">IF(AND($C16="Goal",N$8&gt;=$G16,N$8&lt;=$G16+$H16-1),2,IF(AND($C16="Milestone",N$8&gt;=$G16,N$8&lt;=$G16+$H16-1),1,""))</f>
        <v/>
      </c>
      <c r="O16" s="69" t="str">
        <f ca="1">IF(AND($C16="Goal",O$8&gt;=$G16,O$8&lt;=$G16+$H16-1),2,IF(AND($C16="Milestone",O$8&gt;=$G16,O$8&lt;=$G16+$H16-1),1,""))</f>
        <v/>
      </c>
      <c r="P16" s="69" t="str">
        <f ca="1">IF(AND($C16="Goal",P$8&gt;=$G16,P$8&lt;=$G16+$H16-1),2,IF(AND($C16="Milestone",P$8&gt;=$G16,P$8&lt;=$G16+$H16-1),1,""))</f>
        <v/>
      </c>
      <c r="Q16" s="69" t="str">
        <f ca="1">IF(AND($C16="Goal",Q$8&gt;=$G16,Q$8&lt;=$G16+$H16-1),2,IF(AND($C16="Milestone",Q$8&gt;=$G16,Q$8&lt;=$G16+$H16-1),1,""))</f>
        <v/>
      </c>
      <c r="R16" s="69" t="str">
        <f ca="1">IF(AND($C16="Goal",R$8&gt;=$G16,R$8&lt;=$G16+$H16-1),2,IF(AND($C16="Milestone",R$8&gt;=$G16,R$8&lt;=$G16+$H16-1),1,""))</f>
        <v/>
      </c>
      <c r="S16" s="69" t="str">
        <f ca="1">IF(AND($C16="Goal",S$8&gt;=$G16,S$8&lt;=$G16+$H16-1),2,IF(AND($C16="Milestone",S$8&gt;=$G16,S$8&lt;=$G16+$H16-1),1,""))</f>
        <v/>
      </c>
      <c r="T16" s="69" t="str">
        <f ca="1">IF(AND($C16="Goal",T$8&gt;=$G16,T$8&lt;=$G16+$H16-1),2,IF(AND($C16="Milestone",T$8&gt;=$G16,T$8&lt;=$G16+$H16-1),1,""))</f>
        <v/>
      </c>
      <c r="U16" s="69" t="str">
        <f ca="1">IF(AND($C16="Goal",U$8&gt;=$G16,U$8&lt;=$G16+$H16-1),2,IF(AND($C16="Milestone",U$8&gt;=$G16,U$8&lt;=$G16+$H16-1),1,""))</f>
        <v/>
      </c>
      <c r="V16" s="69" t="str">
        <f ca="1">IF(AND($C16="Goal",V$8&gt;=$G16,V$8&lt;=$G16+$H16-1),2,IF(AND($C16="Milestone",V$8&gt;=$G16,V$8&lt;=$G16+$H16-1),1,""))</f>
        <v/>
      </c>
      <c r="W16" s="69" t="str">
        <f ca="1">IF(AND($C16="Goal",W$8&gt;=$G16,W$8&lt;=$G16+$H16-1),2,IF(AND($C16="Milestone",W$8&gt;=$G16,W$8&lt;=$G16+$H16-1),1,""))</f>
        <v/>
      </c>
      <c r="X16" s="69" t="str">
        <f ca="1">IF(AND($C16="Goal",X$8&gt;=$G16,X$8&lt;=$G16+$H16-1),2,IF(AND($C16="Milestone",X$8&gt;=$G16,X$8&lt;=$G16+$H16-1),1,""))</f>
        <v/>
      </c>
      <c r="Y16" s="69" t="str">
        <f ca="1">IF(AND($C16="Goal",Y$8&gt;=$G16,Y$8&lt;=$G16+$H16-1),2,IF(AND($C16="Milestone",Y$8&gt;=$G16,Y$8&lt;=$G16+$H16-1),1,""))</f>
        <v/>
      </c>
      <c r="Z16" s="69" t="str">
        <f ca="1">IF(AND($C16="Goal",Z$8&gt;=$G16,Z$8&lt;=$G16+$H16-1),2,IF(AND($C16="Milestone",Z$8&gt;=$G16,Z$8&lt;=$G16+$H16-1),1,""))</f>
        <v/>
      </c>
      <c r="AA16" s="69" t="str">
        <f ca="1">IF(AND($C16="Goal",AA$8&gt;=$G16,AA$8&lt;=$G16+$H16-1),2,IF(AND($C16="Milestone",AA$8&gt;=$G16,AA$8&lt;=$G16+$H16-1),1,""))</f>
        <v/>
      </c>
      <c r="AB16" s="69" t="str">
        <f ca="1">IF(AND($C16="Goal",AB$8&gt;=$G16,AB$8&lt;=$G16+$H16-1),2,IF(AND($C16="Milestone",AB$8&gt;=$G16,AB$8&lt;=$G16+$H16-1),1,""))</f>
        <v/>
      </c>
      <c r="AC16" s="69" t="str">
        <f ca="1">IF(AND($C16="Goal",AC$8&gt;=$G16,AC$8&lt;=$G16+$H16-1),2,IF(AND($C16="Milestone",AC$8&gt;=$G16,AC$8&lt;=$G16+$H16-1),1,""))</f>
        <v/>
      </c>
      <c r="AD16" s="69" t="str">
        <f ca="1">IF(AND($C16="Goal",AD$8&gt;=$G16,AD$8&lt;=$G16+$H16-1),2,IF(AND($C16="Milestone",AD$8&gt;=$G16,AD$8&lt;=$G16+$H16-1),1,""))</f>
        <v/>
      </c>
      <c r="AE16" s="69" t="str">
        <f ca="1">IF(AND($C16="Goal",AE$8&gt;=$G16,AE$8&lt;=$G16+$H16-1),2,IF(AND($C16="Milestone",AE$8&gt;=$G16,AE$8&lt;=$G16+$H16-1),1,""))</f>
        <v/>
      </c>
      <c r="AF16" s="69" t="str">
        <f ca="1">IF(AND($C16="Goal",AF$8&gt;=$G16,AF$8&lt;=$G16+$H16-1),2,IF(AND($C16="Milestone",AF$8&gt;=$G16,AF$8&lt;=$G16+$H16-1),1,""))</f>
        <v/>
      </c>
      <c r="AG16" s="69" t="str">
        <f ca="1">IF(AND($C16="Goal",AG$8&gt;=$G16,AG$8&lt;=$G16+$H16-1),2,IF(AND($C16="Milestone",AG$8&gt;=$G16,AG$8&lt;=$G16+$H16-1),1,""))</f>
        <v/>
      </c>
      <c r="AH16" s="69" t="str">
        <f ca="1">IF(AND($C16="Goal",AH$8&gt;=$G16,AH$8&lt;=$G16+$H16-1),2,IF(AND($C16="Milestone",AH$8&gt;=$G16,AH$8&lt;=$G16+$H16-1),1,""))</f>
        <v/>
      </c>
      <c r="AI16" s="69" t="str">
        <f ca="1">IF(AND($C16="Goal",AI$8&gt;=$G16,AI$8&lt;=$G16+$H16-1),2,IF(AND($C16="Milestone",AI$8&gt;=$G16,AI$8&lt;=$G16+$H16-1),1,""))</f>
        <v/>
      </c>
      <c r="AJ16" s="69" t="str">
        <f ca="1">IF(AND($C16="Goal",AJ$8&gt;=$G16,AJ$8&lt;=$G16+$H16-1),2,IF(AND($C16="Milestone",AJ$8&gt;=$G16,AJ$8&lt;=$G16+$H16-1),1,""))</f>
        <v/>
      </c>
      <c r="AK16" s="69" t="str">
        <f ca="1">IF(AND($C16="Goal",AK$8&gt;=$G16,AK$8&lt;=$G16+$H16-1),2,IF(AND($C16="Milestone",AK$8&gt;=$G16,AK$8&lt;=$G16+$H16-1),1,""))</f>
        <v/>
      </c>
      <c r="AL16" s="69" t="str">
        <f ca="1">IF(AND($C16="Goal",AL$8&gt;=$G16,AL$8&lt;=$G16+$H16-1),2,IF(AND($C16="Milestone",AL$8&gt;=$G16,AL$8&lt;=$G16+$H16-1),1,""))</f>
        <v/>
      </c>
      <c r="AM16" s="69" t="str">
        <f ca="1">IF(AND($C16="Goal",AM$8&gt;=$G16,AM$8&lt;=$G16+$H16-1),2,IF(AND($C16="Milestone",AM$8&gt;=$G16,AM$8&lt;=$G16+$H16-1),1,""))</f>
        <v/>
      </c>
      <c r="AN16" s="69" t="str">
        <f ca="1">IF(AND($C16="Goal",AN$8&gt;=$G16,AN$8&lt;=$G16+$H16-1),2,IF(AND($C16="Milestone",AN$8&gt;=$G16,AN$8&lt;=$G16+$H16-1),1,""))</f>
        <v/>
      </c>
      <c r="AO16" s="69" t="str">
        <f ca="1">IF(AND($C16="Goal",AO$8&gt;=$G16,AO$8&lt;=$G16+$H16-1),2,IF(AND($C16="Milestone",AO$8&gt;=$G16,AO$8&lt;=$G16+$H16-1),1,""))</f>
        <v/>
      </c>
      <c r="AP16" s="69" t="str">
        <f ca="1">IF(AND($C16="Goal",AP$8&gt;=$G16,AP$8&lt;=$G16+$H16-1),2,IF(AND($C16="Milestone",AP$8&gt;=$G16,AP$8&lt;=$G16+$H16-1),1,""))</f>
        <v/>
      </c>
      <c r="AQ16" s="69" t="str">
        <f ca="1">IF(AND($C16="Goal",AQ$8&gt;=$G16,AQ$8&lt;=$G16+$H16-1),2,IF(AND($C16="Milestone",AQ$8&gt;=$G16,AQ$8&lt;=$G16+$H16-1),1,""))</f>
        <v/>
      </c>
      <c r="AR16" s="69" t="str">
        <f ca="1">IF(AND($C16="Goal",AR$8&gt;=$G16,AR$8&lt;=$G16+$H16-1),2,IF(AND($C16="Milestone",AR$8&gt;=$G16,AR$8&lt;=$G16+$H16-1),1,""))</f>
        <v/>
      </c>
      <c r="AS16" s="69" t="str">
        <f ca="1">IF(AND($C16="Goal",AS$8&gt;=$G16,AS$8&lt;=$G16+$H16-1),2,IF(AND($C16="Milestone",AS$8&gt;=$G16,AS$8&lt;=$G16+$H16-1),1,""))</f>
        <v/>
      </c>
      <c r="AT16" s="69" t="str">
        <f ca="1">IF(AND($C16="Goal",AT$8&gt;=$G16,AT$8&lt;=$G16+$H16-1),2,IF(AND($C16="Milestone",AT$8&gt;=$G16,AT$8&lt;=$G16+$H16-1),1,""))</f>
        <v/>
      </c>
      <c r="AU16" s="69" t="str">
        <f ca="1">IF(AND($C16="Goal",AU$8&gt;=$G16,AU$8&lt;=$G16+$H16-1),2,IF(AND($C16="Milestone",AU$8&gt;=$G16,AU$8&lt;=$G16+$H16-1),1,""))</f>
        <v/>
      </c>
      <c r="AV16" s="69" t="str">
        <f ca="1">IF(AND($C16="Goal",AV$8&gt;=$G16,AV$8&lt;=$G16+$H16-1),2,IF(AND($C16="Milestone",AV$8&gt;=$G16,AV$8&lt;=$G16+$H16-1),1,""))</f>
        <v/>
      </c>
      <c r="AW16" s="69" t="str">
        <f ca="1">IF(AND($C16="Goal",AW$8&gt;=$G16,AW$8&lt;=$G16+$H16-1),2,IF(AND($C16="Milestone",AW$8&gt;=$G16,AW$8&lt;=$G16+$H16-1),1,""))</f>
        <v/>
      </c>
      <c r="AX16" s="69" t="str">
        <f ca="1">IF(AND($C16="Goal",AX$8&gt;=$G16,AX$8&lt;=$G16+$H16-1),2,IF(AND($C16="Milestone",AX$8&gt;=$G16,AX$8&lt;=$G16+$H16-1),1,""))</f>
        <v/>
      </c>
      <c r="AY16" s="69" t="str">
        <f ca="1">IF(AND($C16="Goal",AY$8&gt;=$G16,AY$8&lt;=$G16+$H16-1),2,IF(AND($C16="Milestone",AY$8&gt;=$G16,AY$8&lt;=$G16+$H16-1),1,""))</f>
        <v/>
      </c>
      <c r="AZ16" s="69" t="str">
        <f ca="1">IF(AND($C16="Goal",AZ$8&gt;=$G16,AZ$8&lt;=$G16+$H16-1),2,IF(AND($C16="Milestone",AZ$8&gt;=$G16,AZ$8&lt;=$G16+$H16-1),1,""))</f>
        <v/>
      </c>
      <c r="BA16" s="69" t="str">
        <f ca="1">IF(AND($C16="Goal",BA$8&gt;=$G16,BA$8&lt;=$G16+$H16-1),2,IF(AND($C16="Milestone",BA$8&gt;=$G16,BA$8&lt;=$G16+$H16-1),1,""))</f>
        <v/>
      </c>
      <c r="BB16" s="69" t="str">
        <f ca="1">IF(AND($C16="Goal",BB$8&gt;=$G16,BB$8&lt;=$G16+$H16-1),2,IF(AND($C16="Milestone",BB$8&gt;=$G16,BB$8&lt;=$G16+$H16-1),1,""))</f>
        <v/>
      </c>
      <c r="BC16" s="69" t="str">
        <f ca="1">IF(AND($C16="Goal",BC$8&gt;=$G16,BC$8&lt;=$G16+$H16-1),2,IF(AND($C16="Milestone",BC$8&gt;=$G16,BC$8&lt;=$G16+$H16-1),1,""))</f>
        <v/>
      </c>
      <c r="BD16" s="69" t="str">
        <f ca="1">IF(AND($C16="Goal",BD$8&gt;=$G16,BD$8&lt;=$G16+$H16-1),2,IF(AND($C16="Milestone",BD$8&gt;=$G16,BD$8&lt;=$G16+$H16-1),1,""))</f>
        <v/>
      </c>
      <c r="BE16" s="69" t="str">
        <f ca="1">IF(AND($C16="Goal",BE$8&gt;=$G16,BE$8&lt;=$G16+$H16-1),2,IF(AND($C16="Milestone",BE$8&gt;=$G16,BE$8&lt;=$G16+$H16-1),1,""))</f>
        <v/>
      </c>
      <c r="BF16" s="69" t="str">
        <f ca="1">IF(AND($C16="Goal",BF$8&gt;=$G16,BF$8&lt;=$G16+$H16-1),2,IF(AND($C16="Milestone",BF$8&gt;=$G16,BF$8&lt;=$G16+$H16-1),1,""))</f>
        <v/>
      </c>
      <c r="BG16" s="69" t="str">
        <f ca="1">IF(AND($C16="Goal",BG$8&gt;=$G16,BG$8&lt;=$G16+$H16-1),2,IF(AND($C16="Milestone",BG$8&gt;=$G16,BG$8&lt;=$G16+$H16-1),1,""))</f>
        <v/>
      </c>
      <c r="BH16" s="69" t="str">
        <f ca="1">IF(AND($C16="Goal",BH$8&gt;=$G16,BH$8&lt;=$G16+$H16-1),2,IF(AND($C16="Milestone",BH$8&gt;=$G16,BH$8&lt;=$G16+$H16-1),1,""))</f>
        <v/>
      </c>
      <c r="BI16" s="69" t="str">
        <f ca="1">IF(AND($C16="Goal",BI$8&gt;=$G16,BI$8&lt;=$G16+$H16-1),2,IF(AND($C16="Milestone",BI$8&gt;=$G16,BI$8&lt;=$G16+$H16-1),1,""))</f>
        <v/>
      </c>
      <c r="BJ16" s="69" t="str">
        <f ca="1">IF(AND($C16="Goal",BJ$8&gt;=$G16,BJ$8&lt;=$G16+$H16-1),2,IF(AND($C16="Milestone",BJ$8&gt;=$G16,BJ$8&lt;=$G16+$H16-1),1,""))</f>
        <v/>
      </c>
      <c r="BK16" s="69" t="str">
        <f ca="1">IF(AND($C16="Goal",BK$8&gt;=$G16,BK$8&lt;=$G16+$H16-1),2,IF(AND($C16="Milestone",BK$8&gt;=$G16,BK$8&lt;=$G16+$H16-1),1,""))</f>
        <v/>
      </c>
      <c r="BL16" s="69" t="str">
        <f ca="1">IF(AND($C16="Goal",BL$8&gt;=$G16,BL$8&lt;=$G16+$H16-1),2,IF(AND($C16="Milestone",BL$8&gt;=$G16,BL$8&lt;=$G16+$H16-1),1,""))</f>
        <v/>
      </c>
      <c r="BM16" s="69" t="str">
        <f ca="1">IF(AND($C16="Goal",BM$8&gt;=$G16,BM$8&lt;=$G16+$H16-1),2,IF(AND($C16="Milestone",BM$8&gt;=$G16,BM$8&lt;=$G16+$H16-1),1,""))</f>
        <v/>
      </c>
      <c r="BN16" s="69" t="str">
        <f ca="1">IF(AND($C16="Goal",BN$8&gt;=$G16,BN$8&lt;=$G16+$H16-1),2,IF(AND($C16="Milestone",BN$8&gt;=$G16,BN$8&lt;=$G16+$H16-1),1,""))</f>
        <v/>
      </c>
      <c r="BO16" s="69" t="str">
        <f ca="1">IF(AND($C16="Goal",BO$8&gt;=$G16,BO$8&lt;=$G16+$H16-1),2,IF(AND($C16="Milestone",BO$8&gt;=$G16,BO$8&lt;=$G16+$H16-1),1,""))</f>
        <v/>
      </c>
      <c r="BP16" s="69" t="str">
        <f ca="1">IF(AND($C16="Goal",BP$8&gt;=$G16,BP$8&lt;=$G16+$H16-1),2,IF(AND($C16="Milestone",BP$8&gt;=$G16,BP$8&lt;=$G16+$H16-1),1,""))</f>
        <v/>
      </c>
      <c r="BQ16" s="69" t="str">
        <f ca="1">IF(AND($C16="Goal",BQ$8&gt;=$G16,BQ$8&lt;=$G16+$H16-1),2,IF(AND($C16="Milestone",BQ$8&gt;=$G16,BQ$8&lt;=$G16+$H16-1),1,""))</f>
        <v/>
      </c>
      <c r="BR16" s="69" t="str">
        <f ca="1">IF(AND($C16="Goal",BR$8&gt;=$G16,BR$8&lt;=$G16+$H16-1),2,IF(AND($C16="Milestone",BR$8&gt;=$G16,BR$8&lt;=$G16+$H16-1),1,""))</f>
        <v/>
      </c>
      <c r="BS16" s="69" t="str">
        <f ca="1">IF(AND($C16="Goal",BS$8&gt;=$G16,BS$8&lt;=$G16+$H16-1),2,IF(AND($C16="Milestone",BS$8&gt;=$G16,BS$8&lt;=$G16+$H16-1),1,""))</f>
        <v/>
      </c>
      <c r="BT16" s="69" t="str">
        <f ca="1">IF(AND($C16="Goal",BT$8&gt;=$G16,BT$8&lt;=$G16+$H16-1),2,IF(AND($C16="Milestone",BT$8&gt;=$G16,BT$8&lt;=$G16+$H16-1),1,""))</f>
        <v/>
      </c>
      <c r="BU16" s="69" t="str">
        <f ca="1">IF(AND($C16="Goal",BU$8&gt;=$G16,BU$8&lt;=$G16+$H16-1),2,IF(AND($C16="Milestone",BU$8&gt;=$G16,BU$8&lt;=$G16+$H16-1),1,""))</f>
        <v/>
      </c>
      <c r="BV16" s="69" t="str">
        <f ca="1">IF(AND($C16="Goal",BV$8&gt;=$G16,BV$8&lt;=$G16+$H16-1),2,IF(AND($C16="Milestone",BV$8&gt;=$G16,BV$8&lt;=$G16+$H16-1),1,""))</f>
        <v/>
      </c>
      <c r="BW16" s="69" t="str">
        <f ca="1">IF(AND($C16="Goal",BW$8&gt;=$G16,BW$8&lt;=$G16+$H16-1),2,IF(AND($C16="Milestone",BW$8&gt;=$G16,BW$8&lt;=$G16+$H16-1),1,""))</f>
        <v/>
      </c>
      <c r="BX16" s="69" t="str">
        <f ca="1">IF(AND($C16="Goal",BX$8&gt;=$G16,BX$8&lt;=$G16+$H16-1),2,IF(AND($C16="Milestone",BX$8&gt;=$G16,BX$8&lt;=$G16+$H16-1),1,""))</f>
        <v/>
      </c>
      <c r="BY16" s="69" t="str">
        <f ca="1">IF(AND($C16="Goal",BY$8&gt;=$G16,BY$8&lt;=$G16+$H16-1),2,IF(AND($C16="Milestone",BY$8&gt;=$G16,BY$8&lt;=$G16+$H16-1),1,""))</f>
        <v/>
      </c>
      <c r="BZ16" s="69" t="str">
        <f ca="1">IF(AND($C16="Goal",BZ$8&gt;=$G16,BZ$8&lt;=$G16+$H16-1),2,IF(AND($C16="Milestone",BZ$8&gt;=$G16,BZ$8&lt;=$G16+$H16-1),1,""))</f>
        <v/>
      </c>
      <c r="CA16" s="69" t="str">
        <f ca="1">IF(AND($C16="Goal",CA$8&gt;=$G16,CA$8&lt;=$G16+$H16-1),2,IF(AND($C16="Milestone",CA$8&gt;=$G16,CA$8&lt;=$G16+$H16-1),1,""))</f>
        <v/>
      </c>
      <c r="CB16" s="69" t="str">
        <f ca="1">IF(AND($C16="Goal",CB$8&gt;=$G16,CB$8&lt;=$G16+$H16-1),2,IF(AND($C16="Milestone",CB$8&gt;=$G16,CB$8&lt;=$G16+$H16-1),1,""))</f>
        <v/>
      </c>
      <c r="CC16" s="69" t="str">
        <f ca="1">IF(AND($C16="Goal",CC$8&gt;=$G16,CC$8&lt;=$G16+$H16-1),2,IF(AND($C16="Milestone",CC$8&gt;=$G16,CC$8&lt;=$G16+$H16-1),1,""))</f>
        <v/>
      </c>
      <c r="CD16" s="69" t="str">
        <f ca="1">IF(AND($C16="Goal",CD$8&gt;=$G16,CD$8&lt;=$G16+$H16-1),2,IF(AND($C16="Milestone",CD$8&gt;=$G16,CD$8&lt;=$G16+$H16-1),1,""))</f>
        <v/>
      </c>
      <c r="CE16" s="69" t="str">
        <f ca="1">IF(AND($C16="Goal",CE$8&gt;=$G16,CE$8&lt;=$G16+$H16-1),2,IF(AND($C16="Milestone",CE$8&gt;=$G16,CE$8&lt;=$G16+$H16-1),1,""))</f>
        <v/>
      </c>
      <c r="CF16" s="69" t="str">
        <f ca="1">IF(AND($C16="Goal",CF$8&gt;=$G16,CF$8&lt;=$G16+$H16-1),2,IF(AND($C16="Milestone",CF$8&gt;=$G16,CF$8&lt;=$G16+$H16-1),1,""))</f>
        <v/>
      </c>
      <c r="CG16" s="69" t="str">
        <f ca="1">IF(AND($C16="Goal",CG$8&gt;=$G16,CG$8&lt;=$G16+$H16-1),2,IF(AND($C16="Milestone",CG$8&gt;=$G16,CG$8&lt;=$G16+$H16-1),1,""))</f>
        <v/>
      </c>
      <c r="CH16" s="69" t="str">
        <f ca="1">IF(AND($C16="Goal",CH$8&gt;=$G16,CH$8&lt;=$G16+$H16-1),2,IF(AND($C16="Milestone",CH$8&gt;=$G16,CH$8&lt;=$G16+$H16-1),1,""))</f>
        <v/>
      </c>
      <c r="CI16" s="69" t="str">
        <f ca="1">IF(AND($C16="Goal",CI$8&gt;=$G16,CI$8&lt;=$G16+$H16-1),2,IF(AND($C16="Milestone",CI$8&gt;=$G16,CI$8&lt;=$G16+$H16-1),1,""))</f>
        <v/>
      </c>
      <c r="CJ16" s="69" t="str">
        <f ca="1">IF(AND($C16="Goal",CJ$8&gt;=$G16,CJ$8&lt;=$G16+$H16-1),2,IF(AND($C16="Milestone",CJ$8&gt;=$G16,CJ$8&lt;=$G16+$H16-1),1,""))</f>
        <v/>
      </c>
      <c r="CK16" s="69" t="str">
        <f ca="1">IF(AND($C16="Goal",CK$8&gt;=$G16,CK$8&lt;=$G16+$H16-1),2,IF(AND($C16="Milestone",CK$8&gt;=$G16,CK$8&lt;=$G16+$H16-1),1,""))</f>
        <v/>
      </c>
      <c r="CL16" s="69" t="str">
        <f ca="1">IF(AND($C16="Goal",CL$8&gt;=$G16,CL$8&lt;=$G16+$H16-1),2,IF(AND($C16="Milestone",CL$8&gt;=$G16,CL$8&lt;=$G16+$H16-1),1,""))</f>
        <v/>
      </c>
      <c r="CM16" s="69" t="str">
        <f ca="1">IF(AND($C16="Goal",CM$8&gt;=$G16,CM$8&lt;=$G16+$H16-1),2,IF(AND($C16="Milestone",CM$8&gt;=$G16,CM$8&lt;=$G16+$H16-1),1,""))</f>
        <v/>
      </c>
      <c r="CN16" s="69" t="str">
        <f ca="1">IF(AND($C16="Goal",CN$8&gt;=$G16,CN$8&lt;=$G16+$H16-1),2,IF(AND($C16="Milestone",CN$8&gt;=$G16,CN$8&lt;=$G16+$H16-1),1,""))</f>
        <v/>
      </c>
      <c r="CO16" s="69" t="str">
        <f ca="1">IF(AND($C16="Goal",CO$8&gt;=$G16,CO$8&lt;=$G16+$H16-1),2,IF(AND($C16="Milestone",CO$8&gt;=$G16,CO$8&lt;=$G16+$H16-1),1,""))</f>
        <v/>
      </c>
      <c r="CP16" s="69" t="str">
        <f ca="1">IF(AND($C16="Goal",CP$8&gt;=$G16,CP$8&lt;=$G16+$H16-1),2,IF(AND($C16="Milestone",CP$8&gt;=$G16,CP$8&lt;=$G16+$H16-1),1,""))</f>
        <v/>
      </c>
      <c r="CQ16" s="69" t="str">
        <f ca="1">IF(AND($C16="Goal",CQ$8&gt;=$G16,CQ$8&lt;=$G16+$H16-1),2,IF(AND($C16="Milestone",CQ$8&gt;=$G16,CQ$8&lt;=$G16+$H16-1),1,""))</f>
        <v/>
      </c>
      <c r="CR16" s="69" t="str">
        <f ca="1">IF(AND($C16="Goal",CR$8&gt;=$G16,CR$8&lt;=$G16+$H16-1),2,IF(AND($C16="Milestone",CR$8&gt;=$G16,CR$8&lt;=$G16+$H16-1),1,""))</f>
        <v/>
      </c>
      <c r="CS16" s="69" t="str">
        <f ca="1">IF(AND($C16="Goal",CS$8&gt;=$G16,CS$8&lt;=$G16+$H16-1),2,IF(AND($C16="Milestone",CS$8&gt;=$G16,CS$8&lt;=$G16+$H16-1),1,""))</f>
        <v/>
      </c>
      <c r="CT16" s="69" t="str">
        <f ca="1">IF(AND($C16="Goal",CT$8&gt;=$G16,CT$8&lt;=$G16+$H16-1),2,IF(AND($C16="Milestone",CT$8&gt;=$G16,CT$8&lt;=$G16+$H16-1),1,""))</f>
        <v/>
      </c>
      <c r="CU16" s="69" t="str">
        <f ca="1">IF(AND($C16="Goal",CU$8&gt;=$G16,CU$8&lt;=$G16+$H16-1),2,IF(AND($C16="Milestone",CU$8&gt;=$G16,CU$8&lt;=$G16+$H16-1),1,""))</f>
        <v/>
      </c>
      <c r="CV16" s="69" t="str">
        <f ca="1">IF(AND($C16="Goal",CV$8&gt;=$G16,CV$8&lt;=$G16+$H16-1),2,IF(AND($C16="Milestone",CV$8&gt;=$G16,CV$8&lt;=$G16+$H16-1),1,""))</f>
        <v/>
      </c>
      <c r="CW16" s="69" t="str">
        <f ca="1">IF(AND($C16="Goal",CW$8&gt;=$G16,CW$8&lt;=$G16+$H16-1),2,IF(AND($C16="Milestone",CW$8&gt;=$G16,CW$8&lt;=$G16+$H16-1),1,""))</f>
        <v/>
      </c>
      <c r="CX16" s="69" t="str">
        <f ca="1">IF(AND($C16="Goal",CX$8&gt;=$G16,CX$8&lt;=$G16+$H16-1),2,IF(AND($C16="Milestone",CX$8&gt;=$G16,CX$8&lt;=$G16+$H16-1),1,""))</f>
        <v/>
      </c>
      <c r="CY16" s="69" t="str">
        <f ca="1">IF(AND($C16="Goal",CY$8&gt;=$G16,CY$8&lt;=$G16+$H16-1),2,IF(AND($C16="Milestone",CY$8&gt;=$G16,CY$8&lt;=$G16+$H16-1),1,""))</f>
        <v/>
      </c>
      <c r="CZ16" s="69" t="str">
        <f ca="1">IF(AND($C16="Goal",CZ$8&gt;=$G16,CZ$8&lt;=$G16+$H16-1),2,IF(AND($C16="Milestone",CZ$8&gt;=$G16,CZ$8&lt;=$G16+$H16-1),1,""))</f>
        <v/>
      </c>
      <c r="DA16" s="69" t="str">
        <f ca="1">IF(AND($C16="Goal",DA$8&gt;=$G16,DA$8&lt;=$G16+$H16-1),2,IF(AND($C16="Milestone",DA$8&gt;=$G16,DA$8&lt;=$G16+$H16-1),1,""))</f>
        <v/>
      </c>
      <c r="DB16" s="69" t="str">
        <f ca="1">IF(AND($C16="Goal",DB$8&gt;=$G16,DB$8&lt;=$G16+$H16-1),2,IF(AND($C16="Milestone",DB$8&gt;=$G16,DB$8&lt;=$G16+$H16-1),1,""))</f>
        <v/>
      </c>
      <c r="DC16" s="69" t="str">
        <f ca="1">IF(AND($C16="Goal",DC$8&gt;=$G16,DC$8&lt;=$G16+$H16-1),2,IF(AND($C16="Milestone",DC$8&gt;=$G16,DC$8&lt;=$G16+$H16-1),1,""))</f>
        <v/>
      </c>
      <c r="DD16" s="69" t="str">
        <f ca="1">IF(AND($C16="Goal",DD$8&gt;=$G16,DD$8&lt;=$G16+$H16-1),2,IF(AND($C16="Milestone",DD$8&gt;=$G16,DD$8&lt;=$G16+$H16-1),1,""))</f>
        <v/>
      </c>
      <c r="DE16" s="69" t="str">
        <f ca="1">IF(AND($C16="Goal",DE$8&gt;=$G16,DE$8&lt;=$G16+$H16-1),2,IF(AND($C16="Milestone",DE$8&gt;=$G16,DE$8&lt;=$G16+$H16-1),1,""))</f>
        <v/>
      </c>
      <c r="DF16" s="69" t="str">
        <f ca="1">IF(AND($C16="Goal",DF$8&gt;=$G16,DF$8&lt;=$G16+$H16-1),2,IF(AND($C16="Milestone",DF$8&gt;=$G16,DF$8&lt;=$G16+$H16-1),1,""))</f>
        <v/>
      </c>
      <c r="DG16" s="69" t="str">
        <f ca="1">IF(AND($C16="Goal",DG$8&gt;=$G16,DG$8&lt;=$G16+$H16-1),2,IF(AND($C16="Milestone",DG$8&gt;=$G16,DG$8&lt;=$G16+$H16-1),1,""))</f>
        <v/>
      </c>
      <c r="DH16" s="69" t="str">
        <f ca="1">IF(AND($C16="Goal",DH$8&gt;=$G16,DH$8&lt;=$G16+$H16-1),2,IF(AND($C16="Milestone",DH$8&gt;=$G16,DH$8&lt;=$G16+$H16-1),1,""))</f>
        <v/>
      </c>
      <c r="DI16" s="69" t="str">
        <f ca="1">IF(AND($C16="Goal",DI$8&gt;=$G16,DI$8&lt;=$G16+$H16-1),2,IF(AND($C16="Milestone",DI$8&gt;=$G16,DI$8&lt;=$G16+$H16-1),1,""))</f>
        <v/>
      </c>
      <c r="DJ16" s="69" t="str">
        <f ca="1">IF(AND($C16="Goal",DJ$8&gt;=$G16,DJ$8&lt;=$G16+$H16-1),2,IF(AND($C16="Milestone",DJ$8&gt;=$G16,DJ$8&lt;=$G16+$H16-1),1,""))</f>
        <v/>
      </c>
      <c r="DK16" s="69" t="str">
        <f ca="1">IF(AND($C16="Goal",DK$8&gt;=$G16,DK$8&lt;=$G16+$H16-1),2,IF(AND($C16="Milestone",DK$8&gt;=$G16,DK$8&lt;=$G16+$H16-1),1,""))</f>
        <v/>
      </c>
      <c r="DL16" s="69" t="str">
        <f ca="1">IF(AND($C16="Goal",DL$8&gt;=$G16,DL$8&lt;=$G16+$H16-1),2,IF(AND($C16="Milestone",DL$8&gt;=$G16,DL$8&lt;=$G16+$H16-1),1,""))</f>
        <v/>
      </c>
      <c r="DM16" s="69" t="str">
        <f ca="1">IF(AND($C16="Goal",DM$8&gt;=$G16,DM$8&lt;=$G16+$H16-1),2,IF(AND($C16="Milestone",DM$8&gt;=$G16,DM$8&lt;=$G16+$H16-1),1,""))</f>
        <v/>
      </c>
      <c r="DN16" s="69" t="str">
        <f ca="1">IF(AND($C16="Goal",DN$8&gt;=$G16,DN$8&lt;=$G16+$H16-1),2,IF(AND($C16="Milestone",DN$8&gt;=$G16,DN$8&lt;=$G16+$H16-1),1,""))</f>
        <v/>
      </c>
      <c r="DO16" s="69" t="str">
        <f ca="1">IF(AND($C16="Goal",DO$8&gt;=$G16,DO$8&lt;=$G16+$H16-1),2,IF(AND($C16="Milestone",DO$8&gt;=$G16,DO$8&lt;=$G16+$H16-1),1,""))</f>
        <v/>
      </c>
      <c r="DP16" s="69" t="str">
        <f ca="1">IF(AND($C16="Goal",DP$8&gt;=$G16,DP$8&lt;=$G16+$H16-1),2,IF(AND($C16="Milestone",DP$8&gt;=$G16,DP$8&lt;=$G16+$H16-1),1,""))</f>
        <v/>
      </c>
      <c r="DQ16" s="69" t="str">
        <f ca="1">IF(AND($C16="Goal",DQ$8&gt;=$G16,DQ$8&lt;=$G16+$H16-1),2,IF(AND($C16="Milestone",DQ$8&gt;=$G16,DQ$8&lt;=$G16+$H16-1),1,""))</f>
        <v/>
      </c>
      <c r="DR16" s="69" t="str">
        <f ca="1">IF(AND($C16="Goal",DR$8&gt;=$G16,DR$8&lt;=$G16+$H16-1),2,IF(AND($C16="Milestone",DR$8&gt;=$G16,DR$8&lt;=$G16+$H16-1),1,""))</f>
        <v/>
      </c>
      <c r="DS16" s="69" t="str">
        <f ca="1">IF(AND($C16="Goal",DS$8&gt;=$G16,DS$8&lt;=$G16+$H16-1),2,IF(AND($C16="Milestone",DS$8&gt;=$G16,DS$8&lt;=$G16+$H16-1),1,""))</f>
        <v/>
      </c>
      <c r="DT16" s="69" t="str">
        <f ca="1">IF(AND($C16="Goal",DT$8&gt;=$G16,DT$8&lt;=$G16+$H16-1),2,IF(AND($C16="Milestone",DT$8&gt;=$G16,DT$8&lt;=$G16+$H16-1),1,""))</f>
        <v/>
      </c>
      <c r="DU16" s="69" t="str">
        <f ca="1">IF(AND($C16="Goal",DU$8&gt;=$G16,DU$8&lt;=$G16+$H16-1),2,IF(AND($C16="Milestone",DU$8&gt;=$G16,DU$8&lt;=$G16+$H16-1),1,""))</f>
        <v/>
      </c>
      <c r="DV16" s="69" t="str">
        <f ca="1">IF(AND($C16="Goal",DV$8&gt;=$G16,DV$8&lt;=$G16+$H16-1),2,IF(AND($C16="Milestone",DV$8&gt;=$G16,DV$8&lt;=$G16+$H16-1),1,""))</f>
        <v/>
      </c>
      <c r="DW16" s="69" t="str">
        <f ca="1">IF(AND($C16="Goal",DW$8&gt;=$G16,DW$8&lt;=$G16+$H16-1),2,IF(AND($C16="Milestone",DW$8&gt;=$G16,DW$8&lt;=$G16+$H16-1),1,""))</f>
        <v/>
      </c>
      <c r="DX16" s="69" t="str">
        <f ca="1">IF(AND($C16="Goal",DX$8&gt;=$G16,DX$8&lt;=$G16+$H16-1),2,IF(AND($C16="Milestone",DX$8&gt;=$G16,DX$8&lt;=$G16+$H16-1),1,""))</f>
        <v/>
      </c>
      <c r="DY16" s="69" t="str">
        <f ca="1">IF(AND($C16="Goal",DY$8&gt;=$G16,DY$8&lt;=$G16+$H16-1),2,IF(AND($C16="Milestone",DY$8&gt;=$G16,DY$8&lt;=$G16+$H16-1),1,""))</f>
        <v/>
      </c>
      <c r="DZ16" s="69" t="str">
        <f ca="1">IF(AND($C16="Goal",DZ$8&gt;=$G16,DZ$8&lt;=$G16+$H16-1),2,IF(AND($C16="Milestone",DZ$8&gt;=$G16,DZ$8&lt;=$G16+$H16-1),1,""))</f>
        <v/>
      </c>
      <c r="EA16" s="69" t="str">
        <f ca="1">IF(AND($C16="Goal",EA$8&gt;=$G16,EA$8&lt;=$G16+$H16-1),2,IF(AND($C16="Milestone",EA$8&gt;=$G16,EA$8&lt;=$G16+$H16-1),1,""))</f>
        <v/>
      </c>
      <c r="EB16" s="69" t="str">
        <f ca="1">IF(AND($C16="Goal",EB$8&gt;=$G16,EB$8&lt;=$G16+$H16-1),2,IF(AND($C16="Milestone",EB$8&gt;=$G16,EB$8&lt;=$G16+$H16-1),1,""))</f>
        <v/>
      </c>
      <c r="EC16" s="69" t="str">
        <f ca="1">IF(AND($C16="Goal",EC$8&gt;=$G16,EC$8&lt;=$G16+$H16-1),2,IF(AND($C16="Milestone",EC$8&gt;=$G16,EC$8&lt;=$G16+$H16-1),1,""))</f>
        <v/>
      </c>
      <c r="ED16" s="69" t="str">
        <f ca="1">IF(AND($C16="Goal",ED$8&gt;=$G16,ED$8&lt;=$G16+$H16-1),2,IF(AND($C16="Milestone",ED$8&gt;=$G16,ED$8&lt;=$G16+$H16-1),1,""))</f>
        <v/>
      </c>
      <c r="EE16" s="69" t="str">
        <f ca="1">IF(AND($C16="Goal",EE$8&gt;=$G16,EE$8&lt;=$G16+$H16-1),2,IF(AND($C16="Milestone",EE$8&gt;=$G16,EE$8&lt;=$G16+$H16-1),1,""))</f>
        <v/>
      </c>
      <c r="EF16" s="69" t="str">
        <f ca="1">IF(AND($C16="Goal",EF$8&gt;=$G16,EF$8&lt;=$G16+$H16-1),2,IF(AND($C16="Milestone",EF$8&gt;=$G16,EF$8&lt;=$G16+$H16-1),1,""))</f>
        <v/>
      </c>
      <c r="EG16" s="69" t="str">
        <f ca="1">IF(AND($C16="Goal",EG$8&gt;=$G16,EG$8&lt;=$G16+$H16-1),2,IF(AND($C16="Milestone",EG$8&gt;=$G16,EG$8&lt;=$G16+$H16-1),1,""))</f>
        <v/>
      </c>
      <c r="EH16" s="69" t="str">
        <f ca="1">IF(AND($C16="Goal",EH$8&gt;=$G16,EH$8&lt;=$G16+$H16-1),2,IF(AND($C16="Milestone",EH$8&gt;=$G16,EH$8&lt;=$G16+$H16-1),1,""))</f>
        <v/>
      </c>
      <c r="EI16" s="69" t="str">
        <f ca="1">IF(AND($C16="Goal",EI$8&gt;=$G16,EI$8&lt;=$G16+$H16-1),2,IF(AND($C16="Milestone",EI$8&gt;=$G16,EI$8&lt;=$G16+$H16-1),1,""))</f>
        <v/>
      </c>
      <c r="EJ16" s="69" t="str">
        <f ca="1">IF(AND($C16="Goal",EJ$8&gt;=$G16,EJ$8&lt;=$G16+$H16-1),2,IF(AND($C16="Milestone",EJ$8&gt;=$G16,EJ$8&lt;=$G16+$H16-1),1,""))</f>
        <v/>
      </c>
      <c r="EK16" s="69" t="str">
        <f ca="1">IF(AND($C16="Goal",EK$8&gt;=$G16,EK$8&lt;=$G16+$H16-1),2,IF(AND($C16="Milestone",EK$8&gt;=$G16,EK$8&lt;=$G16+$H16-1),1,""))</f>
        <v/>
      </c>
      <c r="EL16" s="69" t="str">
        <f ca="1">IF(AND($C16="Goal",EL$8&gt;=$G16,EL$8&lt;=$G16+$H16-1),2,IF(AND($C16="Milestone",EL$8&gt;=$G16,EL$8&lt;=$G16+$H16-1),1,""))</f>
        <v/>
      </c>
      <c r="EM16" s="69" t="str">
        <f ca="1">IF(AND($C16="Goal",EM$8&gt;=$G16,EM$8&lt;=$G16+$H16-1),2,IF(AND($C16="Milestone",EM$8&gt;=$G16,EM$8&lt;=$G16+$H16-1),1,""))</f>
        <v/>
      </c>
      <c r="EN16" s="69" t="str">
        <f ca="1">IF(AND($C16="Goal",EN$8&gt;=$G16,EN$8&lt;=$G16+$H16-1),2,IF(AND($C16="Milestone",EN$8&gt;=$G16,EN$8&lt;=$G16+$H16-1),1,""))</f>
        <v/>
      </c>
      <c r="EO16" s="69" t="str">
        <f ca="1">IF(AND($C16="Goal",EO$8&gt;=$G16,EO$8&lt;=$G16+$H16-1),2,IF(AND($C16="Milestone",EO$8&gt;=$G16,EO$8&lt;=$G16+$H16-1),1,""))</f>
        <v/>
      </c>
      <c r="EP16" s="69" t="str">
        <f ca="1">IF(AND($C16="Goal",EP$8&gt;=$G16,EP$8&lt;=$G16+$H16-1),2,IF(AND($C16="Milestone",EP$8&gt;=$G16,EP$8&lt;=$G16+$H16-1),1,""))</f>
        <v/>
      </c>
      <c r="EQ16" s="69" t="str">
        <f ca="1">IF(AND($C16="Goal",EQ$8&gt;=$G16,EQ$8&lt;=$G16+$H16-1),2,IF(AND($C16="Milestone",EQ$8&gt;=$G16,EQ$8&lt;=$G16+$H16-1),1,""))</f>
        <v/>
      </c>
      <c r="ER16" s="69" t="str">
        <f ca="1">IF(AND($C16="Goal",ER$8&gt;=$G16,ER$8&lt;=$G16+$H16-1),2,IF(AND($C16="Milestone",ER$8&gt;=$G16,ER$8&lt;=$G16+$H16-1),1,""))</f>
        <v/>
      </c>
      <c r="ES16" s="69" t="str">
        <f ca="1">IF(AND($C16="Goal",ES$8&gt;=$G16,ES$8&lt;=$G16+$H16-1),2,IF(AND($C16="Milestone",ES$8&gt;=$G16,ES$8&lt;=$G16+$H16-1),1,""))</f>
        <v/>
      </c>
      <c r="ET16" s="69" t="str">
        <f ca="1">IF(AND($C16="Goal",ET$8&gt;=$G16,ET$8&lt;=$G16+$H16-1),2,IF(AND($C16="Milestone",ET$8&gt;=$G16,ET$8&lt;=$G16+$H16-1),1,""))</f>
        <v/>
      </c>
      <c r="EU16" s="69" t="str">
        <f ca="1">IF(AND($C16="Goal",EU$8&gt;=$G16,EU$8&lt;=$G16+$H16-1),2,IF(AND($C16="Milestone",EU$8&gt;=$G16,EU$8&lt;=$G16+$H16-1),1,""))</f>
        <v/>
      </c>
      <c r="EV16" s="69" t="str">
        <f ca="1">IF(AND($C16="Goal",EV$8&gt;=$G16,EV$8&lt;=$G16+$H16-1),2,IF(AND($C16="Milestone",EV$8&gt;=$G16,EV$8&lt;=$G16+$H16-1),1,""))</f>
        <v/>
      </c>
      <c r="EW16" s="69" t="str">
        <f ca="1">IF(AND($C16="Goal",EW$8&gt;=$G16,EW$8&lt;=$G16+$H16-1),2,IF(AND($C16="Milestone",EW$8&gt;=$G16,EW$8&lt;=$G16+$H16-1),1,""))</f>
        <v/>
      </c>
      <c r="EX16" s="69" t="str">
        <f ca="1">IF(AND($C16="Goal",EX$8&gt;=$G16,EX$8&lt;=$G16+$H16-1),2,IF(AND($C16="Milestone",EX$8&gt;=$G16,EX$8&lt;=$G16+$H16-1),1,""))</f>
        <v/>
      </c>
      <c r="EY16" s="69" t="str">
        <f ca="1">IF(AND($C16="Goal",EY$8&gt;=$G16,EY$8&lt;=$G16+$H16-1),2,IF(AND($C16="Milestone",EY$8&gt;=$G16,EY$8&lt;=$G16+$H16-1),1,""))</f>
        <v/>
      </c>
      <c r="EZ16" s="69" t="str">
        <f ca="1">IF(AND($C16="Goal",EZ$8&gt;=$G16,EZ$8&lt;=$G16+$H16-1),2,IF(AND($C16="Milestone",EZ$8&gt;=$G16,EZ$8&lt;=$G16+$H16-1),1,""))</f>
        <v/>
      </c>
      <c r="FA16" s="69" t="str">
        <f ca="1">IF(AND($C16="Goal",FA$8&gt;=$G16,FA$8&lt;=$G16+$H16-1),2,IF(AND($C16="Milestone",FA$8&gt;=$G16,FA$8&lt;=$G16+$H16-1),1,""))</f>
        <v/>
      </c>
      <c r="FB16" s="69" t="str">
        <f ca="1">IF(AND($C16="Goal",FB$8&gt;=$G16,FB$8&lt;=$G16+$H16-1),2,IF(AND($C16="Milestone",FB$8&gt;=$G16,FB$8&lt;=$G16+$H16-1),1,""))</f>
        <v/>
      </c>
      <c r="FC16" s="69" t="str">
        <f ca="1">IF(AND($C16="Goal",FC$8&gt;=$G16,FC$8&lt;=$G16+$H16-1),2,IF(AND($C16="Milestone",FC$8&gt;=$G16,FC$8&lt;=$G16+$H16-1),1,""))</f>
        <v/>
      </c>
      <c r="FD16" s="69" t="str">
        <f ca="1">IF(AND($C16="Goal",FD$8&gt;=$G16,FD$8&lt;=$G16+$H16-1),2,IF(AND($C16="Milestone",FD$8&gt;=$G16,FD$8&lt;=$G16+$H16-1),1,""))</f>
        <v/>
      </c>
      <c r="FE16" s="69" t="str">
        <f ca="1">IF(AND($C16="Goal",FE$8&gt;=$G16,FE$8&lt;=$G16+$H16-1),2,IF(AND($C16="Milestone",FE$8&gt;=$G16,FE$8&lt;=$G16+$H16-1),1,""))</f>
        <v/>
      </c>
      <c r="FF16" s="69" t="str">
        <f ca="1">IF(AND($C16="Goal",FF$8&gt;=$G16,FF$8&lt;=$G16+$H16-1),2,IF(AND($C16="Milestone",FF$8&gt;=$G16,FF$8&lt;=$G16+$H16-1),1,""))</f>
        <v/>
      </c>
      <c r="FG16" s="69" t="str">
        <f ca="1">IF(AND($C16="Goal",FG$8&gt;=$G16,FG$8&lt;=$G16+$H16-1),2,IF(AND($C16="Milestone",FG$8&gt;=$G16,FG$8&lt;=$G16+$H16-1),1,""))</f>
        <v/>
      </c>
      <c r="FH16" s="69" t="str">
        <f ca="1">IF(AND($C16="Goal",FH$8&gt;=$G16,FH$8&lt;=$G16+$H16-1),2,IF(AND($C16="Milestone",FH$8&gt;=$G16,FH$8&lt;=$G16+$H16-1),1,""))</f>
        <v/>
      </c>
      <c r="FI16" s="69" t="str">
        <f ca="1">IF(AND($C16="Goal",FI$8&gt;=$G16,FI$8&lt;=$G16+$H16-1),2,IF(AND($C16="Milestone",FI$8&gt;=$G16,FI$8&lt;=$G16+$H16-1),1,""))</f>
        <v/>
      </c>
      <c r="FJ16" s="69" t="str">
        <f ca="1">IF(AND($C16="Goal",FJ$8&gt;=$G16,FJ$8&lt;=$G16+$H16-1),2,IF(AND($C16="Milestone",FJ$8&gt;=$G16,FJ$8&lt;=$G16+$H16-1),1,""))</f>
        <v/>
      </c>
      <c r="FK16" s="69" t="str">
        <f ca="1">IF(AND($C16="Goal",FK$8&gt;=$G16,FK$8&lt;=$G16+$H16-1),2,IF(AND($C16="Milestone",FK$8&gt;=$G16,FK$8&lt;=$G16+$H16-1),1,""))</f>
        <v/>
      </c>
      <c r="FL16" s="69" t="str">
        <f ca="1">IF(AND($C16="Goal",FL$8&gt;=$G16,FL$8&lt;=$G16+$H16-1),2,IF(AND($C16="Milestone",FL$8&gt;=$G16,FL$8&lt;=$G16+$H16-1),1,""))</f>
        <v/>
      </c>
      <c r="FM16" s="69" t="str">
        <f ca="1">IF(AND($C16="Goal",FM$8&gt;=$G16,FM$8&lt;=$G16+$H16-1),2,IF(AND($C16="Milestone",FM$8&gt;=$G16,FM$8&lt;=$G16+$H16-1),1,""))</f>
        <v/>
      </c>
      <c r="FN16" s="69" t="str">
        <f ca="1">IF(AND($C16="Goal",FN$8&gt;=$G16,FN$8&lt;=$G16+$H16-1),2,IF(AND($C16="Milestone",FN$8&gt;=$G16,FN$8&lt;=$G16+$H16-1),1,""))</f>
        <v/>
      </c>
      <c r="FO16" s="69" t="str">
        <f ca="1">IF(AND($C16="Goal",FO$8&gt;=$G16,FO$8&lt;=$G16+$H16-1),2,IF(AND($C16="Milestone",FO$8&gt;=$G16,FO$8&lt;=$G16+$H16-1),1,""))</f>
        <v/>
      </c>
      <c r="FP16" s="69" t="str">
        <f ca="1">IF(AND($C16="Goal",FP$8&gt;=$G16,FP$8&lt;=$G16+$H16-1),2,IF(AND($C16="Milestone",FP$8&gt;=$G16,FP$8&lt;=$G16+$H16-1),1,""))</f>
        <v/>
      </c>
      <c r="FQ16" s="69" t="str">
        <f ca="1">IF(AND($C16="Goal",FQ$8&gt;=$G16,FQ$8&lt;=$G16+$H16-1),2,IF(AND($C16="Milestone",FQ$8&gt;=$G16,FQ$8&lt;=$G16+$H16-1),1,""))</f>
        <v/>
      </c>
      <c r="FR16" s="69" t="str">
        <f ca="1">IF(AND($C16="Goal",FR$8&gt;=$G16,FR$8&lt;=$G16+$H16-1),2,IF(AND($C16="Milestone",FR$8&gt;=$G16,FR$8&lt;=$G16+$H16-1),1,""))</f>
        <v/>
      </c>
      <c r="FS16" s="69" t="str">
        <f ca="1">IF(AND($C16="Goal",FS$8&gt;=$G16,FS$8&lt;=$G16+$H16-1),2,IF(AND($C16="Milestone",FS$8&gt;=$G16,FS$8&lt;=$G16+$H16-1),1,""))</f>
        <v/>
      </c>
      <c r="FT16" s="69" t="str">
        <f ca="1">IF(AND($C16="Goal",FT$8&gt;=$G16,FT$8&lt;=$G16+$H16-1),2,IF(AND($C16="Milestone",FT$8&gt;=$G16,FT$8&lt;=$G16+$H16-1),1,""))</f>
        <v/>
      </c>
      <c r="FU16" s="69" t="str">
        <f ca="1">IF(AND($C16="Goal",FU$8&gt;=$G16,FU$8&lt;=$G16+$H16-1),2,IF(AND($C16="Milestone",FU$8&gt;=$G16,FU$8&lt;=$G16+$H16-1),1,""))</f>
        <v/>
      </c>
      <c r="FV16" s="69" t="str">
        <f ca="1">IF(AND($C16="Goal",FV$8&gt;=$G16,FV$8&lt;=$G16+$H16-1),2,IF(AND($C16="Milestone",FV$8&gt;=$G16,FV$8&lt;=$G16+$H16-1),1,""))</f>
        <v/>
      </c>
      <c r="FW16" s="69" t="str">
        <f ca="1">IF(AND($C16="Goal",FW$8&gt;=$G16,FW$8&lt;=$G16+$H16-1),2,IF(AND($C16="Milestone",FW$8&gt;=$G16,FW$8&lt;=$G16+$H16-1),1,""))</f>
        <v/>
      </c>
      <c r="FX16" s="69" t="str">
        <f ca="1">IF(AND($C16="Goal",FX$8&gt;=$G16,FX$8&lt;=$G16+$H16-1),2,IF(AND($C16="Milestone",FX$8&gt;=$G16,FX$8&lt;=$G16+$H16-1),1,""))</f>
        <v/>
      </c>
      <c r="FY16" s="69" t="str">
        <f ca="1">IF(AND($C16="Goal",FY$8&gt;=$G16,FY$8&lt;=$G16+$H16-1),2,IF(AND($C16="Milestone",FY$8&gt;=$G16,FY$8&lt;=$G16+$H16-1),1,""))</f>
        <v/>
      </c>
      <c r="FZ16" s="69" t="str">
        <f ca="1">IF(AND($C16="Goal",FZ$8&gt;=$G16,FZ$8&lt;=$G16+$H16-1),2,IF(AND($C16="Milestone",FZ$8&gt;=$G16,FZ$8&lt;=$G16+$H16-1),1,""))</f>
        <v/>
      </c>
      <c r="GA16" s="69" t="str">
        <f ca="1">IF(AND($C16="Goal",GA$8&gt;=$G16,GA$8&lt;=$G16+$H16-1),2,IF(AND($C16="Milestone",GA$8&gt;=$G16,GA$8&lt;=$G16+$H16-1),1,""))</f>
        <v/>
      </c>
      <c r="GB16" s="69" t="str">
        <f ca="1">IF(AND($C16="Goal",GB$8&gt;=$G16,GB$8&lt;=$G16+$H16-1),2,IF(AND($C16="Milestone",GB$8&gt;=$G16,GB$8&lt;=$G16+$H16-1),1,""))</f>
        <v/>
      </c>
      <c r="GC16" s="69" t="str">
        <f ca="1">IF(AND($C16="Goal",GC$8&gt;=$G16,GC$8&lt;=$G16+$H16-1),2,IF(AND($C16="Milestone",GC$8&gt;=$G16,GC$8&lt;=$G16+$H16-1),1,""))</f>
        <v/>
      </c>
      <c r="GD16" s="69" t="str">
        <f ca="1">IF(AND($C16="Goal",GD$8&gt;=$G16,GD$8&lt;=$G16+$H16-1),2,IF(AND($C16="Milestone",GD$8&gt;=$G16,GD$8&lt;=$G16+$H16-1),1,""))</f>
        <v/>
      </c>
      <c r="GE16" s="69" t="str">
        <f ca="1">IF(AND($C16="Goal",GE$8&gt;=$G16,GE$8&lt;=$G16+$H16-1),2,IF(AND($C16="Milestone",GE$8&gt;=$G16,GE$8&lt;=$G16+$H16-1),1,""))</f>
        <v/>
      </c>
      <c r="GF16" s="69" t="str">
        <f ca="1">IF(AND($C16="Goal",GF$8&gt;=$G16,GF$8&lt;=$G16+$H16-1),2,IF(AND($C16="Milestone",GF$8&gt;=$G16,GF$8&lt;=$G16+$H16-1),1,""))</f>
        <v/>
      </c>
      <c r="GG16" s="69" t="str">
        <f ca="1">IF(AND($C16="Goal",GG$8&gt;=$G16,GG$8&lt;=$G16+$H16-1),2,IF(AND($C16="Milestone",GG$8&gt;=$G16,GG$8&lt;=$G16+$H16-1),1,""))</f>
        <v/>
      </c>
      <c r="GH16" s="69" t="str">
        <f ca="1">IF(AND($C16="Goal",GH$8&gt;=$G16,GH$8&lt;=$G16+$H16-1),2,IF(AND($C16="Milestone",GH$8&gt;=$G16,GH$8&lt;=$G16+$H16-1),1,""))</f>
        <v/>
      </c>
      <c r="GI16" s="69" t="str">
        <f ca="1">IF(AND($C16="Goal",GI$8&gt;=$G16,GI$8&lt;=$G16+$H16-1),2,IF(AND($C16="Milestone",GI$8&gt;=$G16,GI$8&lt;=$G16+$H16-1),1,""))</f>
        <v/>
      </c>
      <c r="GJ16" s="69" t="str">
        <f ca="1">IF(AND($C16="Goal",GJ$8&gt;=$G16,GJ$8&lt;=$G16+$H16-1),2,IF(AND($C16="Milestone",GJ$8&gt;=$G16,GJ$8&lt;=$G16+$H16-1),1,""))</f>
        <v/>
      </c>
      <c r="GK16" s="69" t="str">
        <f ca="1">IF(AND($C16="Goal",GK$8&gt;=$G16,GK$8&lt;=$G16+$H16-1),2,IF(AND($C16="Milestone",GK$8&gt;=$G16,GK$8&lt;=$G16+$H16-1),1,""))</f>
        <v/>
      </c>
      <c r="GL16" s="69" t="str">
        <f ca="1">IF(AND($C16="Goal",GL$8&gt;=$G16,GL$8&lt;=$G16+$H16-1),2,IF(AND($C16="Milestone",GL$8&gt;=$G16,GL$8&lt;=$G16+$H16-1),1,""))</f>
        <v/>
      </c>
      <c r="GM16" s="69" t="str">
        <f ca="1">IF(AND($C16="Goal",GM$8&gt;=$G16,GM$8&lt;=$G16+$H16-1),2,IF(AND($C16="Milestone",GM$8&gt;=$G16,GM$8&lt;=$G16+$H16-1),1,""))</f>
        <v/>
      </c>
      <c r="GN16" s="69" t="str">
        <f ca="1">IF(AND($C16="Goal",GN$8&gt;=$G16,GN$8&lt;=$G16+$H16-1),2,IF(AND($C16="Milestone",GN$8&gt;=$G16,GN$8&lt;=$G16+$H16-1),1,""))</f>
        <v/>
      </c>
      <c r="GO16" s="69" t="str">
        <f ca="1">IF(AND($C16="Goal",GO$8&gt;=$G16,GO$8&lt;=$G16+$H16-1),2,IF(AND($C16="Milestone",GO$8&gt;=$G16,GO$8&lt;=$G16+$H16-1),1,""))</f>
        <v/>
      </c>
      <c r="GP16" s="69" t="str">
        <f ca="1">IF(AND($C16="Goal",GP$8&gt;=$G16,GP$8&lt;=$G16+$H16-1),2,IF(AND($C16="Milestone",GP$8&gt;=$G16,GP$8&lt;=$G16+$H16-1),1,""))</f>
        <v/>
      </c>
      <c r="GQ16" s="69" t="str">
        <f ca="1">IF(AND($C16="Goal",GQ$8&gt;=$G16,GQ$8&lt;=$G16+$H16-1),2,IF(AND($C16="Milestone",GQ$8&gt;=$G16,GQ$8&lt;=$G16+$H16-1),1,""))</f>
        <v/>
      </c>
      <c r="GR16" s="69" t="str">
        <f ca="1">IF(AND($C16="Goal",GR$8&gt;=$G16,GR$8&lt;=$G16+$H16-1),2,IF(AND($C16="Milestone",GR$8&gt;=$G16,GR$8&lt;=$G16+$H16-1),1,""))</f>
        <v/>
      </c>
      <c r="GS16" s="69" t="str">
        <f ca="1">IF(AND($C16="Goal",GS$8&gt;=$G16,GS$8&lt;=$G16+$H16-1),2,IF(AND($C16="Milestone",GS$8&gt;=$G16,GS$8&lt;=$G16+$H16-1),1,""))</f>
        <v/>
      </c>
      <c r="GT16" s="69" t="str">
        <f ca="1">IF(AND($C16="Goal",GT$8&gt;=$G16,GT$8&lt;=$G16+$H16-1),2,IF(AND($C16="Milestone",GT$8&gt;=$G16,GT$8&lt;=$G16+$H16-1),1,""))</f>
        <v/>
      </c>
      <c r="GU16" s="69" t="str">
        <f ca="1">IF(AND($C16="Goal",GU$8&gt;=$G16,GU$8&lt;=$G16+$H16-1),2,IF(AND($C16="Milestone",GU$8&gt;=$G16,GU$8&lt;=$G16+$H16-1),1,""))</f>
        <v/>
      </c>
      <c r="GV16" s="69" t="str">
        <f ca="1">IF(AND($C16="Goal",GV$8&gt;=$G16,GV$8&lt;=$G16+$H16-1),2,IF(AND($C16="Milestone",GV$8&gt;=$G16,GV$8&lt;=$G16+$H16-1),1,""))</f>
        <v/>
      </c>
      <c r="GW16" s="69" t="str">
        <f ca="1">IF(AND($C16="Goal",GW$8&gt;=$G16,GW$8&lt;=$G16+$H16-1),2,IF(AND($C16="Milestone",GW$8&gt;=$G16,GW$8&lt;=$G16+$H16-1),1,""))</f>
        <v/>
      </c>
      <c r="GX16" s="69" t="str">
        <f ca="1">IF(AND($C16="Goal",GX$8&gt;=$G16,GX$8&lt;=$G16+$H16-1),2,IF(AND($C16="Milestone",GX$8&gt;=$G16,GX$8&lt;=$G16+$H16-1),1,""))</f>
        <v/>
      </c>
      <c r="GY16" s="69" t="str">
        <f ca="1">IF(AND($C16="Goal",GY$8&gt;=$G16,GY$8&lt;=$G16+$H16-1),2,IF(AND($C16="Milestone",GY$8&gt;=$G16,GY$8&lt;=$G16+$H16-1),1,""))</f>
        <v/>
      </c>
      <c r="GZ16" s="69" t="str">
        <f ca="1">IF(AND($C16="Goal",GZ$8&gt;=$G16,GZ$8&lt;=$G16+$H16-1),2,IF(AND($C16="Milestone",GZ$8&gt;=$G16,GZ$8&lt;=$G16+$H16-1),1,""))</f>
        <v/>
      </c>
      <c r="HA16" s="69" t="str">
        <f ca="1">IF(AND($C16="Goal",HA$8&gt;=$G16,HA$8&lt;=$G16+$H16-1),2,IF(AND($C16="Milestone",HA$8&gt;=$G16,HA$8&lt;=$G16+$H16-1),1,""))</f>
        <v/>
      </c>
      <c r="HB16" s="69" t="str">
        <f ca="1">IF(AND($C16="Goal",HB$8&gt;=$G16,HB$8&lt;=$G16+$H16-1),2,IF(AND($C16="Milestone",HB$8&gt;=$G16,HB$8&lt;=$G16+$H16-1),1,""))</f>
        <v/>
      </c>
      <c r="HC16" s="69" t="str">
        <f ca="1">IF(AND($C16="Goal",HC$8&gt;=$G16,HC$8&lt;=$G16+$H16-1),2,IF(AND($C16="Milestone",HC$8&gt;=$G16,HC$8&lt;=$G16+$H16-1),1,""))</f>
        <v/>
      </c>
      <c r="HD16" s="69" t="str">
        <f ca="1">IF(AND($C16="Goal",HD$8&gt;=$G16,HD$8&lt;=$G16+$H16-1),2,IF(AND($C16="Milestone",HD$8&gt;=$G16,HD$8&lt;=$G16+$H16-1),1,""))</f>
        <v/>
      </c>
      <c r="HE16" s="69" t="str">
        <f ca="1">IF(AND($C16="Goal",HE$8&gt;=$G16,HE$8&lt;=$G16+$H16-1),2,IF(AND($C16="Milestone",HE$8&gt;=$G16,HE$8&lt;=$G16+$H16-1),1,""))</f>
        <v/>
      </c>
      <c r="HF16" s="69" t="str">
        <f ca="1">IF(AND($C16="Goal",HF$8&gt;=$G16,HF$8&lt;=$G16+$H16-1),2,IF(AND($C16="Milestone",HF$8&gt;=$G16,HF$8&lt;=$G16+$H16-1),1,""))</f>
        <v/>
      </c>
      <c r="HG16" s="69" t="str">
        <f ca="1">IF(AND($C16="Goal",HG$8&gt;=$G16,HG$8&lt;=$G16+$H16-1),2,IF(AND($C16="Milestone",HG$8&gt;=$G16,HG$8&lt;=$G16+$H16-1),1,""))</f>
        <v/>
      </c>
      <c r="HH16" s="69" t="str">
        <f ca="1">IF(AND($C16="Goal",HH$8&gt;=$G16,HH$8&lt;=$G16+$H16-1),2,IF(AND($C16="Milestone",HH$8&gt;=$G16,HH$8&lt;=$G16+$H16-1),1,""))</f>
        <v/>
      </c>
      <c r="HI16" s="69" t="str">
        <f ca="1">IF(AND($C16="Goal",HI$8&gt;=$G16,HI$8&lt;=$G16+$H16-1),2,IF(AND($C16="Milestone",HI$8&gt;=$G16,HI$8&lt;=$G16+$H16-1),1,""))</f>
        <v/>
      </c>
      <c r="HJ16" s="69" t="str">
        <f ca="1">IF(AND($C16="Goal",HJ$8&gt;=$G16,HJ$8&lt;=$G16+$H16-1),2,IF(AND($C16="Milestone",HJ$8&gt;=$G16,HJ$8&lt;=$G16+$H16-1),1,""))</f>
        <v/>
      </c>
      <c r="HK16" s="69" t="str">
        <f ca="1">IF(AND($C16="Goal",HK$8&gt;=$G16,HK$8&lt;=$G16+$H16-1),2,IF(AND($C16="Milestone",HK$8&gt;=$G16,HK$8&lt;=$G16+$H16-1),1,""))</f>
        <v/>
      </c>
      <c r="HL16" s="69" t="str">
        <f ca="1">IF(AND($C16="Goal",HL$8&gt;=$G16,HL$8&lt;=$G16+$H16-1),2,IF(AND($C16="Milestone",HL$8&gt;=$G16,HL$8&lt;=$G16+$H16-1),1,""))</f>
        <v/>
      </c>
      <c r="HM16" s="69" t="str">
        <f ca="1">IF(AND($C16="Goal",HM$8&gt;=$G16,HM$8&lt;=$G16+$H16-1),2,IF(AND($C16="Milestone",HM$8&gt;=$G16,HM$8&lt;=$G16+$H16-1),1,""))</f>
        <v/>
      </c>
      <c r="HN16" s="69" t="str">
        <f ca="1">IF(AND($C16="Goal",HN$8&gt;=$G16,HN$8&lt;=$G16+$H16-1),2,IF(AND($C16="Milestone",HN$8&gt;=$G16,HN$8&lt;=$G16+$H16-1),1,""))</f>
        <v/>
      </c>
      <c r="HO16" s="69" t="str">
        <f ca="1">IF(AND($C16="Goal",HO$8&gt;=$G16,HO$8&lt;=$G16+$H16-1),2,IF(AND($C16="Milestone",HO$8&gt;=$G16,HO$8&lt;=$G16+$H16-1),1,""))</f>
        <v/>
      </c>
      <c r="HP16" s="69" t="str">
        <f ca="1">IF(AND($C16="Goal",HP$8&gt;=$G16,HP$8&lt;=$G16+$H16-1),2,IF(AND($C16="Milestone",HP$8&gt;=$G16,HP$8&lt;=$G16+$H16-1),1,""))</f>
        <v/>
      </c>
      <c r="HQ16" s="69" t="str">
        <f ca="1">IF(AND($C16="Goal",HQ$8&gt;=$G16,HQ$8&lt;=$G16+$H16-1),2,IF(AND($C16="Milestone",HQ$8&gt;=$G16,HQ$8&lt;=$G16+$H16-1),1,""))</f>
        <v/>
      </c>
      <c r="HR16" s="69" t="str">
        <f ca="1">IF(AND($C16="Goal",HR$8&gt;=$G16,HR$8&lt;=$G16+$H16-1),2,IF(AND($C16="Milestone",HR$8&gt;=$G16,HR$8&lt;=$G16+$H16-1),1,""))</f>
        <v/>
      </c>
      <c r="HS16" s="69" t="str">
        <f ca="1">IF(AND($C16="Goal",HS$8&gt;=$G16,HS$8&lt;=$G16+$H16-1),2,IF(AND($C16="Milestone",HS$8&gt;=$G16,HS$8&lt;=$G16+$H16-1),1,""))</f>
        <v/>
      </c>
      <c r="HT16" s="69" t="str">
        <f ca="1">IF(AND($C16="Goal",HT$8&gt;=$G16,HT$8&lt;=$G16+$H16-1),2,IF(AND($C16="Milestone",HT$8&gt;=$G16,HT$8&lt;=$G16+$H16-1),1,""))</f>
        <v/>
      </c>
      <c r="HU16" s="69" t="str">
        <f ca="1">IF(AND($C16="Goal",HU$8&gt;=$G16,HU$8&lt;=$G16+$H16-1),2,IF(AND($C16="Milestone",HU$8&gt;=$G16,HU$8&lt;=$G16+$H16-1),1,""))</f>
        <v/>
      </c>
      <c r="HV16" s="69" t="str">
        <f ca="1">IF(AND($C16="Goal",HV$8&gt;=$G16,HV$8&lt;=$G16+$H16-1),2,IF(AND($C16="Milestone",HV$8&gt;=$G16,HV$8&lt;=$G16+$H16-1),1,""))</f>
        <v/>
      </c>
      <c r="HW16" s="69" t="str">
        <f ca="1">IF(AND($C16="Goal",HW$8&gt;=$G16,HW$8&lt;=$G16+$H16-1),2,IF(AND($C16="Milestone",HW$8&gt;=$G16,HW$8&lt;=$G16+$H16-1),1,""))</f>
        <v/>
      </c>
      <c r="HX16" s="69" t="str">
        <f ca="1">IF(AND($C16="Goal",HX$8&gt;=$G16,HX$8&lt;=$G16+$H16-1),2,IF(AND($C16="Milestone",HX$8&gt;=$G16,HX$8&lt;=$G16+$H16-1),1,""))</f>
        <v/>
      </c>
      <c r="HY16" s="69" t="str">
        <f ca="1">IF(AND($C16="Goal",HY$8&gt;=$G16,HY$8&lt;=$G16+$H16-1),2,IF(AND($C16="Milestone",HY$8&gt;=$G16,HY$8&lt;=$G16+$H16-1),1,""))</f>
        <v/>
      </c>
      <c r="HZ16" s="69" t="str">
        <f ca="1">IF(AND($C16="Goal",HZ$8&gt;=$G16,HZ$8&lt;=$G16+$H16-1),2,IF(AND($C16="Milestone",HZ$8&gt;=$G16,HZ$8&lt;=$G16+$H16-1),1,""))</f>
        <v/>
      </c>
      <c r="IA16" s="69" t="str">
        <f ca="1">IF(AND($C16="Goal",IA$8&gt;=$G16,IA$8&lt;=$G16+$H16-1),2,IF(AND($C16="Milestone",IA$8&gt;=$G16,IA$8&lt;=$G16+$H16-1),1,""))</f>
        <v/>
      </c>
      <c r="IB16" s="69" t="str">
        <f ca="1">IF(AND($C16="Goal",IB$8&gt;=$G16,IB$8&lt;=$G16+$H16-1),2,IF(AND($C16="Milestone",IB$8&gt;=$G16,IB$8&lt;=$G16+$H16-1),1,""))</f>
        <v/>
      </c>
      <c r="IC16" s="69" t="str">
        <f ca="1">IF(AND($C16="Goal",IC$8&gt;=$G16,IC$8&lt;=$G16+$H16-1),2,IF(AND($C16="Milestone",IC$8&gt;=$G16,IC$8&lt;=$G16+$H16-1),1,""))</f>
        <v/>
      </c>
      <c r="ID16" s="69" t="str">
        <f ca="1">IF(AND($C16="Goal",ID$8&gt;=$G16,ID$8&lt;=$G16+$H16-1),2,IF(AND($C16="Milestone",ID$8&gt;=$G16,ID$8&lt;=$G16+$H16-1),1,""))</f>
        <v/>
      </c>
      <c r="IE16" s="69" t="str">
        <f ca="1">IF(AND($C16="Goal",IE$8&gt;=$G16,IE$8&lt;=$G16+$H16-1),2,IF(AND($C16="Milestone",IE$8&gt;=$G16,IE$8&lt;=$G16+$H16-1),1,""))</f>
        <v/>
      </c>
      <c r="IF16" s="69" t="str">
        <f ca="1">IF(AND($C16="Goal",IF$8&gt;=$G16,IF$8&lt;=$G16+$H16-1),2,IF(AND($C16="Milestone",IF$8&gt;=$G16,IF$8&lt;=$G16+$H16-1),1,""))</f>
        <v/>
      </c>
      <c r="IG16" s="69" t="str">
        <f ca="1">IF(AND($C16="Goal",IG$8&gt;=$G16,IG$8&lt;=$G16+$H16-1),2,IF(AND($C16="Milestone",IG$8&gt;=$G16,IG$8&lt;=$G16+$H16-1),1,""))</f>
        <v/>
      </c>
      <c r="IH16" s="69" t="str">
        <f ca="1">IF(AND($C16="Goal",IH$8&gt;=$G16,IH$8&lt;=$G16+$H16-1),2,IF(AND($C16="Milestone",IH$8&gt;=$G16,IH$8&lt;=$G16+$H16-1),1,""))</f>
        <v/>
      </c>
      <c r="II16" s="69" t="str">
        <f ca="1">IF(AND($C16="Goal",II$8&gt;=$G16,II$8&lt;=$G16+$H16-1),2,IF(AND($C16="Milestone",II$8&gt;=$G16,II$8&lt;=$G16+$H16-1),1,""))</f>
        <v/>
      </c>
      <c r="IJ16" s="69" t="str">
        <f ca="1">IF(AND($C16="Goal",IJ$8&gt;=$G16,IJ$8&lt;=$G16+$H16-1),2,IF(AND($C16="Milestone",IJ$8&gt;=$G16,IJ$8&lt;=$G16+$H16-1),1,""))</f>
        <v/>
      </c>
      <c r="IK16" s="69" t="str">
        <f ca="1">IF(AND($C16="Goal",IK$8&gt;=$G16,IK$8&lt;=$G16+$H16-1),2,IF(AND($C16="Milestone",IK$8&gt;=$G16,IK$8&lt;=$G16+$H16-1),1,""))</f>
        <v/>
      </c>
      <c r="IL16" s="69" t="str">
        <f ca="1">IF(AND($C16="Goal",IL$8&gt;=$G16,IL$8&lt;=$G16+$H16-1),2,IF(AND($C16="Milestone",IL$8&gt;=$G16,IL$8&lt;=$G16+$H16-1),1,""))</f>
        <v/>
      </c>
      <c r="IM16" s="69" t="str">
        <f ca="1">IF(AND($C16="Goal",IM$8&gt;=$G16,IM$8&lt;=$G16+$H16-1),2,IF(AND($C16="Milestone",IM$8&gt;=$G16,IM$8&lt;=$G16+$H16-1),1,""))</f>
        <v/>
      </c>
      <c r="IN16" s="69" t="str">
        <f ca="1">IF(AND($C16="Goal",IN$8&gt;=$G16,IN$8&lt;=$G16+$H16-1),2,IF(AND($C16="Milestone",IN$8&gt;=$G16,IN$8&lt;=$G16+$H16-1),1,""))</f>
        <v/>
      </c>
      <c r="IO16" s="69" t="str">
        <f ca="1">IF(AND($C16="Goal",IO$8&gt;=$G16,IO$8&lt;=$G16+$H16-1),2,IF(AND($C16="Milestone",IO$8&gt;=$G16,IO$8&lt;=$G16+$H16-1),1,""))</f>
        <v/>
      </c>
      <c r="IP16" s="69" t="str">
        <f ca="1">IF(AND($C16="Goal",IP$8&gt;=$G16,IP$8&lt;=$G16+$H16-1),2,IF(AND($C16="Milestone",IP$8&gt;=$G16,IP$8&lt;=$G16+$H16-1),1,""))</f>
        <v/>
      </c>
      <c r="IQ16" s="69" t="str">
        <f ca="1">IF(AND($C16="Goal",IQ$8&gt;=$G16,IQ$8&lt;=$G16+$H16-1),2,IF(AND($C16="Milestone",IQ$8&gt;=$G16,IQ$8&lt;=$G16+$H16-1),1,""))</f>
        <v/>
      </c>
      <c r="IR16" s="69" t="str">
        <f ca="1">IF(AND($C16="Goal",IR$8&gt;=$G16,IR$8&lt;=$G16+$H16-1),2,IF(AND($C16="Milestone",IR$8&gt;=$G16,IR$8&lt;=$G16+$H16-1),1,""))</f>
        <v/>
      </c>
      <c r="IS16" s="69" t="str">
        <f ca="1">IF(AND($C16="Goal",IS$8&gt;=$G16,IS$8&lt;=$G16+$H16-1),2,IF(AND($C16="Milestone",IS$8&gt;=$G16,IS$8&lt;=$G16+$H16-1),1,""))</f>
        <v/>
      </c>
      <c r="IT16" s="69" t="str">
        <f ca="1">IF(AND($C16="Goal",IT$8&gt;=$G16,IT$8&lt;=$G16+$H16-1),2,IF(AND($C16="Milestone",IT$8&gt;=$G16,IT$8&lt;=$G16+$H16-1),1,""))</f>
        <v/>
      </c>
      <c r="IU16" s="69" t="str">
        <f ca="1">IF(AND($C16="Goal",IU$8&gt;=$G16,IU$8&lt;=$G16+$H16-1),2,IF(AND($C16="Milestone",IU$8&gt;=$G16,IU$8&lt;=$G16+$H16-1),1,""))</f>
        <v/>
      </c>
      <c r="IV16" s="69" t="str">
        <f ca="1">IF(AND($C16="Goal",IV$8&gt;=$G16,IV$8&lt;=$G16+$H16-1),2,IF(AND($C16="Milestone",IV$8&gt;=$G16,IV$8&lt;=$G16+$H16-1),1,""))</f>
        <v/>
      </c>
      <c r="IW16" s="69" t="str">
        <f ca="1">IF(AND($C16="Goal",IW$8&gt;=$G16,IW$8&lt;=$G16+$H16-1),2,IF(AND($C16="Milestone",IW$8&gt;=$G16,IW$8&lt;=$G16+$H16-1),1,""))</f>
        <v/>
      </c>
      <c r="IX16" s="69" t="str">
        <f ca="1">IF(AND($C16="Goal",IX$8&gt;=$G16,IX$8&lt;=$G16+$H16-1),2,IF(AND($C16="Milestone",IX$8&gt;=$G16,IX$8&lt;=$G16+$H16-1),1,""))</f>
        <v/>
      </c>
      <c r="IY16" s="69" t="str">
        <f ca="1">IF(AND($C16="Goal",IY$8&gt;=$G16,IY$8&lt;=$G16+$H16-1),2,IF(AND($C16="Milestone",IY$8&gt;=$G16,IY$8&lt;=$G16+$H16-1),1,""))</f>
        <v/>
      </c>
      <c r="IZ16" s="69" t="str">
        <f ca="1">IF(AND($C16="Goal",IZ$8&gt;=$G16,IZ$8&lt;=$G16+$H16-1),2,IF(AND($C16="Milestone",IZ$8&gt;=$G16,IZ$8&lt;=$G16+$H16-1),1,""))</f>
        <v/>
      </c>
      <c r="JA16" s="69" t="str">
        <f ca="1">IF(AND($C16="Goal",JA$8&gt;=$G16,JA$8&lt;=$G16+$H16-1),2,IF(AND($C16="Milestone",JA$8&gt;=$G16,JA$8&lt;=$G16+$H16-1),1,""))</f>
        <v/>
      </c>
      <c r="JB16" s="69" t="str">
        <f ca="1">IF(AND($C16="Goal",JB$8&gt;=$G16,JB$8&lt;=$G16+$H16-1),2,IF(AND($C16="Milestone",JB$8&gt;=$G16,JB$8&lt;=$G16+$H16-1),1,""))</f>
        <v/>
      </c>
      <c r="JC16" s="69" t="str">
        <f ca="1">IF(AND($C16="Goal",JC$8&gt;=$G16,JC$8&lt;=$G16+$H16-1),2,IF(AND($C16="Milestone",JC$8&gt;=$G16,JC$8&lt;=$G16+$H16-1),1,""))</f>
        <v/>
      </c>
      <c r="JD16" s="69" t="str">
        <f ca="1">IF(AND($C16="Goal",JD$8&gt;=$G16,JD$8&lt;=$G16+$H16-1),2,IF(AND($C16="Milestone",JD$8&gt;=$G16,JD$8&lt;=$G16+$H16-1),1,""))</f>
        <v/>
      </c>
      <c r="JE16" s="69" t="str">
        <f ca="1">IF(AND($C16="Goal",JE$8&gt;=$G16,JE$8&lt;=$G16+$H16-1),2,IF(AND($C16="Milestone",JE$8&gt;=$G16,JE$8&lt;=$G16+$H16-1),1,""))</f>
        <v/>
      </c>
      <c r="JF16" s="69" t="str">
        <f ca="1">IF(AND($C16="Goal",JF$8&gt;=$G16,JF$8&lt;=$G16+$H16-1),2,IF(AND($C16="Milestone",JF$8&gt;=$G16,JF$8&lt;=$G16+$H16-1),1,""))</f>
        <v/>
      </c>
      <c r="JG16" s="69" t="str">
        <f ca="1">IF(AND($C16="Goal",JG$8&gt;=$G16,JG$8&lt;=$G16+$H16-1),2,IF(AND($C16="Milestone",JG$8&gt;=$G16,JG$8&lt;=$G16+$H16-1),1,""))</f>
        <v/>
      </c>
      <c r="JH16" s="69" t="str">
        <f ca="1">IF(AND($C16="Goal",JH$8&gt;=$G16,JH$8&lt;=$G16+$H16-1),2,IF(AND($C16="Milestone",JH$8&gt;=$G16,JH$8&lt;=$G16+$H16-1),1,""))</f>
        <v/>
      </c>
      <c r="JI16" s="69" t="str">
        <f ca="1">IF(AND($C16="Goal",JI$8&gt;=$G16,JI$8&lt;=$G16+$H16-1),2,IF(AND($C16="Milestone",JI$8&gt;=$G16,JI$8&lt;=$G16+$H16-1),1,""))</f>
        <v/>
      </c>
      <c r="JJ16" s="69" t="str">
        <f ca="1">IF(AND($C16="Goal",JJ$8&gt;=$G16,JJ$8&lt;=$G16+$H16-1),2,IF(AND($C16="Milestone",JJ$8&gt;=$G16,JJ$8&lt;=$G16+$H16-1),1,""))</f>
        <v/>
      </c>
      <c r="JK16" s="69" t="str">
        <f ca="1">IF(AND($C16="Goal",JK$8&gt;=$G16,JK$8&lt;=$G16+$H16-1),2,IF(AND($C16="Milestone",JK$8&gt;=$G16,JK$8&lt;=$G16+$H16-1),1,""))</f>
        <v/>
      </c>
      <c r="JL16" s="69" t="str">
        <f ca="1">IF(AND($C16="Goal",JL$8&gt;=$G16,JL$8&lt;=$G16+$H16-1),2,IF(AND($C16="Milestone",JL$8&gt;=$G16,JL$8&lt;=$G16+$H16-1),1,""))</f>
        <v/>
      </c>
      <c r="JM16" s="69" t="str">
        <f ca="1">IF(AND($C16="Goal",JM$8&gt;=$G16,JM$8&lt;=$G16+$H16-1),2,IF(AND($C16="Milestone",JM$8&gt;=$G16,JM$8&lt;=$G16+$H16-1),1,""))</f>
        <v/>
      </c>
      <c r="JN16" s="69" t="str">
        <f ca="1">IF(AND($C16="Goal",JN$8&gt;=$G16,JN$8&lt;=$G16+$H16-1),2,IF(AND($C16="Milestone",JN$8&gt;=$G16,JN$8&lt;=$G16+$H16-1),1,""))</f>
        <v/>
      </c>
      <c r="JO16" s="69" t="str">
        <f ca="1">IF(AND($C16="Goal",JO$8&gt;=$G16,JO$8&lt;=$G16+$H16-1),2,IF(AND($C16="Milestone",JO$8&gt;=$G16,JO$8&lt;=$G16+$H16-1),1,""))</f>
        <v/>
      </c>
      <c r="JP16" s="69" t="str">
        <f ca="1">IF(AND($C16="Goal",JP$8&gt;=$G16,JP$8&lt;=$G16+$H16-1),2,IF(AND($C16="Milestone",JP$8&gt;=$G16,JP$8&lt;=$G16+$H16-1),1,""))</f>
        <v/>
      </c>
      <c r="JQ16" s="69" t="str">
        <f ca="1">IF(AND($C16="Goal",JQ$8&gt;=$G16,JQ$8&lt;=$G16+$H16-1),2,IF(AND($C16="Milestone",JQ$8&gt;=$G16,JQ$8&lt;=$G16+$H16-1),1,""))</f>
        <v/>
      </c>
      <c r="JR16" s="69" t="str">
        <f ca="1">IF(AND($C16="Goal",JR$8&gt;=$G16,JR$8&lt;=$G16+$H16-1),2,IF(AND($C16="Milestone",JR$8&gt;=$G16,JR$8&lt;=$G16+$H16-1),1,""))</f>
        <v/>
      </c>
      <c r="JS16" s="69" t="str">
        <f ca="1">IF(AND($C16="Goal",JS$8&gt;=$G16,JS$8&lt;=$G16+$H16-1),2,IF(AND($C16="Milestone",JS$8&gt;=$G16,JS$8&lt;=$G16+$H16-1),1,""))</f>
        <v/>
      </c>
      <c r="JT16" s="69" t="str">
        <f ca="1">IF(AND($C16="Goal",JT$8&gt;=$G16,JT$8&lt;=$G16+$H16-1),2,IF(AND($C16="Milestone",JT$8&gt;=$G16,JT$8&lt;=$G16+$H16-1),1,""))</f>
        <v/>
      </c>
      <c r="JU16" s="69" t="str">
        <f ca="1">IF(AND($C16="Goal",JU$8&gt;=$G16,JU$8&lt;=$G16+$H16-1),2,IF(AND($C16="Milestone",JU$8&gt;=$G16,JU$8&lt;=$G16+$H16-1),1,""))</f>
        <v/>
      </c>
      <c r="JV16" s="69" t="str">
        <f ca="1">IF(AND($C16="Goal",JV$8&gt;=$G16,JV$8&lt;=$G16+$H16-1),2,IF(AND($C16="Milestone",JV$8&gt;=$G16,JV$8&lt;=$G16+$H16-1),1,""))</f>
        <v/>
      </c>
      <c r="JW16" s="69" t="str">
        <f ca="1">IF(AND($C16="Goal",JW$8&gt;=$G16,JW$8&lt;=$G16+$H16-1),2,IF(AND($C16="Milestone",JW$8&gt;=$G16,JW$8&lt;=$G16+$H16-1),1,""))</f>
        <v/>
      </c>
      <c r="JX16" s="69" t="str">
        <f ca="1">IF(AND($C16="Goal",JX$8&gt;=$G16,JX$8&lt;=$G16+$H16-1),2,IF(AND($C16="Milestone",JX$8&gt;=$G16,JX$8&lt;=$G16+$H16-1),1,""))</f>
        <v/>
      </c>
      <c r="JY16" s="69" t="str">
        <f ca="1">IF(AND($C16="Goal",JY$8&gt;=$G16,JY$8&lt;=$G16+$H16-1),2,IF(AND($C16="Milestone",JY$8&gt;=$G16,JY$8&lt;=$G16+$H16-1),1,""))</f>
        <v/>
      </c>
      <c r="JZ16" s="69" t="str">
        <f ca="1">IF(AND($C16="Goal",JZ$8&gt;=$G16,JZ$8&lt;=$G16+$H16-1),2,IF(AND($C16="Milestone",JZ$8&gt;=$G16,JZ$8&lt;=$G16+$H16-1),1,""))</f>
        <v/>
      </c>
      <c r="KA16" s="69" t="str">
        <f ca="1">IF(AND($C16="Goal",KA$8&gt;=$G16,KA$8&lt;=$G16+$H16-1),2,IF(AND($C16="Milestone",KA$8&gt;=$G16,KA$8&lt;=$G16+$H16-1),1,""))</f>
        <v/>
      </c>
      <c r="KB16" s="69" t="str">
        <f ca="1">IF(AND($C16="Goal",KB$8&gt;=$G16,KB$8&lt;=$G16+$H16-1),2,IF(AND($C16="Milestone",KB$8&gt;=$G16,KB$8&lt;=$G16+$H16-1),1,""))</f>
        <v/>
      </c>
      <c r="KC16" s="69" t="str">
        <f ca="1">IF(AND($C16="Goal",KC$8&gt;=$G16,KC$8&lt;=$G16+$H16-1),2,IF(AND($C16="Milestone",KC$8&gt;=$G16,KC$8&lt;=$G16+$H16-1),1,""))</f>
        <v/>
      </c>
      <c r="KD16" s="69" t="str">
        <f ca="1">IF(AND($C16="Goal",KD$8&gt;=$G16,KD$8&lt;=$G16+$H16-1),2,IF(AND($C16="Milestone",KD$8&gt;=$G16,KD$8&lt;=$G16+$H16-1),1,""))</f>
        <v/>
      </c>
      <c r="KE16" s="69" t="str">
        <f ca="1">IF(AND($C16="Goal",KE$8&gt;=$G16,KE$8&lt;=$G16+$H16-1),2,IF(AND($C16="Milestone",KE$8&gt;=$G16,KE$8&lt;=$G16+$H16-1),1,""))</f>
        <v/>
      </c>
      <c r="KF16" s="69" t="str">
        <f ca="1">IF(AND($C16="Goal",KF$8&gt;=$G16,KF$8&lt;=$G16+$H16-1),2,IF(AND($C16="Milestone",KF$8&gt;=$G16,KF$8&lt;=$G16+$H16-1),1,""))</f>
        <v/>
      </c>
      <c r="KG16" s="69" t="str">
        <f ca="1">IF(AND($C16="Goal",KG$8&gt;=$G16,KG$8&lt;=$G16+$H16-1),2,IF(AND($C16="Milestone",KG$8&gt;=$G16,KG$8&lt;=$G16+$H16-1),1,""))</f>
        <v/>
      </c>
      <c r="KH16" s="69" t="str">
        <f ca="1">IF(AND($C16="Goal",KH$8&gt;=$G16,KH$8&lt;=$G16+$H16-1),2,IF(AND($C16="Milestone",KH$8&gt;=$G16,KH$8&lt;=$G16+$H16-1),1,""))</f>
        <v/>
      </c>
      <c r="KI16" s="69" t="str">
        <f ca="1">IF(AND($C16="Goal",KI$8&gt;=$G16,KI$8&lt;=$G16+$H16-1),2,IF(AND($C16="Milestone",KI$8&gt;=$G16,KI$8&lt;=$G16+$H16-1),1,""))</f>
        <v/>
      </c>
      <c r="KJ16" s="69" t="str">
        <f ca="1">IF(AND($C16="Goal",KJ$8&gt;=$G16,KJ$8&lt;=$G16+$H16-1),2,IF(AND($C16="Milestone",KJ$8&gt;=$G16,KJ$8&lt;=$G16+$H16-1),1,""))</f>
        <v/>
      </c>
      <c r="KK16" s="69" t="str">
        <f ca="1">IF(AND($C16="Goal",KK$8&gt;=$G16,KK$8&lt;=$G16+$H16-1),2,IF(AND($C16="Milestone",KK$8&gt;=$G16,KK$8&lt;=$G16+$H16-1),1,""))</f>
        <v/>
      </c>
      <c r="KL16" s="69" t="str">
        <f ca="1">IF(AND($C16="Goal",KL$8&gt;=$G16,KL$8&lt;=$G16+$H16-1),2,IF(AND($C16="Milestone",KL$8&gt;=$G16,KL$8&lt;=$G16+$H16-1),1,""))</f>
        <v/>
      </c>
      <c r="KM16" s="69" t="str">
        <f ca="1">IF(AND($C16="Goal",KM$8&gt;=$G16,KM$8&lt;=$G16+$H16-1),2,IF(AND($C16="Milestone",KM$8&gt;=$G16,KM$8&lt;=$G16+$H16-1),1,""))</f>
        <v/>
      </c>
      <c r="KN16" s="69" t="str">
        <f ca="1">IF(AND($C16="Goal",KN$8&gt;=$G16,KN$8&lt;=$G16+$H16-1),2,IF(AND($C16="Milestone",KN$8&gt;=$G16,KN$8&lt;=$G16+$H16-1),1,""))</f>
        <v/>
      </c>
      <c r="KO16" s="69" t="str">
        <f ca="1">IF(AND($C16="Goal",KO$8&gt;=$G16,KO$8&lt;=$G16+$H16-1),2,IF(AND($C16="Milestone",KO$8&gt;=$G16,KO$8&lt;=$G16+$H16-1),1,""))</f>
        <v/>
      </c>
      <c r="KP16" s="69" t="str">
        <f ca="1">IF(AND($C16="Goal",KP$8&gt;=$G16,KP$8&lt;=$G16+$H16-1),2,IF(AND($C16="Milestone",KP$8&gt;=$G16,KP$8&lt;=$G16+$H16-1),1,""))</f>
        <v/>
      </c>
      <c r="KQ16" s="69" t="str">
        <f ca="1">IF(AND($C16="Goal",KQ$8&gt;=$G16,KQ$8&lt;=$G16+$H16-1),2,IF(AND($C16="Milestone",KQ$8&gt;=$G16,KQ$8&lt;=$G16+$H16-1),1,""))</f>
        <v/>
      </c>
      <c r="KR16" s="69" t="str">
        <f ca="1">IF(AND($C16="Goal",KR$8&gt;=$G16,KR$8&lt;=$G16+$H16-1),2,IF(AND($C16="Milestone",KR$8&gt;=$G16,KR$8&lt;=$G16+$H16-1),1,""))</f>
        <v/>
      </c>
      <c r="KS16" s="69" t="str">
        <f ca="1">IF(AND($C16="Goal",KS$8&gt;=$G16,KS$8&lt;=$G16+$H16-1),2,IF(AND($C16="Milestone",KS$8&gt;=$G16,KS$8&lt;=$G16+$H16-1),1,""))</f>
        <v/>
      </c>
      <c r="KT16" s="69" t="str">
        <f ca="1">IF(AND($C16="Goal",KT$8&gt;=$G16,KT$8&lt;=$G16+$H16-1),2,IF(AND($C16="Milestone",KT$8&gt;=$G16,KT$8&lt;=$G16+$H16-1),1,""))</f>
        <v/>
      </c>
      <c r="KU16" s="69" t="str">
        <f ca="1">IF(AND($C16="Goal",KU$8&gt;=$G16,KU$8&lt;=$G16+$H16-1),2,IF(AND($C16="Milestone",KU$8&gt;=$G16,KU$8&lt;=$G16+$H16-1),1,""))</f>
        <v/>
      </c>
      <c r="KV16" s="69" t="str">
        <f ca="1">IF(AND($C16="Goal",KV$8&gt;=$G16,KV$8&lt;=$G16+$H16-1),2,IF(AND($C16="Milestone",KV$8&gt;=$G16,KV$8&lt;=$G16+$H16-1),1,""))</f>
        <v/>
      </c>
      <c r="KW16" s="69" t="str">
        <f ca="1">IF(AND($C16="Goal",KW$8&gt;=$G16,KW$8&lt;=$G16+$H16-1),2,IF(AND($C16="Milestone",KW$8&gt;=$G16,KW$8&lt;=$G16+$H16-1),1,""))</f>
        <v/>
      </c>
      <c r="KX16" s="69" t="str">
        <f ca="1">IF(AND($C16="Goal",KX$8&gt;=$G16,KX$8&lt;=$G16+$H16-1),2,IF(AND($C16="Milestone",KX$8&gt;=$G16,KX$8&lt;=$G16+$H16-1),1,""))</f>
        <v/>
      </c>
      <c r="KY16" s="69" t="str">
        <f ca="1">IF(AND($C16="Goal",KY$8&gt;=$G16,KY$8&lt;=$G16+$H16-1),2,IF(AND($C16="Milestone",KY$8&gt;=$G16,KY$8&lt;=$G16+$H16-1),1,""))</f>
        <v/>
      </c>
      <c r="KZ16" s="69" t="str">
        <f ca="1">IF(AND($C16="Goal",KZ$8&gt;=$G16,KZ$8&lt;=$G16+$H16-1),2,IF(AND($C16="Milestone",KZ$8&gt;=$G16,KZ$8&lt;=$G16+$H16-1),1,""))</f>
        <v/>
      </c>
      <c r="LA16" s="69" t="str">
        <f ca="1">IF(AND($C16="Goal",LA$8&gt;=$G16,LA$8&lt;=$G16+$H16-1),2,IF(AND($C16="Milestone",LA$8&gt;=$G16,LA$8&lt;=$G16+$H16-1),1,""))</f>
        <v/>
      </c>
      <c r="LB16" s="69" t="str">
        <f ca="1">IF(AND($C16="Goal",LB$8&gt;=$G16,LB$8&lt;=$G16+$H16-1),2,IF(AND($C16="Milestone",LB$8&gt;=$G16,LB$8&lt;=$G16+$H16-1),1,""))</f>
        <v/>
      </c>
      <c r="LC16" s="69" t="str">
        <f ca="1">IF(AND($C16="Goal",LC$8&gt;=$G16,LC$8&lt;=$G16+$H16-1),2,IF(AND($C16="Milestone",LC$8&gt;=$G16,LC$8&lt;=$G16+$H16-1),1,""))</f>
        <v/>
      </c>
      <c r="LD16" s="69" t="str">
        <f ca="1">IF(AND($C16="Goal",LD$8&gt;=$G16,LD$8&lt;=$G16+$H16-1),2,IF(AND($C16="Milestone",LD$8&gt;=$G16,LD$8&lt;=$G16+$H16-1),1,""))</f>
        <v/>
      </c>
      <c r="LE16" s="69" t="str">
        <f ca="1">IF(AND($C16="Goal",LE$8&gt;=$G16,LE$8&lt;=$G16+$H16-1),2,IF(AND($C16="Milestone",LE$8&gt;=$G16,LE$8&lt;=$G16+$H16-1),1,""))</f>
        <v/>
      </c>
      <c r="LF16" s="69" t="str">
        <f ca="1">IF(AND($C16="Goal",LF$8&gt;=$G16,LF$8&lt;=$G16+$H16-1),2,IF(AND($C16="Milestone",LF$8&gt;=$G16,LF$8&lt;=$G16+$H16-1),1,""))</f>
        <v/>
      </c>
      <c r="LG16" s="69" t="str">
        <f ca="1">IF(AND($C16="Goal",LG$8&gt;=$G16,LG$8&lt;=$G16+$H16-1),2,IF(AND($C16="Milestone",LG$8&gt;=$G16,LG$8&lt;=$G16+$H16-1),1,""))</f>
        <v/>
      </c>
      <c r="LH16" s="69" t="str">
        <f ca="1">IF(AND($C16="Goal",LH$8&gt;=$G16,LH$8&lt;=$G16+$H16-1),2,IF(AND($C16="Milestone",LH$8&gt;=$G16,LH$8&lt;=$G16+$H16-1),1,""))</f>
        <v/>
      </c>
      <c r="LI16" s="69" t="str">
        <f ca="1">IF(AND($C16="Goal",LI$8&gt;=$G16,LI$8&lt;=$G16+$H16-1),2,IF(AND($C16="Milestone",LI$8&gt;=$G16,LI$8&lt;=$G16+$H16-1),1,""))</f>
        <v/>
      </c>
      <c r="LJ16" s="69" t="str">
        <f ca="1">IF(AND($C16="Goal",LJ$8&gt;=$G16,LJ$8&lt;=$G16+$H16-1),2,IF(AND($C16="Milestone",LJ$8&gt;=$G16,LJ$8&lt;=$G16+$H16-1),1,""))</f>
        <v/>
      </c>
      <c r="LK16" s="69" t="str">
        <f ca="1">IF(AND($C16="Goal",LK$8&gt;=$G16,LK$8&lt;=$G16+$H16-1),2,IF(AND($C16="Milestone",LK$8&gt;=$G16,LK$8&lt;=$G16+$H16-1),1,""))</f>
        <v/>
      </c>
      <c r="LL16" s="69" t="str">
        <f ca="1">IF(AND($C16="Goal",LL$8&gt;=$G16,LL$8&lt;=$G16+$H16-1),2,IF(AND($C16="Milestone",LL$8&gt;=$G16,LL$8&lt;=$G16+$H16-1),1,""))</f>
        <v/>
      </c>
      <c r="LM16" s="69" t="str">
        <f ca="1">IF(AND($C16="Goal",LM$8&gt;=$G16,LM$8&lt;=$G16+$H16-1),2,IF(AND($C16="Milestone",LM$8&gt;=$G16,LM$8&lt;=$G16+$H16-1),1,""))</f>
        <v/>
      </c>
      <c r="LN16" s="69" t="str">
        <f ca="1">IF(AND($C16="Goal",LN$8&gt;=$G16,LN$8&lt;=$G16+$H16-1),2,IF(AND($C16="Milestone",LN$8&gt;=$G16,LN$8&lt;=$G16+$H16-1),1,""))</f>
        <v/>
      </c>
      <c r="LO16" s="69" t="str">
        <f ca="1">IF(AND($C16="Goal",LO$8&gt;=$G16,LO$8&lt;=$G16+$H16-1),2,IF(AND($C16="Milestone",LO$8&gt;=$G16,LO$8&lt;=$G16+$H16-1),1,""))</f>
        <v/>
      </c>
      <c r="LP16" s="69" t="str">
        <f ca="1">IF(AND($C16="Goal",LP$8&gt;=$G16,LP$8&lt;=$G16+$H16-1),2,IF(AND($C16="Milestone",LP$8&gt;=$G16,LP$8&lt;=$G16+$H16-1),1,""))</f>
        <v/>
      </c>
      <c r="LQ16" s="69" t="str">
        <f ca="1">IF(AND($C16="Goal",LQ$8&gt;=$G16,LQ$8&lt;=$G16+$H16-1),2,IF(AND($C16="Milestone",LQ$8&gt;=$G16,LQ$8&lt;=$G16+$H16-1),1,""))</f>
        <v/>
      </c>
      <c r="LR16" s="69" t="str">
        <f ca="1">IF(AND($C16="Goal",LR$8&gt;=$G16,LR$8&lt;=$G16+$H16-1),2,IF(AND($C16="Milestone",LR$8&gt;=$G16,LR$8&lt;=$G16+$H16-1),1,""))</f>
        <v/>
      </c>
      <c r="LS16" s="69" t="str">
        <f ca="1">IF(AND($C16="Goal",LS$8&gt;=$G16,LS$8&lt;=$G16+$H16-1),2,IF(AND($C16="Milestone",LS$8&gt;=$G16,LS$8&lt;=$G16+$H16-1),1,""))</f>
        <v/>
      </c>
      <c r="LT16" s="69" t="str">
        <f ca="1">IF(AND($C16="Goal",LT$8&gt;=$G16,LT$8&lt;=$G16+$H16-1),2,IF(AND($C16="Milestone",LT$8&gt;=$G16,LT$8&lt;=$G16+$H16-1),1,""))</f>
        <v/>
      </c>
      <c r="LU16" s="69" t="str">
        <f ca="1">IF(AND($C16="Goal",LU$8&gt;=$G16,LU$8&lt;=$G16+$H16-1),2,IF(AND($C16="Milestone",LU$8&gt;=$G16,LU$8&lt;=$G16+$H16-1),1,""))</f>
        <v/>
      </c>
      <c r="LV16" s="69" t="str">
        <f ca="1">IF(AND($C16="Goal",LV$8&gt;=$G16,LV$8&lt;=$G16+$H16-1),2,IF(AND($C16="Milestone",LV$8&gt;=$G16,LV$8&lt;=$G16+$H16-1),1,""))</f>
        <v/>
      </c>
      <c r="LW16" s="69" t="str">
        <f ca="1">IF(AND($C16="Goal",LW$8&gt;=$G16,LW$8&lt;=$G16+$H16-1),2,IF(AND($C16="Milestone",LW$8&gt;=$G16,LW$8&lt;=$G16+$H16-1),1,""))</f>
        <v/>
      </c>
      <c r="LX16" s="69" t="str">
        <f ca="1">IF(AND($C16="Goal",LX$8&gt;=$G16,LX$8&lt;=$G16+$H16-1),2,IF(AND($C16="Milestone",LX$8&gt;=$G16,LX$8&lt;=$G16+$H16-1),1,""))</f>
        <v/>
      </c>
    </row>
    <row r="17" spans="1:336" s="1" customFormat="1" ht="27.5" customHeight="1" x14ac:dyDescent="0.25">
      <c r="A17" s="7"/>
      <c r="B17" s="75" t="s">
        <v>35</v>
      </c>
      <c r="C17" s="53"/>
      <c r="D17" s="53" t="str">
        <f ca="1">IF(G17="","",
IF(G17+Milestones4352[[#This Row],[Days]]="","",
IF(OR(F17=1,F17=100%),"Complete",
CHOOSE(
  1
  + --(((1-IF(F17&gt;1,F17/100,F17))*POWER(2.718281828,(60-MAX(0,G17+Milestones4352[[#This Row],[Days]]-TODAY()))/12))&gt;=0.6)
  + --(((1-IF(F17&gt;1,F17/100,F17))*POWER(2.718281828,(60-MAX(0,G17+Milestones4352[[#This Row],[Days]]-TODAY()))/12))&gt;=1.2)
  + --(((1-IF(F17&gt;1,F17/100,F17))*POWER(2.718281828,(60-MAX(0,G17+Milestones4352[[#This Row],[Days]]-TODAY()))/12))&gt;=2),
  "On track","Low risk","Medium risk","High risk"
))))</f>
        <v/>
      </c>
      <c r="E17" s="53"/>
      <c r="F17" s="10"/>
      <c r="G17" s="20"/>
      <c r="H17" s="12"/>
      <c r="I17" s="12" t="str">
        <f t="shared" si="207"/>
        <v/>
      </c>
      <c r="J17" s="12" t="str">
        <f ca="1">IF(OR(Milestones4352[[#This Row],[Start]]="",Milestones4352[[#This Row],[Days]]=""),"",(Milestones4352[[#This Row],[Start]]+Milestones4352[[#This Row],[Days]])-TODAY())</f>
        <v/>
      </c>
      <c r="K17" s="9"/>
      <c r="L17" s="69" t="str">
        <f ca="1">IF(AND($C17="Goal",L$8&gt;=$G17,L$8&lt;=$G17+$H17-1),2,IF(AND($C17="Milestone",L$8&gt;=$G17,L$8&lt;=$G17+$H17-1),1,""))</f>
        <v/>
      </c>
      <c r="M17" s="69" t="str">
        <f ca="1">IF(AND($C17="Goal",M$8&gt;=$G17,M$8&lt;=$G17+$H17-1),2,IF(AND($C17="Milestone",M$8&gt;=$G17,M$8&lt;=$G17+$H17-1),1,""))</f>
        <v/>
      </c>
      <c r="N17" s="69" t="str">
        <f ca="1">IF(AND($C17="Goal",N$8&gt;=$G17,N$8&lt;=$G17+$H17-1),2,IF(AND($C17="Milestone",N$8&gt;=$G17,N$8&lt;=$G17+$H17-1),1,""))</f>
        <v/>
      </c>
      <c r="O17" s="69" t="str">
        <f ca="1">IF(AND($C17="Goal",O$8&gt;=$G17,O$8&lt;=$G17+$H17-1),2,IF(AND($C17="Milestone",O$8&gt;=$G17,O$8&lt;=$G17+$H17-1),1,""))</f>
        <v/>
      </c>
      <c r="P17" s="69" t="str">
        <f ca="1">IF(AND($C17="Goal",P$8&gt;=$G17,P$8&lt;=$G17+$H17-1),2,IF(AND($C17="Milestone",P$8&gt;=$G17,P$8&lt;=$G17+$H17-1),1,""))</f>
        <v/>
      </c>
      <c r="Q17" s="69" t="str">
        <f ca="1">IF(AND($C17="Goal",Q$8&gt;=$G17,Q$8&lt;=$G17+$H17-1),2,IF(AND($C17="Milestone",Q$8&gt;=$G17,Q$8&lt;=$G17+$H17-1),1,""))</f>
        <v/>
      </c>
      <c r="R17" s="69" t="str">
        <f ca="1">IF(AND($C17="Goal",R$8&gt;=$G17,R$8&lt;=$G17+$H17-1),2,IF(AND($C17="Milestone",R$8&gt;=$G17,R$8&lt;=$G17+$H17-1),1,""))</f>
        <v/>
      </c>
      <c r="S17" s="69" t="str">
        <f ca="1">IF(AND($C17="Goal",S$8&gt;=$G17,S$8&lt;=$G17+$H17-1),2,IF(AND($C17="Milestone",S$8&gt;=$G17,S$8&lt;=$G17+$H17-1),1,""))</f>
        <v/>
      </c>
      <c r="T17" s="69" t="str">
        <f ca="1">IF(AND($C17="Goal",T$8&gt;=$G17,T$8&lt;=$G17+$H17-1),2,IF(AND($C17="Milestone",T$8&gt;=$G17,T$8&lt;=$G17+$H17-1),1,""))</f>
        <v/>
      </c>
      <c r="U17" s="69" t="str">
        <f ca="1">IF(AND($C17="Goal",U$8&gt;=$G17,U$8&lt;=$G17+$H17-1),2,IF(AND($C17="Milestone",U$8&gt;=$G17,U$8&lt;=$G17+$H17-1),1,""))</f>
        <v/>
      </c>
      <c r="V17" s="69" t="str">
        <f ca="1">IF(AND($C17="Goal",V$8&gt;=$G17,V$8&lt;=$G17+$H17-1),2,IF(AND($C17="Milestone",V$8&gt;=$G17,V$8&lt;=$G17+$H17-1),1,""))</f>
        <v/>
      </c>
      <c r="W17" s="69" t="str">
        <f ca="1">IF(AND($C17="Goal",W$8&gt;=$G17,W$8&lt;=$G17+$H17-1),2,IF(AND($C17="Milestone",W$8&gt;=$G17,W$8&lt;=$G17+$H17-1),1,""))</f>
        <v/>
      </c>
      <c r="X17" s="69" t="str">
        <f ca="1">IF(AND($C17="Goal",X$8&gt;=$G17,X$8&lt;=$G17+$H17-1),2,IF(AND($C17="Milestone",X$8&gt;=$G17,X$8&lt;=$G17+$H17-1),1,""))</f>
        <v/>
      </c>
      <c r="Y17" s="69" t="str">
        <f ca="1">IF(AND($C17="Goal",Y$8&gt;=$G17,Y$8&lt;=$G17+$H17-1),2,IF(AND($C17="Milestone",Y$8&gt;=$G17,Y$8&lt;=$G17+$H17-1),1,""))</f>
        <v/>
      </c>
      <c r="Z17" s="69" t="str">
        <f ca="1">IF(AND($C17="Goal",Z$8&gt;=$G17,Z$8&lt;=$G17+$H17-1),2,IF(AND($C17="Milestone",Z$8&gt;=$G17,Z$8&lt;=$G17+$H17-1),1,""))</f>
        <v/>
      </c>
      <c r="AA17" s="69" t="str">
        <f ca="1">IF(AND($C17="Goal",AA$8&gt;=$G17,AA$8&lt;=$G17+$H17-1),2,IF(AND($C17="Milestone",AA$8&gt;=$G17,AA$8&lt;=$G17+$H17-1),1,""))</f>
        <v/>
      </c>
      <c r="AB17" s="69" t="str">
        <f ca="1">IF(AND($C17="Goal",AB$8&gt;=$G17,AB$8&lt;=$G17+$H17-1),2,IF(AND($C17="Milestone",AB$8&gt;=$G17,AB$8&lt;=$G17+$H17-1),1,""))</f>
        <v/>
      </c>
      <c r="AC17" s="69" t="str">
        <f ca="1">IF(AND($C17="Goal",AC$8&gt;=$G17,AC$8&lt;=$G17+$H17-1),2,IF(AND($C17="Milestone",AC$8&gt;=$G17,AC$8&lt;=$G17+$H17-1),1,""))</f>
        <v/>
      </c>
      <c r="AD17" s="69" t="str">
        <f ca="1">IF(AND($C17="Goal",AD$8&gt;=$G17,AD$8&lt;=$G17+$H17-1),2,IF(AND($C17="Milestone",AD$8&gt;=$G17,AD$8&lt;=$G17+$H17-1),1,""))</f>
        <v/>
      </c>
      <c r="AE17" s="69" t="str">
        <f ca="1">IF(AND($C17="Goal",AE$8&gt;=$G17,AE$8&lt;=$G17+$H17-1),2,IF(AND($C17="Milestone",AE$8&gt;=$G17,AE$8&lt;=$G17+$H17-1),1,""))</f>
        <v/>
      </c>
      <c r="AF17" s="69" t="str">
        <f ca="1">IF(AND($C17="Goal",AF$8&gt;=$G17,AF$8&lt;=$G17+$H17-1),2,IF(AND($C17="Milestone",AF$8&gt;=$G17,AF$8&lt;=$G17+$H17-1),1,""))</f>
        <v/>
      </c>
      <c r="AG17" s="69" t="str">
        <f ca="1">IF(AND($C17="Goal",AG$8&gt;=$G17,AG$8&lt;=$G17+$H17-1),2,IF(AND($C17="Milestone",AG$8&gt;=$G17,AG$8&lt;=$G17+$H17-1),1,""))</f>
        <v/>
      </c>
      <c r="AH17" s="69" t="str">
        <f ca="1">IF(AND($C17="Goal",AH$8&gt;=$G17,AH$8&lt;=$G17+$H17-1),2,IF(AND($C17="Milestone",AH$8&gt;=$G17,AH$8&lt;=$G17+$H17-1),1,""))</f>
        <v/>
      </c>
      <c r="AI17" s="69" t="str">
        <f ca="1">IF(AND($C17="Goal",AI$8&gt;=$G17,AI$8&lt;=$G17+$H17-1),2,IF(AND($C17="Milestone",AI$8&gt;=$G17,AI$8&lt;=$G17+$H17-1),1,""))</f>
        <v/>
      </c>
      <c r="AJ17" s="69" t="str">
        <f ca="1">IF(AND($C17="Goal",AJ$8&gt;=$G17,AJ$8&lt;=$G17+$H17-1),2,IF(AND($C17="Milestone",AJ$8&gt;=$G17,AJ$8&lt;=$G17+$H17-1),1,""))</f>
        <v/>
      </c>
      <c r="AK17" s="69" t="str">
        <f ca="1">IF(AND($C17="Goal",AK$8&gt;=$G17,AK$8&lt;=$G17+$H17-1),2,IF(AND($C17="Milestone",AK$8&gt;=$G17,AK$8&lt;=$G17+$H17-1),1,""))</f>
        <v/>
      </c>
      <c r="AL17" s="69" t="str">
        <f ca="1">IF(AND($C17="Goal",AL$8&gt;=$G17,AL$8&lt;=$G17+$H17-1),2,IF(AND($C17="Milestone",AL$8&gt;=$G17,AL$8&lt;=$G17+$H17-1),1,""))</f>
        <v/>
      </c>
      <c r="AM17" s="69" t="str">
        <f ca="1">IF(AND($C17="Goal",AM$8&gt;=$G17,AM$8&lt;=$G17+$H17-1),2,IF(AND($C17="Milestone",AM$8&gt;=$G17,AM$8&lt;=$G17+$H17-1),1,""))</f>
        <v/>
      </c>
      <c r="AN17" s="69" t="str">
        <f ca="1">IF(AND($C17="Goal",AN$8&gt;=$G17,AN$8&lt;=$G17+$H17-1),2,IF(AND($C17="Milestone",AN$8&gt;=$G17,AN$8&lt;=$G17+$H17-1),1,""))</f>
        <v/>
      </c>
      <c r="AO17" s="69" t="str">
        <f ca="1">IF(AND($C17="Goal",AO$8&gt;=$G17,AO$8&lt;=$G17+$H17-1),2,IF(AND($C17="Milestone",AO$8&gt;=$G17,AO$8&lt;=$G17+$H17-1),1,""))</f>
        <v/>
      </c>
      <c r="AP17" s="69" t="str">
        <f ca="1">IF(AND($C17="Goal",AP$8&gt;=$G17,AP$8&lt;=$G17+$H17-1),2,IF(AND($C17="Milestone",AP$8&gt;=$G17,AP$8&lt;=$G17+$H17-1),1,""))</f>
        <v/>
      </c>
      <c r="AQ17" s="69" t="str">
        <f ca="1">IF(AND($C17="Goal",AQ$8&gt;=$G17,AQ$8&lt;=$G17+$H17-1),2,IF(AND($C17="Milestone",AQ$8&gt;=$G17,AQ$8&lt;=$G17+$H17-1),1,""))</f>
        <v/>
      </c>
      <c r="AR17" s="69" t="str">
        <f ca="1">IF(AND($C17="Goal",AR$8&gt;=$G17,AR$8&lt;=$G17+$H17-1),2,IF(AND($C17="Milestone",AR$8&gt;=$G17,AR$8&lt;=$G17+$H17-1),1,""))</f>
        <v/>
      </c>
      <c r="AS17" s="69" t="str">
        <f ca="1">IF(AND($C17="Goal",AS$8&gt;=$G17,AS$8&lt;=$G17+$H17-1),2,IF(AND($C17="Milestone",AS$8&gt;=$G17,AS$8&lt;=$G17+$H17-1),1,""))</f>
        <v/>
      </c>
      <c r="AT17" s="69" t="str">
        <f ca="1">IF(AND($C17="Goal",AT$8&gt;=$G17,AT$8&lt;=$G17+$H17-1),2,IF(AND($C17="Milestone",AT$8&gt;=$G17,AT$8&lt;=$G17+$H17-1),1,""))</f>
        <v/>
      </c>
      <c r="AU17" s="69" t="str">
        <f ca="1">IF(AND($C17="Goal",AU$8&gt;=$G17,AU$8&lt;=$G17+$H17-1),2,IF(AND($C17="Milestone",AU$8&gt;=$G17,AU$8&lt;=$G17+$H17-1),1,""))</f>
        <v/>
      </c>
      <c r="AV17" s="69" t="str">
        <f ca="1">IF(AND($C17="Goal",AV$8&gt;=$G17,AV$8&lt;=$G17+$H17-1),2,IF(AND($C17="Milestone",AV$8&gt;=$G17,AV$8&lt;=$G17+$H17-1),1,""))</f>
        <v/>
      </c>
      <c r="AW17" s="69" t="str">
        <f ca="1">IF(AND($C17="Goal",AW$8&gt;=$G17,AW$8&lt;=$G17+$H17-1),2,IF(AND($C17="Milestone",AW$8&gt;=$G17,AW$8&lt;=$G17+$H17-1),1,""))</f>
        <v/>
      </c>
      <c r="AX17" s="69" t="str">
        <f ca="1">IF(AND($C17="Goal",AX$8&gt;=$G17,AX$8&lt;=$G17+$H17-1),2,IF(AND($C17="Milestone",AX$8&gt;=$G17,AX$8&lt;=$G17+$H17-1),1,""))</f>
        <v/>
      </c>
      <c r="AY17" s="69" t="str">
        <f ca="1">IF(AND($C17="Goal",AY$8&gt;=$G17,AY$8&lt;=$G17+$H17-1),2,IF(AND($C17="Milestone",AY$8&gt;=$G17,AY$8&lt;=$G17+$H17-1),1,""))</f>
        <v/>
      </c>
      <c r="AZ17" s="69" t="str">
        <f ca="1">IF(AND($C17="Goal",AZ$8&gt;=$G17,AZ$8&lt;=$G17+$H17-1),2,IF(AND($C17="Milestone",AZ$8&gt;=$G17,AZ$8&lt;=$G17+$H17-1),1,""))</f>
        <v/>
      </c>
      <c r="BA17" s="69" t="str">
        <f ca="1">IF(AND($C17="Goal",BA$8&gt;=$G17,BA$8&lt;=$G17+$H17-1),2,IF(AND($C17="Milestone",BA$8&gt;=$G17,BA$8&lt;=$G17+$H17-1),1,""))</f>
        <v/>
      </c>
      <c r="BB17" s="69" t="str">
        <f ca="1">IF(AND($C17="Goal",BB$8&gt;=$G17,BB$8&lt;=$G17+$H17-1),2,IF(AND($C17="Milestone",BB$8&gt;=$G17,BB$8&lt;=$G17+$H17-1),1,""))</f>
        <v/>
      </c>
      <c r="BC17" s="69" t="str">
        <f ca="1">IF(AND($C17="Goal",BC$8&gt;=$G17,BC$8&lt;=$G17+$H17-1),2,IF(AND($C17="Milestone",BC$8&gt;=$G17,BC$8&lt;=$G17+$H17-1),1,""))</f>
        <v/>
      </c>
      <c r="BD17" s="69" t="str">
        <f ca="1">IF(AND($C17="Goal",BD$8&gt;=$G17,BD$8&lt;=$G17+$H17-1),2,IF(AND($C17="Milestone",BD$8&gt;=$G17,BD$8&lt;=$G17+$H17-1),1,""))</f>
        <v/>
      </c>
      <c r="BE17" s="69" t="str">
        <f ca="1">IF(AND($C17="Goal",BE$8&gt;=$G17,BE$8&lt;=$G17+$H17-1),2,IF(AND($C17="Milestone",BE$8&gt;=$G17,BE$8&lt;=$G17+$H17-1),1,""))</f>
        <v/>
      </c>
      <c r="BF17" s="69" t="str">
        <f ca="1">IF(AND($C17="Goal",BF$8&gt;=$G17,BF$8&lt;=$G17+$H17-1),2,IF(AND($C17="Milestone",BF$8&gt;=$G17,BF$8&lt;=$G17+$H17-1),1,""))</f>
        <v/>
      </c>
      <c r="BG17" s="69" t="str">
        <f ca="1">IF(AND($C17="Goal",BG$8&gt;=$G17,BG$8&lt;=$G17+$H17-1),2,IF(AND($C17="Milestone",BG$8&gt;=$G17,BG$8&lt;=$G17+$H17-1),1,""))</f>
        <v/>
      </c>
      <c r="BH17" s="69" t="str">
        <f ca="1">IF(AND($C17="Goal",BH$8&gt;=$G17,BH$8&lt;=$G17+$H17-1),2,IF(AND($C17="Milestone",BH$8&gt;=$G17,BH$8&lt;=$G17+$H17-1),1,""))</f>
        <v/>
      </c>
      <c r="BI17" s="69" t="str">
        <f ca="1">IF(AND($C17="Goal",BI$8&gt;=$G17,BI$8&lt;=$G17+$H17-1),2,IF(AND($C17="Milestone",BI$8&gt;=$G17,BI$8&lt;=$G17+$H17-1),1,""))</f>
        <v/>
      </c>
      <c r="BJ17" s="69" t="str">
        <f ca="1">IF(AND($C17="Goal",BJ$8&gt;=$G17,BJ$8&lt;=$G17+$H17-1),2,IF(AND($C17="Milestone",BJ$8&gt;=$G17,BJ$8&lt;=$G17+$H17-1),1,""))</f>
        <v/>
      </c>
      <c r="BK17" s="69" t="str">
        <f ca="1">IF(AND($C17="Goal",BK$8&gt;=$G17,BK$8&lt;=$G17+$H17-1),2,IF(AND($C17="Milestone",BK$8&gt;=$G17,BK$8&lt;=$G17+$H17-1),1,""))</f>
        <v/>
      </c>
      <c r="BL17" s="69" t="str">
        <f ca="1">IF(AND($C17="Goal",BL$8&gt;=$G17,BL$8&lt;=$G17+$H17-1),2,IF(AND($C17="Milestone",BL$8&gt;=$G17,BL$8&lt;=$G17+$H17-1),1,""))</f>
        <v/>
      </c>
      <c r="BM17" s="69" t="str">
        <f ca="1">IF(AND($C17="Goal",BM$8&gt;=$G17,BM$8&lt;=$G17+$H17-1),2,IF(AND($C17="Milestone",BM$8&gt;=$G17,BM$8&lt;=$G17+$H17-1),1,""))</f>
        <v/>
      </c>
      <c r="BN17" s="69" t="str">
        <f ca="1">IF(AND($C17="Goal",BN$8&gt;=$G17,BN$8&lt;=$G17+$H17-1),2,IF(AND($C17="Milestone",BN$8&gt;=$G17,BN$8&lt;=$G17+$H17-1),1,""))</f>
        <v/>
      </c>
      <c r="BO17" s="69" t="str">
        <f ca="1">IF(AND($C17="Goal",BO$8&gt;=$G17,BO$8&lt;=$G17+$H17-1),2,IF(AND($C17="Milestone",BO$8&gt;=$G17,BO$8&lt;=$G17+$H17-1),1,""))</f>
        <v/>
      </c>
      <c r="BP17" s="69" t="str">
        <f ca="1">IF(AND($C17="Goal",BP$8&gt;=$G17,BP$8&lt;=$G17+$H17-1),2,IF(AND($C17="Milestone",BP$8&gt;=$G17,BP$8&lt;=$G17+$H17-1),1,""))</f>
        <v/>
      </c>
      <c r="BQ17" s="69" t="str">
        <f ca="1">IF(AND($C17="Goal",BQ$8&gt;=$G17,BQ$8&lt;=$G17+$H17-1),2,IF(AND($C17="Milestone",BQ$8&gt;=$G17,BQ$8&lt;=$G17+$H17-1),1,""))</f>
        <v/>
      </c>
      <c r="BR17" s="69" t="str">
        <f ca="1">IF(AND($C17="Goal",BR$8&gt;=$G17,BR$8&lt;=$G17+$H17-1),2,IF(AND($C17="Milestone",BR$8&gt;=$G17,BR$8&lt;=$G17+$H17-1),1,""))</f>
        <v/>
      </c>
      <c r="BS17" s="69" t="str">
        <f ca="1">IF(AND($C17="Goal",BS$8&gt;=$G17,BS$8&lt;=$G17+$H17-1),2,IF(AND($C17="Milestone",BS$8&gt;=$G17,BS$8&lt;=$G17+$H17-1),1,""))</f>
        <v/>
      </c>
      <c r="BT17" s="69" t="str">
        <f ca="1">IF(AND($C17="Goal",BT$8&gt;=$G17,BT$8&lt;=$G17+$H17-1),2,IF(AND($C17="Milestone",BT$8&gt;=$G17,BT$8&lt;=$G17+$H17-1),1,""))</f>
        <v/>
      </c>
      <c r="BU17" s="69" t="str">
        <f ca="1">IF(AND($C17="Goal",BU$8&gt;=$G17,BU$8&lt;=$G17+$H17-1),2,IF(AND($C17="Milestone",BU$8&gt;=$G17,BU$8&lt;=$G17+$H17-1),1,""))</f>
        <v/>
      </c>
      <c r="BV17" s="69" t="str">
        <f ca="1">IF(AND($C17="Goal",BV$8&gt;=$G17,BV$8&lt;=$G17+$H17-1),2,IF(AND($C17="Milestone",BV$8&gt;=$G17,BV$8&lt;=$G17+$H17-1),1,""))</f>
        <v/>
      </c>
      <c r="BW17" s="69" t="str">
        <f ca="1">IF(AND($C17="Goal",BW$8&gt;=$G17,BW$8&lt;=$G17+$H17-1),2,IF(AND($C17="Milestone",BW$8&gt;=$G17,BW$8&lt;=$G17+$H17-1),1,""))</f>
        <v/>
      </c>
      <c r="BX17" s="69" t="str">
        <f ca="1">IF(AND($C17="Goal",BX$8&gt;=$G17,BX$8&lt;=$G17+$H17-1),2,IF(AND($C17="Milestone",BX$8&gt;=$G17,BX$8&lt;=$G17+$H17-1),1,""))</f>
        <v/>
      </c>
      <c r="BY17" s="69" t="str">
        <f ca="1">IF(AND($C17="Goal",BY$8&gt;=$G17,BY$8&lt;=$G17+$H17-1),2,IF(AND($C17="Milestone",BY$8&gt;=$G17,BY$8&lt;=$G17+$H17-1),1,""))</f>
        <v/>
      </c>
      <c r="BZ17" s="69" t="str">
        <f ca="1">IF(AND($C17="Goal",BZ$8&gt;=$G17,BZ$8&lt;=$G17+$H17-1),2,IF(AND($C17="Milestone",BZ$8&gt;=$G17,BZ$8&lt;=$G17+$H17-1),1,""))</f>
        <v/>
      </c>
      <c r="CA17" s="69" t="str">
        <f ca="1">IF(AND($C17="Goal",CA$8&gt;=$G17,CA$8&lt;=$G17+$H17-1),2,IF(AND($C17="Milestone",CA$8&gt;=$G17,CA$8&lt;=$G17+$H17-1),1,""))</f>
        <v/>
      </c>
      <c r="CB17" s="69" t="str">
        <f ca="1">IF(AND($C17="Goal",CB$8&gt;=$G17,CB$8&lt;=$G17+$H17-1),2,IF(AND($C17="Milestone",CB$8&gt;=$G17,CB$8&lt;=$G17+$H17-1),1,""))</f>
        <v/>
      </c>
      <c r="CC17" s="69" t="str">
        <f ca="1">IF(AND($C17="Goal",CC$8&gt;=$G17,CC$8&lt;=$G17+$H17-1),2,IF(AND($C17="Milestone",CC$8&gt;=$G17,CC$8&lt;=$G17+$H17-1),1,""))</f>
        <v/>
      </c>
      <c r="CD17" s="69" t="str">
        <f ca="1">IF(AND($C17="Goal",CD$8&gt;=$G17,CD$8&lt;=$G17+$H17-1),2,IF(AND($C17="Milestone",CD$8&gt;=$G17,CD$8&lt;=$G17+$H17-1),1,""))</f>
        <v/>
      </c>
      <c r="CE17" s="69" t="str">
        <f ca="1">IF(AND($C17="Goal",CE$8&gt;=$G17,CE$8&lt;=$G17+$H17-1),2,IF(AND($C17="Milestone",CE$8&gt;=$G17,CE$8&lt;=$G17+$H17-1),1,""))</f>
        <v/>
      </c>
      <c r="CF17" s="69" t="str">
        <f ca="1">IF(AND($C17="Goal",CF$8&gt;=$G17,CF$8&lt;=$G17+$H17-1),2,IF(AND($C17="Milestone",CF$8&gt;=$G17,CF$8&lt;=$G17+$H17-1),1,""))</f>
        <v/>
      </c>
      <c r="CG17" s="69" t="str">
        <f ca="1">IF(AND($C17="Goal",CG$8&gt;=$G17,CG$8&lt;=$G17+$H17-1),2,IF(AND($C17="Milestone",CG$8&gt;=$G17,CG$8&lt;=$G17+$H17-1),1,""))</f>
        <v/>
      </c>
      <c r="CH17" s="69" t="str">
        <f ca="1">IF(AND($C17="Goal",CH$8&gt;=$G17,CH$8&lt;=$G17+$H17-1),2,IF(AND($C17="Milestone",CH$8&gt;=$G17,CH$8&lt;=$G17+$H17-1),1,""))</f>
        <v/>
      </c>
      <c r="CI17" s="69" t="str">
        <f ca="1">IF(AND($C17="Goal",CI$8&gt;=$G17,CI$8&lt;=$G17+$H17-1),2,IF(AND($C17="Milestone",CI$8&gt;=$G17,CI$8&lt;=$G17+$H17-1),1,""))</f>
        <v/>
      </c>
      <c r="CJ17" s="69" t="str">
        <f ca="1">IF(AND($C17="Goal",CJ$8&gt;=$G17,CJ$8&lt;=$G17+$H17-1),2,IF(AND($C17="Milestone",CJ$8&gt;=$G17,CJ$8&lt;=$G17+$H17-1),1,""))</f>
        <v/>
      </c>
      <c r="CK17" s="69" t="str">
        <f ca="1">IF(AND($C17="Goal",CK$8&gt;=$G17,CK$8&lt;=$G17+$H17-1),2,IF(AND($C17="Milestone",CK$8&gt;=$G17,CK$8&lt;=$G17+$H17-1),1,""))</f>
        <v/>
      </c>
      <c r="CL17" s="69" t="str">
        <f ca="1">IF(AND($C17="Goal",CL$8&gt;=$G17,CL$8&lt;=$G17+$H17-1),2,IF(AND($C17="Milestone",CL$8&gt;=$G17,CL$8&lt;=$G17+$H17-1),1,""))</f>
        <v/>
      </c>
      <c r="CM17" s="69" t="str">
        <f ca="1">IF(AND($C17="Goal",CM$8&gt;=$G17,CM$8&lt;=$G17+$H17-1),2,IF(AND($C17="Milestone",CM$8&gt;=$G17,CM$8&lt;=$G17+$H17-1),1,""))</f>
        <v/>
      </c>
      <c r="CN17" s="69" t="str">
        <f ca="1">IF(AND($C17="Goal",CN$8&gt;=$G17,CN$8&lt;=$G17+$H17-1),2,IF(AND($C17="Milestone",CN$8&gt;=$G17,CN$8&lt;=$G17+$H17-1),1,""))</f>
        <v/>
      </c>
      <c r="CO17" s="69" t="str">
        <f ca="1">IF(AND($C17="Goal",CO$8&gt;=$G17,CO$8&lt;=$G17+$H17-1),2,IF(AND($C17="Milestone",CO$8&gt;=$G17,CO$8&lt;=$G17+$H17-1),1,""))</f>
        <v/>
      </c>
      <c r="CP17" s="69" t="str">
        <f ca="1">IF(AND($C17="Goal",CP$8&gt;=$G17,CP$8&lt;=$G17+$H17-1),2,IF(AND($C17="Milestone",CP$8&gt;=$G17,CP$8&lt;=$G17+$H17-1),1,""))</f>
        <v/>
      </c>
      <c r="CQ17" s="69" t="str">
        <f ca="1">IF(AND($C17="Goal",CQ$8&gt;=$G17,CQ$8&lt;=$G17+$H17-1),2,IF(AND($C17="Milestone",CQ$8&gt;=$G17,CQ$8&lt;=$G17+$H17-1),1,""))</f>
        <v/>
      </c>
      <c r="CR17" s="69" t="str">
        <f ca="1">IF(AND($C17="Goal",CR$8&gt;=$G17,CR$8&lt;=$G17+$H17-1),2,IF(AND($C17="Milestone",CR$8&gt;=$G17,CR$8&lt;=$G17+$H17-1),1,""))</f>
        <v/>
      </c>
      <c r="CS17" s="69" t="str">
        <f ca="1">IF(AND($C17="Goal",CS$8&gt;=$G17,CS$8&lt;=$G17+$H17-1),2,IF(AND($C17="Milestone",CS$8&gt;=$G17,CS$8&lt;=$G17+$H17-1),1,""))</f>
        <v/>
      </c>
      <c r="CT17" s="69" t="str">
        <f ca="1">IF(AND($C17="Goal",CT$8&gt;=$G17,CT$8&lt;=$G17+$H17-1),2,IF(AND($C17="Milestone",CT$8&gt;=$G17,CT$8&lt;=$G17+$H17-1),1,""))</f>
        <v/>
      </c>
      <c r="CU17" s="69" t="str">
        <f ca="1">IF(AND($C17="Goal",CU$8&gt;=$G17,CU$8&lt;=$G17+$H17-1),2,IF(AND($C17="Milestone",CU$8&gt;=$G17,CU$8&lt;=$G17+$H17-1),1,""))</f>
        <v/>
      </c>
      <c r="CV17" s="69" t="str">
        <f ca="1">IF(AND($C17="Goal",CV$8&gt;=$G17,CV$8&lt;=$G17+$H17-1),2,IF(AND($C17="Milestone",CV$8&gt;=$G17,CV$8&lt;=$G17+$H17-1),1,""))</f>
        <v/>
      </c>
      <c r="CW17" s="69" t="str">
        <f ca="1">IF(AND($C17="Goal",CW$8&gt;=$G17,CW$8&lt;=$G17+$H17-1),2,IF(AND($C17="Milestone",CW$8&gt;=$G17,CW$8&lt;=$G17+$H17-1),1,""))</f>
        <v/>
      </c>
      <c r="CX17" s="69" t="str">
        <f ca="1">IF(AND($C17="Goal",CX$8&gt;=$G17,CX$8&lt;=$G17+$H17-1),2,IF(AND($C17="Milestone",CX$8&gt;=$G17,CX$8&lt;=$G17+$H17-1),1,""))</f>
        <v/>
      </c>
      <c r="CY17" s="69" t="str">
        <f ca="1">IF(AND($C17="Goal",CY$8&gt;=$G17,CY$8&lt;=$G17+$H17-1),2,IF(AND($C17="Milestone",CY$8&gt;=$G17,CY$8&lt;=$G17+$H17-1),1,""))</f>
        <v/>
      </c>
      <c r="CZ17" s="69" t="str">
        <f ca="1">IF(AND($C17="Goal",CZ$8&gt;=$G17,CZ$8&lt;=$G17+$H17-1),2,IF(AND($C17="Milestone",CZ$8&gt;=$G17,CZ$8&lt;=$G17+$H17-1),1,""))</f>
        <v/>
      </c>
      <c r="DA17" s="69" t="str">
        <f ca="1">IF(AND($C17="Goal",DA$8&gt;=$G17,DA$8&lt;=$G17+$H17-1),2,IF(AND($C17="Milestone",DA$8&gt;=$G17,DA$8&lt;=$G17+$H17-1),1,""))</f>
        <v/>
      </c>
      <c r="DB17" s="69" t="str">
        <f ca="1">IF(AND($C17="Goal",DB$8&gt;=$G17,DB$8&lt;=$G17+$H17-1),2,IF(AND($C17="Milestone",DB$8&gt;=$G17,DB$8&lt;=$G17+$H17-1),1,""))</f>
        <v/>
      </c>
      <c r="DC17" s="69" t="str">
        <f ca="1">IF(AND($C17="Goal",DC$8&gt;=$G17,DC$8&lt;=$G17+$H17-1),2,IF(AND($C17="Milestone",DC$8&gt;=$G17,DC$8&lt;=$G17+$H17-1),1,""))</f>
        <v/>
      </c>
      <c r="DD17" s="69" t="str">
        <f ca="1">IF(AND($C17="Goal",DD$8&gt;=$G17,DD$8&lt;=$G17+$H17-1),2,IF(AND($C17="Milestone",DD$8&gt;=$G17,DD$8&lt;=$G17+$H17-1),1,""))</f>
        <v/>
      </c>
      <c r="DE17" s="69" t="str">
        <f ca="1">IF(AND($C17="Goal",DE$8&gt;=$G17,DE$8&lt;=$G17+$H17-1),2,IF(AND($C17="Milestone",DE$8&gt;=$G17,DE$8&lt;=$G17+$H17-1),1,""))</f>
        <v/>
      </c>
      <c r="DF17" s="69" t="str">
        <f ca="1">IF(AND($C17="Goal",DF$8&gt;=$G17,DF$8&lt;=$G17+$H17-1),2,IF(AND($C17="Milestone",DF$8&gt;=$G17,DF$8&lt;=$G17+$H17-1),1,""))</f>
        <v/>
      </c>
      <c r="DG17" s="69" t="str">
        <f ca="1">IF(AND($C17="Goal",DG$8&gt;=$G17,DG$8&lt;=$G17+$H17-1),2,IF(AND($C17="Milestone",DG$8&gt;=$G17,DG$8&lt;=$G17+$H17-1),1,""))</f>
        <v/>
      </c>
      <c r="DH17" s="69" t="str">
        <f ca="1">IF(AND($C17="Goal",DH$8&gt;=$G17,DH$8&lt;=$G17+$H17-1),2,IF(AND($C17="Milestone",DH$8&gt;=$G17,DH$8&lt;=$G17+$H17-1),1,""))</f>
        <v/>
      </c>
      <c r="DI17" s="69" t="str">
        <f ca="1">IF(AND($C17="Goal",DI$8&gt;=$G17,DI$8&lt;=$G17+$H17-1),2,IF(AND($C17="Milestone",DI$8&gt;=$G17,DI$8&lt;=$G17+$H17-1),1,""))</f>
        <v/>
      </c>
      <c r="DJ17" s="69" t="str">
        <f ca="1">IF(AND($C17="Goal",DJ$8&gt;=$G17,DJ$8&lt;=$G17+$H17-1),2,IF(AND($C17="Milestone",DJ$8&gt;=$G17,DJ$8&lt;=$G17+$H17-1),1,""))</f>
        <v/>
      </c>
      <c r="DK17" s="69" t="str">
        <f ca="1">IF(AND($C17="Goal",DK$8&gt;=$G17,DK$8&lt;=$G17+$H17-1),2,IF(AND($C17="Milestone",DK$8&gt;=$G17,DK$8&lt;=$G17+$H17-1),1,""))</f>
        <v/>
      </c>
      <c r="DL17" s="69" t="str">
        <f ca="1">IF(AND($C17="Goal",DL$8&gt;=$G17,DL$8&lt;=$G17+$H17-1),2,IF(AND($C17="Milestone",DL$8&gt;=$G17,DL$8&lt;=$G17+$H17-1),1,""))</f>
        <v/>
      </c>
      <c r="DM17" s="69" t="str">
        <f ca="1">IF(AND($C17="Goal",DM$8&gt;=$G17,DM$8&lt;=$G17+$H17-1),2,IF(AND($C17="Milestone",DM$8&gt;=$G17,DM$8&lt;=$G17+$H17-1),1,""))</f>
        <v/>
      </c>
      <c r="DN17" s="69" t="str">
        <f ca="1">IF(AND($C17="Goal",DN$8&gt;=$G17,DN$8&lt;=$G17+$H17-1),2,IF(AND($C17="Milestone",DN$8&gt;=$G17,DN$8&lt;=$G17+$H17-1),1,""))</f>
        <v/>
      </c>
      <c r="DO17" s="69" t="str">
        <f ca="1">IF(AND($C17="Goal",DO$8&gt;=$G17,DO$8&lt;=$G17+$H17-1),2,IF(AND($C17="Milestone",DO$8&gt;=$G17,DO$8&lt;=$G17+$H17-1),1,""))</f>
        <v/>
      </c>
      <c r="DP17" s="69" t="str">
        <f ca="1">IF(AND($C17="Goal",DP$8&gt;=$G17,DP$8&lt;=$G17+$H17-1),2,IF(AND($C17="Milestone",DP$8&gt;=$G17,DP$8&lt;=$G17+$H17-1),1,""))</f>
        <v/>
      </c>
      <c r="DQ17" s="69" t="str">
        <f ca="1">IF(AND($C17="Goal",DQ$8&gt;=$G17,DQ$8&lt;=$G17+$H17-1),2,IF(AND($C17="Milestone",DQ$8&gt;=$G17,DQ$8&lt;=$G17+$H17-1),1,""))</f>
        <v/>
      </c>
      <c r="DR17" s="69" t="str">
        <f ca="1">IF(AND($C17="Goal",DR$8&gt;=$G17,DR$8&lt;=$G17+$H17-1),2,IF(AND($C17="Milestone",DR$8&gt;=$G17,DR$8&lt;=$G17+$H17-1),1,""))</f>
        <v/>
      </c>
      <c r="DS17" s="69" t="str">
        <f ca="1">IF(AND($C17="Goal",DS$8&gt;=$G17,DS$8&lt;=$G17+$H17-1),2,IF(AND($C17="Milestone",DS$8&gt;=$G17,DS$8&lt;=$G17+$H17-1),1,""))</f>
        <v/>
      </c>
      <c r="DT17" s="69" t="str">
        <f ca="1">IF(AND($C17="Goal",DT$8&gt;=$G17,DT$8&lt;=$G17+$H17-1),2,IF(AND($C17="Milestone",DT$8&gt;=$G17,DT$8&lt;=$G17+$H17-1),1,""))</f>
        <v/>
      </c>
      <c r="DU17" s="69" t="str">
        <f ca="1">IF(AND($C17="Goal",DU$8&gt;=$G17,DU$8&lt;=$G17+$H17-1),2,IF(AND($C17="Milestone",DU$8&gt;=$G17,DU$8&lt;=$G17+$H17-1),1,""))</f>
        <v/>
      </c>
      <c r="DV17" s="69" t="str">
        <f ca="1">IF(AND($C17="Goal",DV$8&gt;=$G17,DV$8&lt;=$G17+$H17-1),2,IF(AND($C17="Milestone",DV$8&gt;=$G17,DV$8&lt;=$G17+$H17-1),1,""))</f>
        <v/>
      </c>
      <c r="DW17" s="69" t="str">
        <f ca="1">IF(AND($C17="Goal",DW$8&gt;=$G17,DW$8&lt;=$G17+$H17-1),2,IF(AND($C17="Milestone",DW$8&gt;=$G17,DW$8&lt;=$G17+$H17-1),1,""))</f>
        <v/>
      </c>
      <c r="DX17" s="69" t="str">
        <f ca="1">IF(AND($C17="Goal",DX$8&gt;=$G17,DX$8&lt;=$G17+$H17-1),2,IF(AND($C17="Milestone",DX$8&gt;=$G17,DX$8&lt;=$G17+$H17-1),1,""))</f>
        <v/>
      </c>
      <c r="DY17" s="69" t="str">
        <f ca="1">IF(AND($C17="Goal",DY$8&gt;=$G17,DY$8&lt;=$G17+$H17-1),2,IF(AND($C17="Milestone",DY$8&gt;=$G17,DY$8&lt;=$G17+$H17-1),1,""))</f>
        <v/>
      </c>
      <c r="DZ17" s="69" t="str">
        <f ca="1">IF(AND($C17="Goal",DZ$8&gt;=$G17,DZ$8&lt;=$G17+$H17-1),2,IF(AND($C17="Milestone",DZ$8&gt;=$G17,DZ$8&lt;=$G17+$H17-1),1,""))</f>
        <v/>
      </c>
      <c r="EA17" s="69" t="str">
        <f ca="1">IF(AND($C17="Goal",EA$8&gt;=$G17,EA$8&lt;=$G17+$H17-1),2,IF(AND($C17="Milestone",EA$8&gt;=$G17,EA$8&lt;=$G17+$H17-1),1,""))</f>
        <v/>
      </c>
      <c r="EB17" s="69" t="str">
        <f ca="1">IF(AND($C17="Goal",EB$8&gt;=$G17,EB$8&lt;=$G17+$H17-1),2,IF(AND($C17="Milestone",EB$8&gt;=$G17,EB$8&lt;=$G17+$H17-1),1,""))</f>
        <v/>
      </c>
      <c r="EC17" s="69" t="str">
        <f ca="1">IF(AND($C17="Goal",EC$8&gt;=$G17,EC$8&lt;=$G17+$H17-1),2,IF(AND($C17="Milestone",EC$8&gt;=$G17,EC$8&lt;=$G17+$H17-1),1,""))</f>
        <v/>
      </c>
      <c r="ED17" s="69" t="str">
        <f ca="1">IF(AND($C17="Goal",ED$8&gt;=$G17,ED$8&lt;=$G17+$H17-1),2,IF(AND($C17="Milestone",ED$8&gt;=$G17,ED$8&lt;=$G17+$H17-1),1,""))</f>
        <v/>
      </c>
      <c r="EE17" s="69" t="str">
        <f ca="1">IF(AND($C17="Goal",EE$8&gt;=$G17,EE$8&lt;=$G17+$H17-1),2,IF(AND($C17="Milestone",EE$8&gt;=$G17,EE$8&lt;=$G17+$H17-1),1,""))</f>
        <v/>
      </c>
      <c r="EF17" s="69" t="str">
        <f ca="1">IF(AND($C17="Goal",EF$8&gt;=$G17,EF$8&lt;=$G17+$H17-1),2,IF(AND($C17="Milestone",EF$8&gt;=$G17,EF$8&lt;=$G17+$H17-1),1,""))</f>
        <v/>
      </c>
      <c r="EG17" s="69" t="str">
        <f ca="1">IF(AND($C17="Goal",EG$8&gt;=$G17,EG$8&lt;=$G17+$H17-1),2,IF(AND($C17="Milestone",EG$8&gt;=$G17,EG$8&lt;=$G17+$H17-1),1,""))</f>
        <v/>
      </c>
      <c r="EH17" s="69" t="str">
        <f ca="1">IF(AND($C17="Goal",EH$8&gt;=$G17,EH$8&lt;=$G17+$H17-1),2,IF(AND($C17="Milestone",EH$8&gt;=$G17,EH$8&lt;=$G17+$H17-1),1,""))</f>
        <v/>
      </c>
      <c r="EI17" s="69" t="str">
        <f ca="1">IF(AND($C17="Goal",EI$8&gt;=$G17,EI$8&lt;=$G17+$H17-1),2,IF(AND($C17="Milestone",EI$8&gt;=$G17,EI$8&lt;=$G17+$H17-1),1,""))</f>
        <v/>
      </c>
      <c r="EJ17" s="69" t="str">
        <f ca="1">IF(AND($C17="Goal",EJ$8&gt;=$G17,EJ$8&lt;=$G17+$H17-1),2,IF(AND($C17="Milestone",EJ$8&gt;=$G17,EJ$8&lt;=$G17+$H17-1),1,""))</f>
        <v/>
      </c>
      <c r="EK17" s="69" t="str">
        <f ca="1">IF(AND($C17="Goal",EK$8&gt;=$G17,EK$8&lt;=$G17+$H17-1),2,IF(AND($C17="Milestone",EK$8&gt;=$G17,EK$8&lt;=$G17+$H17-1),1,""))</f>
        <v/>
      </c>
      <c r="EL17" s="69" t="str">
        <f ca="1">IF(AND($C17="Goal",EL$8&gt;=$G17,EL$8&lt;=$G17+$H17-1),2,IF(AND($C17="Milestone",EL$8&gt;=$G17,EL$8&lt;=$G17+$H17-1),1,""))</f>
        <v/>
      </c>
      <c r="EM17" s="69" t="str">
        <f ca="1">IF(AND($C17="Goal",EM$8&gt;=$G17,EM$8&lt;=$G17+$H17-1),2,IF(AND($C17="Milestone",EM$8&gt;=$G17,EM$8&lt;=$G17+$H17-1),1,""))</f>
        <v/>
      </c>
      <c r="EN17" s="69" t="str">
        <f ca="1">IF(AND($C17="Goal",EN$8&gt;=$G17,EN$8&lt;=$G17+$H17-1),2,IF(AND($C17="Milestone",EN$8&gt;=$G17,EN$8&lt;=$G17+$H17-1),1,""))</f>
        <v/>
      </c>
      <c r="EO17" s="69" t="str">
        <f ca="1">IF(AND($C17="Goal",EO$8&gt;=$G17,EO$8&lt;=$G17+$H17-1),2,IF(AND($C17="Milestone",EO$8&gt;=$G17,EO$8&lt;=$G17+$H17-1),1,""))</f>
        <v/>
      </c>
      <c r="EP17" s="69" t="str">
        <f ca="1">IF(AND($C17="Goal",EP$8&gt;=$G17,EP$8&lt;=$G17+$H17-1),2,IF(AND($C17="Milestone",EP$8&gt;=$G17,EP$8&lt;=$G17+$H17-1),1,""))</f>
        <v/>
      </c>
      <c r="EQ17" s="69" t="str">
        <f ca="1">IF(AND($C17="Goal",EQ$8&gt;=$G17,EQ$8&lt;=$G17+$H17-1),2,IF(AND($C17="Milestone",EQ$8&gt;=$G17,EQ$8&lt;=$G17+$H17-1),1,""))</f>
        <v/>
      </c>
      <c r="ER17" s="69" t="str">
        <f ca="1">IF(AND($C17="Goal",ER$8&gt;=$G17,ER$8&lt;=$G17+$H17-1),2,IF(AND($C17="Milestone",ER$8&gt;=$G17,ER$8&lt;=$G17+$H17-1),1,""))</f>
        <v/>
      </c>
      <c r="ES17" s="69" t="str">
        <f ca="1">IF(AND($C17="Goal",ES$8&gt;=$G17,ES$8&lt;=$G17+$H17-1),2,IF(AND($C17="Milestone",ES$8&gt;=$G17,ES$8&lt;=$G17+$H17-1),1,""))</f>
        <v/>
      </c>
      <c r="ET17" s="69" t="str">
        <f ca="1">IF(AND($C17="Goal",ET$8&gt;=$G17,ET$8&lt;=$G17+$H17-1),2,IF(AND($C17="Milestone",ET$8&gt;=$G17,ET$8&lt;=$G17+$H17-1),1,""))</f>
        <v/>
      </c>
      <c r="EU17" s="69" t="str">
        <f ca="1">IF(AND($C17="Goal",EU$8&gt;=$G17,EU$8&lt;=$G17+$H17-1),2,IF(AND($C17="Milestone",EU$8&gt;=$G17,EU$8&lt;=$G17+$H17-1),1,""))</f>
        <v/>
      </c>
      <c r="EV17" s="69" t="str">
        <f ca="1">IF(AND($C17="Goal",EV$8&gt;=$G17,EV$8&lt;=$G17+$H17-1),2,IF(AND($C17="Milestone",EV$8&gt;=$G17,EV$8&lt;=$G17+$H17-1),1,""))</f>
        <v/>
      </c>
      <c r="EW17" s="69" t="str">
        <f ca="1">IF(AND($C17="Goal",EW$8&gt;=$G17,EW$8&lt;=$G17+$H17-1),2,IF(AND($C17="Milestone",EW$8&gt;=$G17,EW$8&lt;=$G17+$H17-1),1,""))</f>
        <v/>
      </c>
      <c r="EX17" s="69" t="str">
        <f ca="1">IF(AND($C17="Goal",EX$8&gt;=$G17,EX$8&lt;=$G17+$H17-1),2,IF(AND($C17="Milestone",EX$8&gt;=$G17,EX$8&lt;=$G17+$H17-1),1,""))</f>
        <v/>
      </c>
      <c r="EY17" s="69" t="str">
        <f ca="1">IF(AND($C17="Goal",EY$8&gt;=$G17,EY$8&lt;=$G17+$H17-1),2,IF(AND($C17="Milestone",EY$8&gt;=$G17,EY$8&lt;=$G17+$H17-1),1,""))</f>
        <v/>
      </c>
      <c r="EZ17" s="69" t="str">
        <f ca="1">IF(AND($C17="Goal",EZ$8&gt;=$G17,EZ$8&lt;=$G17+$H17-1),2,IF(AND($C17="Milestone",EZ$8&gt;=$G17,EZ$8&lt;=$G17+$H17-1),1,""))</f>
        <v/>
      </c>
      <c r="FA17" s="69" t="str">
        <f ca="1">IF(AND($C17="Goal",FA$8&gt;=$G17,FA$8&lt;=$G17+$H17-1),2,IF(AND($C17="Milestone",FA$8&gt;=$G17,FA$8&lt;=$G17+$H17-1),1,""))</f>
        <v/>
      </c>
      <c r="FB17" s="69" t="str">
        <f ca="1">IF(AND($C17="Goal",FB$8&gt;=$G17,FB$8&lt;=$G17+$H17-1),2,IF(AND($C17="Milestone",FB$8&gt;=$G17,FB$8&lt;=$G17+$H17-1),1,""))</f>
        <v/>
      </c>
      <c r="FC17" s="69" t="str">
        <f ca="1">IF(AND($C17="Goal",FC$8&gt;=$G17,FC$8&lt;=$G17+$H17-1),2,IF(AND($C17="Milestone",FC$8&gt;=$G17,FC$8&lt;=$G17+$H17-1),1,""))</f>
        <v/>
      </c>
      <c r="FD17" s="69" t="str">
        <f ca="1">IF(AND($C17="Goal",FD$8&gt;=$G17,FD$8&lt;=$G17+$H17-1),2,IF(AND($C17="Milestone",FD$8&gt;=$G17,FD$8&lt;=$G17+$H17-1),1,""))</f>
        <v/>
      </c>
      <c r="FE17" s="69" t="str">
        <f ca="1">IF(AND($C17="Goal",FE$8&gt;=$G17,FE$8&lt;=$G17+$H17-1),2,IF(AND($C17="Milestone",FE$8&gt;=$G17,FE$8&lt;=$G17+$H17-1),1,""))</f>
        <v/>
      </c>
      <c r="FF17" s="69" t="str">
        <f ca="1">IF(AND($C17="Goal",FF$8&gt;=$G17,FF$8&lt;=$G17+$H17-1),2,IF(AND($C17="Milestone",FF$8&gt;=$G17,FF$8&lt;=$G17+$H17-1),1,""))</f>
        <v/>
      </c>
      <c r="FG17" s="69" t="str">
        <f ca="1">IF(AND($C17="Goal",FG$8&gt;=$G17,FG$8&lt;=$G17+$H17-1),2,IF(AND($C17="Milestone",FG$8&gt;=$G17,FG$8&lt;=$G17+$H17-1),1,""))</f>
        <v/>
      </c>
      <c r="FH17" s="69" t="str">
        <f ca="1">IF(AND($C17="Goal",FH$8&gt;=$G17,FH$8&lt;=$G17+$H17-1),2,IF(AND($C17="Milestone",FH$8&gt;=$G17,FH$8&lt;=$G17+$H17-1),1,""))</f>
        <v/>
      </c>
      <c r="FI17" s="69" t="str">
        <f ca="1">IF(AND($C17="Goal",FI$8&gt;=$G17,FI$8&lt;=$G17+$H17-1),2,IF(AND($C17="Milestone",FI$8&gt;=$G17,FI$8&lt;=$G17+$H17-1),1,""))</f>
        <v/>
      </c>
      <c r="FJ17" s="69" t="str">
        <f ca="1">IF(AND($C17="Goal",FJ$8&gt;=$G17,FJ$8&lt;=$G17+$H17-1),2,IF(AND($C17="Milestone",FJ$8&gt;=$G17,FJ$8&lt;=$G17+$H17-1),1,""))</f>
        <v/>
      </c>
      <c r="FK17" s="69" t="str">
        <f ca="1">IF(AND($C17="Goal",FK$8&gt;=$G17,FK$8&lt;=$G17+$H17-1),2,IF(AND($C17="Milestone",FK$8&gt;=$G17,FK$8&lt;=$G17+$H17-1),1,""))</f>
        <v/>
      </c>
      <c r="FL17" s="69" t="str">
        <f ca="1">IF(AND($C17="Goal",FL$8&gt;=$G17,FL$8&lt;=$G17+$H17-1),2,IF(AND($C17="Milestone",FL$8&gt;=$G17,FL$8&lt;=$G17+$H17-1),1,""))</f>
        <v/>
      </c>
      <c r="FM17" s="69" t="str">
        <f ca="1">IF(AND($C17="Goal",FM$8&gt;=$G17,FM$8&lt;=$G17+$H17-1),2,IF(AND($C17="Milestone",FM$8&gt;=$G17,FM$8&lt;=$G17+$H17-1),1,""))</f>
        <v/>
      </c>
      <c r="FN17" s="69" t="str">
        <f ca="1">IF(AND($C17="Goal",FN$8&gt;=$G17,FN$8&lt;=$G17+$H17-1),2,IF(AND($C17="Milestone",FN$8&gt;=$G17,FN$8&lt;=$G17+$H17-1),1,""))</f>
        <v/>
      </c>
      <c r="FO17" s="69" t="str">
        <f ca="1">IF(AND($C17="Goal",FO$8&gt;=$G17,FO$8&lt;=$G17+$H17-1),2,IF(AND($C17="Milestone",FO$8&gt;=$G17,FO$8&lt;=$G17+$H17-1),1,""))</f>
        <v/>
      </c>
      <c r="FP17" s="69" t="str">
        <f ca="1">IF(AND($C17="Goal",FP$8&gt;=$G17,FP$8&lt;=$G17+$H17-1),2,IF(AND($C17="Milestone",FP$8&gt;=$G17,FP$8&lt;=$G17+$H17-1),1,""))</f>
        <v/>
      </c>
      <c r="FQ17" s="69" t="str">
        <f ca="1">IF(AND($C17="Goal",FQ$8&gt;=$G17,FQ$8&lt;=$G17+$H17-1),2,IF(AND($C17="Milestone",FQ$8&gt;=$G17,FQ$8&lt;=$G17+$H17-1),1,""))</f>
        <v/>
      </c>
      <c r="FR17" s="69" t="str">
        <f ca="1">IF(AND($C17="Goal",FR$8&gt;=$G17,FR$8&lt;=$G17+$H17-1),2,IF(AND($C17="Milestone",FR$8&gt;=$G17,FR$8&lt;=$G17+$H17-1),1,""))</f>
        <v/>
      </c>
      <c r="FS17" s="69" t="str">
        <f ca="1">IF(AND($C17="Goal",FS$8&gt;=$G17,FS$8&lt;=$G17+$H17-1),2,IF(AND($C17="Milestone",FS$8&gt;=$G17,FS$8&lt;=$G17+$H17-1),1,""))</f>
        <v/>
      </c>
      <c r="FT17" s="69" t="str">
        <f ca="1">IF(AND($C17="Goal",FT$8&gt;=$G17,FT$8&lt;=$G17+$H17-1),2,IF(AND($C17="Milestone",FT$8&gt;=$G17,FT$8&lt;=$G17+$H17-1),1,""))</f>
        <v/>
      </c>
      <c r="FU17" s="69" t="str">
        <f ca="1">IF(AND($C17="Goal",FU$8&gt;=$G17,FU$8&lt;=$G17+$H17-1),2,IF(AND($C17="Milestone",FU$8&gt;=$G17,FU$8&lt;=$G17+$H17-1),1,""))</f>
        <v/>
      </c>
      <c r="FV17" s="69" t="str">
        <f ca="1">IF(AND($C17="Goal",FV$8&gt;=$G17,FV$8&lt;=$G17+$H17-1),2,IF(AND($C17="Milestone",FV$8&gt;=$G17,FV$8&lt;=$G17+$H17-1),1,""))</f>
        <v/>
      </c>
      <c r="FW17" s="69" t="str">
        <f ca="1">IF(AND($C17="Goal",FW$8&gt;=$G17,FW$8&lt;=$G17+$H17-1),2,IF(AND($C17="Milestone",FW$8&gt;=$G17,FW$8&lt;=$G17+$H17-1),1,""))</f>
        <v/>
      </c>
      <c r="FX17" s="69" t="str">
        <f ca="1">IF(AND($C17="Goal",FX$8&gt;=$G17,FX$8&lt;=$G17+$H17-1),2,IF(AND($C17="Milestone",FX$8&gt;=$G17,FX$8&lt;=$G17+$H17-1),1,""))</f>
        <v/>
      </c>
      <c r="FY17" s="69" t="str">
        <f ca="1">IF(AND($C17="Goal",FY$8&gt;=$G17,FY$8&lt;=$G17+$H17-1),2,IF(AND($C17="Milestone",FY$8&gt;=$G17,FY$8&lt;=$G17+$H17-1),1,""))</f>
        <v/>
      </c>
      <c r="FZ17" s="69" t="str">
        <f ca="1">IF(AND($C17="Goal",FZ$8&gt;=$G17,FZ$8&lt;=$G17+$H17-1),2,IF(AND($C17="Milestone",FZ$8&gt;=$G17,FZ$8&lt;=$G17+$H17-1),1,""))</f>
        <v/>
      </c>
      <c r="GA17" s="69" t="str">
        <f ca="1">IF(AND($C17="Goal",GA$8&gt;=$G17,GA$8&lt;=$G17+$H17-1),2,IF(AND($C17="Milestone",GA$8&gt;=$G17,GA$8&lt;=$G17+$H17-1),1,""))</f>
        <v/>
      </c>
      <c r="GB17" s="69" t="str">
        <f ca="1">IF(AND($C17="Goal",GB$8&gt;=$G17,GB$8&lt;=$G17+$H17-1),2,IF(AND($C17="Milestone",GB$8&gt;=$G17,GB$8&lt;=$G17+$H17-1),1,""))</f>
        <v/>
      </c>
      <c r="GC17" s="69" t="str">
        <f ca="1">IF(AND($C17="Goal",GC$8&gt;=$G17,GC$8&lt;=$G17+$H17-1),2,IF(AND($C17="Milestone",GC$8&gt;=$G17,GC$8&lt;=$G17+$H17-1),1,""))</f>
        <v/>
      </c>
      <c r="GD17" s="69" t="str">
        <f ca="1">IF(AND($C17="Goal",GD$8&gt;=$G17,GD$8&lt;=$G17+$H17-1),2,IF(AND($C17="Milestone",GD$8&gt;=$G17,GD$8&lt;=$G17+$H17-1),1,""))</f>
        <v/>
      </c>
      <c r="GE17" s="69" t="str">
        <f ca="1">IF(AND($C17="Goal",GE$8&gt;=$G17,GE$8&lt;=$G17+$H17-1),2,IF(AND($C17="Milestone",GE$8&gt;=$G17,GE$8&lt;=$G17+$H17-1),1,""))</f>
        <v/>
      </c>
      <c r="GF17" s="69" t="str">
        <f ca="1">IF(AND($C17="Goal",GF$8&gt;=$G17,GF$8&lt;=$G17+$H17-1),2,IF(AND($C17="Milestone",GF$8&gt;=$G17,GF$8&lt;=$G17+$H17-1),1,""))</f>
        <v/>
      </c>
      <c r="GG17" s="69" t="str">
        <f ca="1">IF(AND($C17="Goal",GG$8&gt;=$G17,GG$8&lt;=$G17+$H17-1),2,IF(AND($C17="Milestone",GG$8&gt;=$G17,GG$8&lt;=$G17+$H17-1),1,""))</f>
        <v/>
      </c>
      <c r="GH17" s="69" t="str">
        <f ca="1">IF(AND($C17="Goal",GH$8&gt;=$G17,GH$8&lt;=$G17+$H17-1),2,IF(AND($C17="Milestone",GH$8&gt;=$G17,GH$8&lt;=$G17+$H17-1),1,""))</f>
        <v/>
      </c>
      <c r="GI17" s="69" t="str">
        <f ca="1">IF(AND($C17="Goal",GI$8&gt;=$G17,GI$8&lt;=$G17+$H17-1),2,IF(AND($C17="Milestone",GI$8&gt;=$G17,GI$8&lt;=$G17+$H17-1),1,""))</f>
        <v/>
      </c>
      <c r="GJ17" s="69" t="str">
        <f ca="1">IF(AND($C17="Goal",GJ$8&gt;=$G17,GJ$8&lt;=$G17+$H17-1),2,IF(AND($C17="Milestone",GJ$8&gt;=$G17,GJ$8&lt;=$G17+$H17-1),1,""))</f>
        <v/>
      </c>
      <c r="GK17" s="69" t="str">
        <f ca="1">IF(AND($C17="Goal",GK$8&gt;=$G17,GK$8&lt;=$G17+$H17-1),2,IF(AND($C17="Milestone",GK$8&gt;=$G17,GK$8&lt;=$G17+$H17-1),1,""))</f>
        <v/>
      </c>
      <c r="GL17" s="69" t="str">
        <f ca="1">IF(AND($C17="Goal",GL$8&gt;=$G17,GL$8&lt;=$G17+$H17-1),2,IF(AND($C17="Milestone",GL$8&gt;=$G17,GL$8&lt;=$G17+$H17-1),1,""))</f>
        <v/>
      </c>
      <c r="GM17" s="69" t="str">
        <f ca="1">IF(AND($C17="Goal",GM$8&gt;=$G17,GM$8&lt;=$G17+$H17-1),2,IF(AND($C17="Milestone",GM$8&gt;=$G17,GM$8&lt;=$G17+$H17-1),1,""))</f>
        <v/>
      </c>
      <c r="GN17" s="69" t="str">
        <f ca="1">IF(AND($C17="Goal",GN$8&gt;=$G17,GN$8&lt;=$G17+$H17-1),2,IF(AND($C17="Milestone",GN$8&gt;=$G17,GN$8&lt;=$G17+$H17-1),1,""))</f>
        <v/>
      </c>
      <c r="GO17" s="69" t="str">
        <f ca="1">IF(AND($C17="Goal",GO$8&gt;=$G17,GO$8&lt;=$G17+$H17-1),2,IF(AND($C17="Milestone",GO$8&gt;=$G17,GO$8&lt;=$G17+$H17-1),1,""))</f>
        <v/>
      </c>
      <c r="GP17" s="69" t="str">
        <f ca="1">IF(AND($C17="Goal",GP$8&gt;=$G17,GP$8&lt;=$G17+$H17-1),2,IF(AND($C17="Milestone",GP$8&gt;=$G17,GP$8&lt;=$G17+$H17-1),1,""))</f>
        <v/>
      </c>
      <c r="GQ17" s="69" t="str">
        <f ca="1">IF(AND($C17="Goal",GQ$8&gt;=$G17,GQ$8&lt;=$G17+$H17-1),2,IF(AND($C17="Milestone",GQ$8&gt;=$G17,GQ$8&lt;=$G17+$H17-1),1,""))</f>
        <v/>
      </c>
      <c r="GR17" s="69" t="str">
        <f ca="1">IF(AND($C17="Goal",GR$8&gt;=$G17,GR$8&lt;=$G17+$H17-1),2,IF(AND($C17="Milestone",GR$8&gt;=$G17,GR$8&lt;=$G17+$H17-1),1,""))</f>
        <v/>
      </c>
      <c r="GS17" s="69" t="str">
        <f ca="1">IF(AND($C17="Goal",GS$8&gt;=$G17,GS$8&lt;=$G17+$H17-1),2,IF(AND($C17="Milestone",GS$8&gt;=$G17,GS$8&lt;=$G17+$H17-1),1,""))</f>
        <v/>
      </c>
      <c r="GT17" s="69" t="str">
        <f ca="1">IF(AND($C17="Goal",GT$8&gt;=$G17,GT$8&lt;=$G17+$H17-1),2,IF(AND($C17="Milestone",GT$8&gt;=$G17,GT$8&lt;=$G17+$H17-1),1,""))</f>
        <v/>
      </c>
      <c r="GU17" s="69" t="str">
        <f ca="1">IF(AND($C17="Goal",GU$8&gt;=$G17,GU$8&lt;=$G17+$H17-1),2,IF(AND($C17="Milestone",GU$8&gt;=$G17,GU$8&lt;=$G17+$H17-1),1,""))</f>
        <v/>
      </c>
      <c r="GV17" s="69" t="str">
        <f ca="1">IF(AND($C17="Goal",GV$8&gt;=$G17,GV$8&lt;=$G17+$H17-1),2,IF(AND($C17="Milestone",GV$8&gt;=$G17,GV$8&lt;=$G17+$H17-1),1,""))</f>
        <v/>
      </c>
      <c r="GW17" s="69" t="str">
        <f ca="1">IF(AND($C17="Goal",GW$8&gt;=$G17,GW$8&lt;=$G17+$H17-1),2,IF(AND($C17="Milestone",GW$8&gt;=$G17,GW$8&lt;=$G17+$H17-1),1,""))</f>
        <v/>
      </c>
      <c r="GX17" s="69" t="str">
        <f ca="1">IF(AND($C17="Goal",GX$8&gt;=$G17,GX$8&lt;=$G17+$H17-1),2,IF(AND($C17="Milestone",GX$8&gt;=$G17,GX$8&lt;=$G17+$H17-1),1,""))</f>
        <v/>
      </c>
      <c r="GY17" s="69" t="str">
        <f ca="1">IF(AND($C17="Goal",GY$8&gt;=$G17,GY$8&lt;=$G17+$H17-1),2,IF(AND($C17="Milestone",GY$8&gt;=$G17,GY$8&lt;=$G17+$H17-1),1,""))</f>
        <v/>
      </c>
      <c r="GZ17" s="69" t="str">
        <f ca="1">IF(AND($C17="Goal",GZ$8&gt;=$G17,GZ$8&lt;=$G17+$H17-1),2,IF(AND($C17="Milestone",GZ$8&gt;=$G17,GZ$8&lt;=$G17+$H17-1),1,""))</f>
        <v/>
      </c>
      <c r="HA17" s="69" t="str">
        <f ca="1">IF(AND($C17="Goal",HA$8&gt;=$G17,HA$8&lt;=$G17+$H17-1),2,IF(AND($C17="Milestone",HA$8&gt;=$G17,HA$8&lt;=$G17+$H17-1),1,""))</f>
        <v/>
      </c>
      <c r="HB17" s="69" t="str">
        <f ca="1">IF(AND($C17="Goal",HB$8&gt;=$G17,HB$8&lt;=$G17+$H17-1),2,IF(AND($C17="Milestone",HB$8&gt;=$G17,HB$8&lt;=$G17+$H17-1),1,""))</f>
        <v/>
      </c>
      <c r="HC17" s="69" t="str">
        <f ca="1">IF(AND($C17="Goal",HC$8&gt;=$G17,HC$8&lt;=$G17+$H17-1),2,IF(AND($C17="Milestone",HC$8&gt;=$G17,HC$8&lt;=$G17+$H17-1),1,""))</f>
        <v/>
      </c>
      <c r="HD17" s="69" t="str">
        <f ca="1">IF(AND($C17="Goal",HD$8&gt;=$G17,HD$8&lt;=$G17+$H17-1),2,IF(AND($C17="Milestone",HD$8&gt;=$G17,HD$8&lt;=$G17+$H17-1),1,""))</f>
        <v/>
      </c>
      <c r="HE17" s="69" t="str">
        <f ca="1">IF(AND($C17="Goal",HE$8&gt;=$G17,HE$8&lt;=$G17+$H17-1),2,IF(AND($C17="Milestone",HE$8&gt;=$G17,HE$8&lt;=$G17+$H17-1),1,""))</f>
        <v/>
      </c>
      <c r="HF17" s="69" t="str">
        <f ca="1">IF(AND($C17="Goal",HF$8&gt;=$G17,HF$8&lt;=$G17+$H17-1),2,IF(AND($C17="Milestone",HF$8&gt;=$G17,HF$8&lt;=$G17+$H17-1),1,""))</f>
        <v/>
      </c>
      <c r="HG17" s="69" t="str">
        <f ca="1">IF(AND($C17="Goal",HG$8&gt;=$G17,HG$8&lt;=$G17+$H17-1),2,IF(AND($C17="Milestone",HG$8&gt;=$G17,HG$8&lt;=$G17+$H17-1),1,""))</f>
        <v/>
      </c>
      <c r="HH17" s="69" t="str">
        <f ca="1">IF(AND($C17="Goal",HH$8&gt;=$G17,HH$8&lt;=$G17+$H17-1),2,IF(AND($C17="Milestone",HH$8&gt;=$G17,HH$8&lt;=$G17+$H17-1),1,""))</f>
        <v/>
      </c>
      <c r="HI17" s="69" t="str">
        <f ca="1">IF(AND($C17="Goal",HI$8&gt;=$G17,HI$8&lt;=$G17+$H17-1),2,IF(AND($C17="Milestone",HI$8&gt;=$G17,HI$8&lt;=$G17+$H17-1),1,""))</f>
        <v/>
      </c>
      <c r="HJ17" s="69" t="str">
        <f ca="1">IF(AND($C17="Goal",HJ$8&gt;=$G17,HJ$8&lt;=$G17+$H17-1),2,IF(AND($C17="Milestone",HJ$8&gt;=$G17,HJ$8&lt;=$G17+$H17-1),1,""))</f>
        <v/>
      </c>
      <c r="HK17" s="69" t="str">
        <f ca="1">IF(AND($C17="Goal",HK$8&gt;=$G17,HK$8&lt;=$G17+$H17-1),2,IF(AND($C17="Milestone",HK$8&gt;=$G17,HK$8&lt;=$G17+$H17-1),1,""))</f>
        <v/>
      </c>
      <c r="HL17" s="69" t="str">
        <f ca="1">IF(AND($C17="Goal",HL$8&gt;=$G17,HL$8&lt;=$G17+$H17-1),2,IF(AND($C17="Milestone",HL$8&gt;=$G17,HL$8&lt;=$G17+$H17-1),1,""))</f>
        <v/>
      </c>
      <c r="HM17" s="69" t="str">
        <f ca="1">IF(AND($C17="Goal",HM$8&gt;=$G17,HM$8&lt;=$G17+$H17-1),2,IF(AND($C17="Milestone",HM$8&gt;=$G17,HM$8&lt;=$G17+$H17-1),1,""))</f>
        <v/>
      </c>
      <c r="HN17" s="69" t="str">
        <f ca="1">IF(AND($C17="Goal",HN$8&gt;=$G17,HN$8&lt;=$G17+$H17-1),2,IF(AND($C17="Milestone",HN$8&gt;=$G17,HN$8&lt;=$G17+$H17-1),1,""))</f>
        <v/>
      </c>
      <c r="HO17" s="69" t="str">
        <f ca="1">IF(AND($C17="Goal",HO$8&gt;=$G17,HO$8&lt;=$G17+$H17-1),2,IF(AND($C17="Milestone",HO$8&gt;=$G17,HO$8&lt;=$G17+$H17-1),1,""))</f>
        <v/>
      </c>
      <c r="HP17" s="69" t="str">
        <f ca="1">IF(AND($C17="Goal",HP$8&gt;=$G17,HP$8&lt;=$G17+$H17-1),2,IF(AND($C17="Milestone",HP$8&gt;=$G17,HP$8&lt;=$G17+$H17-1),1,""))</f>
        <v/>
      </c>
      <c r="HQ17" s="69" t="str">
        <f ca="1">IF(AND($C17="Goal",HQ$8&gt;=$G17,HQ$8&lt;=$G17+$H17-1),2,IF(AND($C17="Milestone",HQ$8&gt;=$G17,HQ$8&lt;=$G17+$H17-1),1,""))</f>
        <v/>
      </c>
      <c r="HR17" s="69" t="str">
        <f ca="1">IF(AND($C17="Goal",HR$8&gt;=$G17,HR$8&lt;=$G17+$H17-1),2,IF(AND($C17="Milestone",HR$8&gt;=$G17,HR$8&lt;=$G17+$H17-1),1,""))</f>
        <v/>
      </c>
      <c r="HS17" s="69" t="str">
        <f ca="1">IF(AND($C17="Goal",HS$8&gt;=$G17,HS$8&lt;=$G17+$H17-1),2,IF(AND($C17="Milestone",HS$8&gt;=$G17,HS$8&lt;=$G17+$H17-1),1,""))</f>
        <v/>
      </c>
      <c r="HT17" s="69" t="str">
        <f ca="1">IF(AND($C17="Goal",HT$8&gt;=$G17,HT$8&lt;=$G17+$H17-1),2,IF(AND($C17="Milestone",HT$8&gt;=$G17,HT$8&lt;=$G17+$H17-1),1,""))</f>
        <v/>
      </c>
      <c r="HU17" s="69" t="str">
        <f ca="1">IF(AND($C17="Goal",HU$8&gt;=$G17,HU$8&lt;=$G17+$H17-1),2,IF(AND($C17="Milestone",HU$8&gt;=$G17,HU$8&lt;=$G17+$H17-1),1,""))</f>
        <v/>
      </c>
      <c r="HV17" s="69" t="str">
        <f ca="1">IF(AND($C17="Goal",HV$8&gt;=$G17,HV$8&lt;=$G17+$H17-1),2,IF(AND($C17="Milestone",HV$8&gt;=$G17,HV$8&lt;=$G17+$H17-1),1,""))</f>
        <v/>
      </c>
      <c r="HW17" s="69" t="str">
        <f ca="1">IF(AND($C17="Goal",HW$8&gt;=$G17,HW$8&lt;=$G17+$H17-1),2,IF(AND($C17="Milestone",HW$8&gt;=$G17,HW$8&lt;=$G17+$H17-1),1,""))</f>
        <v/>
      </c>
      <c r="HX17" s="69" t="str">
        <f ca="1">IF(AND($C17="Goal",HX$8&gt;=$G17,HX$8&lt;=$G17+$H17-1),2,IF(AND($C17="Milestone",HX$8&gt;=$G17,HX$8&lt;=$G17+$H17-1),1,""))</f>
        <v/>
      </c>
      <c r="HY17" s="69" t="str">
        <f ca="1">IF(AND($C17="Goal",HY$8&gt;=$G17,HY$8&lt;=$G17+$H17-1),2,IF(AND($C17="Milestone",HY$8&gt;=$G17,HY$8&lt;=$G17+$H17-1),1,""))</f>
        <v/>
      </c>
      <c r="HZ17" s="69" t="str">
        <f ca="1">IF(AND($C17="Goal",HZ$8&gt;=$G17,HZ$8&lt;=$G17+$H17-1),2,IF(AND($C17="Milestone",HZ$8&gt;=$G17,HZ$8&lt;=$G17+$H17-1),1,""))</f>
        <v/>
      </c>
      <c r="IA17" s="69" t="str">
        <f ca="1">IF(AND($C17="Goal",IA$8&gt;=$G17,IA$8&lt;=$G17+$H17-1),2,IF(AND($C17="Milestone",IA$8&gt;=$G17,IA$8&lt;=$G17+$H17-1),1,""))</f>
        <v/>
      </c>
      <c r="IB17" s="69" t="str">
        <f ca="1">IF(AND($C17="Goal",IB$8&gt;=$G17,IB$8&lt;=$G17+$H17-1),2,IF(AND($C17="Milestone",IB$8&gt;=$G17,IB$8&lt;=$G17+$H17-1),1,""))</f>
        <v/>
      </c>
      <c r="IC17" s="69" t="str">
        <f ca="1">IF(AND($C17="Goal",IC$8&gt;=$G17,IC$8&lt;=$G17+$H17-1),2,IF(AND($C17="Milestone",IC$8&gt;=$G17,IC$8&lt;=$G17+$H17-1),1,""))</f>
        <v/>
      </c>
      <c r="ID17" s="69" t="str">
        <f ca="1">IF(AND($C17="Goal",ID$8&gt;=$G17,ID$8&lt;=$G17+$H17-1),2,IF(AND($C17="Milestone",ID$8&gt;=$G17,ID$8&lt;=$G17+$H17-1),1,""))</f>
        <v/>
      </c>
      <c r="IE17" s="69" t="str">
        <f ca="1">IF(AND($C17="Goal",IE$8&gt;=$G17,IE$8&lt;=$G17+$H17-1),2,IF(AND($C17="Milestone",IE$8&gt;=$G17,IE$8&lt;=$G17+$H17-1),1,""))</f>
        <v/>
      </c>
      <c r="IF17" s="69" t="str">
        <f ca="1">IF(AND($C17="Goal",IF$8&gt;=$G17,IF$8&lt;=$G17+$H17-1),2,IF(AND($C17="Milestone",IF$8&gt;=$G17,IF$8&lt;=$G17+$H17-1),1,""))</f>
        <v/>
      </c>
      <c r="IG17" s="69" t="str">
        <f ca="1">IF(AND($C17="Goal",IG$8&gt;=$G17,IG$8&lt;=$G17+$H17-1),2,IF(AND($C17="Milestone",IG$8&gt;=$G17,IG$8&lt;=$G17+$H17-1),1,""))</f>
        <v/>
      </c>
      <c r="IH17" s="69" t="str">
        <f ca="1">IF(AND($C17="Goal",IH$8&gt;=$G17,IH$8&lt;=$G17+$H17-1),2,IF(AND($C17="Milestone",IH$8&gt;=$G17,IH$8&lt;=$G17+$H17-1),1,""))</f>
        <v/>
      </c>
      <c r="II17" s="69" t="str">
        <f ca="1">IF(AND($C17="Goal",II$8&gt;=$G17,II$8&lt;=$G17+$H17-1),2,IF(AND($C17="Milestone",II$8&gt;=$G17,II$8&lt;=$G17+$H17-1),1,""))</f>
        <v/>
      </c>
      <c r="IJ17" s="69" t="str">
        <f ca="1">IF(AND($C17="Goal",IJ$8&gt;=$G17,IJ$8&lt;=$G17+$H17-1),2,IF(AND($C17="Milestone",IJ$8&gt;=$G17,IJ$8&lt;=$G17+$H17-1),1,""))</f>
        <v/>
      </c>
      <c r="IK17" s="69" t="str">
        <f ca="1">IF(AND($C17="Goal",IK$8&gt;=$G17,IK$8&lt;=$G17+$H17-1),2,IF(AND($C17="Milestone",IK$8&gt;=$G17,IK$8&lt;=$G17+$H17-1),1,""))</f>
        <v/>
      </c>
      <c r="IL17" s="69" t="str">
        <f ca="1">IF(AND($C17="Goal",IL$8&gt;=$G17,IL$8&lt;=$G17+$H17-1),2,IF(AND($C17="Milestone",IL$8&gt;=$G17,IL$8&lt;=$G17+$H17-1),1,""))</f>
        <v/>
      </c>
      <c r="IM17" s="69" t="str">
        <f ca="1">IF(AND($C17="Goal",IM$8&gt;=$G17,IM$8&lt;=$G17+$H17-1),2,IF(AND($C17="Milestone",IM$8&gt;=$G17,IM$8&lt;=$G17+$H17-1),1,""))</f>
        <v/>
      </c>
      <c r="IN17" s="69" t="str">
        <f ca="1">IF(AND($C17="Goal",IN$8&gt;=$G17,IN$8&lt;=$G17+$H17-1),2,IF(AND($C17="Milestone",IN$8&gt;=$G17,IN$8&lt;=$G17+$H17-1),1,""))</f>
        <v/>
      </c>
      <c r="IO17" s="69" t="str">
        <f ca="1">IF(AND($C17="Goal",IO$8&gt;=$G17,IO$8&lt;=$G17+$H17-1),2,IF(AND($C17="Milestone",IO$8&gt;=$G17,IO$8&lt;=$G17+$H17-1),1,""))</f>
        <v/>
      </c>
      <c r="IP17" s="69" t="str">
        <f ca="1">IF(AND($C17="Goal",IP$8&gt;=$G17,IP$8&lt;=$G17+$H17-1),2,IF(AND($C17="Milestone",IP$8&gt;=$G17,IP$8&lt;=$G17+$H17-1),1,""))</f>
        <v/>
      </c>
      <c r="IQ17" s="69" t="str">
        <f ca="1">IF(AND($C17="Goal",IQ$8&gt;=$G17,IQ$8&lt;=$G17+$H17-1),2,IF(AND($C17="Milestone",IQ$8&gt;=$G17,IQ$8&lt;=$G17+$H17-1),1,""))</f>
        <v/>
      </c>
      <c r="IR17" s="69" t="str">
        <f ca="1">IF(AND($C17="Goal",IR$8&gt;=$G17,IR$8&lt;=$G17+$H17-1),2,IF(AND($C17="Milestone",IR$8&gt;=$G17,IR$8&lt;=$G17+$H17-1),1,""))</f>
        <v/>
      </c>
      <c r="IS17" s="69" t="str">
        <f ca="1">IF(AND($C17="Goal",IS$8&gt;=$G17,IS$8&lt;=$G17+$H17-1),2,IF(AND($C17="Milestone",IS$8&gt;=$G17,IS$8&lt;=$G17+$H17-1),1,""))</f>
        <v/>
      </c>
      <c r="IT17" s="69" t="str">
        <f ca="1">IF(AND($C17="Goal",IT$8&gt;=$G17,IT$8&lt;=$G17+$H17-1),2,IF(AND($C17="Milestone",IT$8&gt;=$G17,IT$8&lt;=$G17+$H17-1),1,""))</f>
        <v/>
      </c>
      <c r="IU17" s="69" t="str">
        <f ca="1">IF(AND($C17="Goal",IU$8&gt;=$G17,IU$8&lt;=$G17+$H17-1),2,IF(AND($C17="Milestone",IU$8&gt;=$G17,IU$8&lt;=$G17+$H17-1),1,""))</f>
        <v/>
      </c>
      <c r="IV17" s="69" t="str">
        <f ca="1">IF(AND($C17="Goal",IV$8&gt;=$G17,IV$8&lt;=$G17+$H17-1),2,IF(AND($C17="Milestone",IV$8&gt;=$G17,IV$8&lt;=$G17+$H17-1),1,""))</f>
        <v/>
      </c>
      <c r="IW17" s="69" t="str">
        <f ca="1">IF(AND($C17="Goal",IW$8&gt;=$G17,IW$8&lt;=$G17+$H17-1),2,IF(AND($C17="Milestone",IW$8&gt;=$G17,IW$8&lt;=$G17+$H17-1),1,""))</f>
        <v/>
      </c>
      <c r="IX17" s="69" t="str">
        <f ca="1">IF(AND($C17="Goal",IX$8&gt;=$G17,IX$8&lt;=$G17+$H17-1),2,IF(AND($C17="Milestone",IX$8&gt;=$G17,IX$8&lt;=$G17+$H17-1),1,""))</f>
        <v/>
      </c>
      <c r="IY17" s="69" t="str">
        <f ca="1">IF(AND($C17="Goal",IY$8&gt;=$G17,IY$8&lt;=$G17+$H17-1),2,IF(AND($C17="Milestone",IY$8&gt;=$G17,IY$8&lt;=$G17+$H17-1),1,""))</f>
        <v/>
      </c>
      <c r="IZ17" s="69" t="str">
        <f ca="1">IF(AND($C17="Goal",IZ$8&gt;=$G17,IZ$8&lt;=$G17+$H17-1),2,IF(AND($C17="Milestone",IZ$8&gt;=$G17,IZ$8&lt;=$G17+$H17-1),1,""))</f>
        <v/>
      </c>
      <c r="JA17" s="69" t="str">
        <f ca="1">IF(AND($C17="Goal",JA$8&gt;=$G17,JA$8&lt;=$G17+$H17-1),2,IF(AND($C17="Milestone",JA$8&gt;=$G17,JA$8&lt;=$G17+$H17-1),1,""))</f>
        <v/>
      </c>
      <c r="JB17" s="69" t="str">
        <f ca="1">IF(AND($C17="Goal",JB$8&gt;=$G17,JB$8&lt;=$G17+$H17-1),2,IF(AND($C17="Milestone",JB$8&gt;=$G17,JB$8&lt;=$G17+$H17-1),1,""))</f>
        <v/>
      </c>
      <c r="JC17" s="69" t="str">
        <f ca="1">IF(AND($C17="Goal",JC$8&gt;=$G17,JC$8&lt;=$G17+$H17-1),2,IF(AND($C17="Milestone",JC$8&gt;=$G17,JC$8&lt;=$G17+$H17-1),1,""))</f>
        <v/>
      </c>
      <c r="JD17" s="69" t="str">
        <f ca="1">IF(AND($C17="Goal",JD$8&gt;=$G17,JD$8&lt;=$G17+$H17-1),2,IF(AND($C17="Milestone",JD$8&gt;=$G17,JD$8&lt;=$G17+$H17-1),1,""))</f>
        <v/>
      </c>
      <c r="JE17" s="69" t="str">
        <f ca="1">IF(AND($C17="Goal",JE$8&gt;=$G17,JE$8&lt;=$G17+$H17-1),2,IF(AND($C17="Milestone",JE$8&gt;=$G17,JE$8&lt;=$G17+$H17-1),1,""))</f>
        <v/>
      </c>
      <c r="JF17" s="69" t="str">
        <f ca="1">IF(AND($C17="Goal",JF$8&gt;=$G17,JF$8&lt;=$G17+$H17-1),2,IF(AND($C17="Milestone",JF$8&gt;=$G17,JF$8&lt;=$G17+$H17-1),1,""))</f>
        <v/>
      </c>
      <c r="JG17" s="69" t="str">
        <f ca="1">IF(AND($C17="Goal",JG$8&gt;=$G17,JG$8&lt;=$G17+$H17-1),2,IF(AND($C17="Milestone",JG$8&gt;=$G17,JG$8&lt;=$G17+$H17-1),1,""))</f>
        <v/>
      </c>
      <c r="JH17" s="69" t="str">
        <f ca="1">IF(AND($C17="Goal",JH$8&gt;=$G17,JH$8&lt;=$G17+$H17-1),2,IF(AND($C17="Milestone",JH$8&gt;=$G17,JH$8&lt;=$G17+$H17-1),1,""))</f>
        <v/>
      </c>
      <c r="JI17" s="69" t="str">
        <f ca="1">IF(AND($C17="Goal",JI$8&gt;=$G17,JI$8&lt;=$G17+$H17-1),2,IF(AND($C17="Milestone",JI$8&gt;=$G17,JI$8&lt;=$G17+$H17-1),1,""))</f>
        <v/>
      </c>
      <c r="JJ17" s="69" t="str">
        <f ca="1">IF(AND($C17="Goal",JJ$8&gt;=$G17,JJ$8&lt;=$G17+$H17-1),2,IF(AND($C17="Milestone",JJ$8&gt;=$G17,JJ$8&lt;=$G17+$H17-1),1,""))</f>
        <v/>
      </c>
      <c r="JK17" s="69" t="str">
        <f ca="1">IF(AND($C17="Goal",JK$8&gt;=$G17,JK$8&lt;=$G17+$H17-1),2,IF(AND($C17="Milestone",JK$8&gt;=$G17,JK$8&lt;=$G17+$H17-1),1,""))</f>
        <v/>
      </c>
      <c r="JL17" s="69" t="str">
        <f ca="1">IF(AND($C17="Goal",JL$8&gt;=$G17,JL$8&lt;=$G17+$H17-1),2,IF(AND($C17="Milestone",JL$8&gt;=$G17,JL$8&lt;=$G17+$H17-1),1,""))</f>
        <v/>
      </c>
      <c r="JM17" s="69" t="str">
        <f ca="1">IF(AND($C17="Goal",JM$8&gt;=$G17,JM$8&lt;=$G17+$H17-1),2,IF(AND($C17="Milestone",JM$8&gt;=$G17,JM$8&lt;=$G17+$H17-1),1,""))</f>
        <v/>
      </c>
      <c r="JN17" s="69" t="str">
        <f ca="1">IF(AND($C17="Goal",JN$8&gt;=$G17,JN$8&lt;=$G17+$H17-1),2,IF(AND($C17="Milestone",JN$8&gt;=$G17,JN$8&lt;=$G17+$H17-1),1,""))</f>
        <v/>
      </c>
      <c r="JO17" s="69" t="str">
        <f ca="1">IF(AND($C17="Goal",JO$8&gt;=$G17,JO$8&lt;=$G17+$H17-1),2,IF(AND($C17="Milestone",JO$8&gt;=$G17,JO$8&lt;=$G17+$H17-1),1,""))</f>
        <v/>
      </c>
      <c r="JP17" s="69" t="str">
        <f ca="1">IF(AND($C17="Goal",JP$8&gt;=$G17,JP$8&lt;=$G17+$H17-1),2,IF(AND($C17="Milestone",JP$8&gt;=$G17,JP$8&lt;=$G17+$H17-1),1,""))</f>
        <v/>
      </c>
      <c r="JQ17" s="69" t="str">
        <f ca="1">IF(AND($C17="Goal",JQ$8&gt;=$G17,JQ$8&lt;=$G17+$H17-1),2,IF(AND($C17="Milestone",JQ$8&gt;=$G17,JQ$8&lt;=$G17+$H17-1),1,""))</f>
        <v/>
      </c>
      <c r="JR17" s="69" t="str">
        <f ca="1">IF(AND($C17="Goal",JR$8&gt;=$G17,JR$8&lt;=$G17+$H17-1),2,IF(AND($C17="Milestone",JR$8&gt;=$G17,JR$8&lt;=$G17+$H17-1),1,""))</f>
        <v/>
      </c>
      <c r="JS17" s="69" t="str">
        <f ca="1">IF(AND($C17="Goal",JS$8&gt;=$G17,JS$8&lt;=$G17+$H17-1),2,IF(AND($C17="Milestone",JS$8&gt;=$G17,JS$8&lt;=$G17+$H17-1),1,""))</f>
        <v/>
      </c>
      <c r="JT17" s="69" t="str">
        <f ca="1">IF(AND($C17="Goal",JT$8&gt;=$G17,JT$8&lt;=$G17+$H17-1),2,IF(AND($C17="Milestone",JT$8&gt;=$G17,JT$8&lt;=$G17+$H17-1),1,""))</f>
        <v/>
      </c>
      <c r="JU17" s="69" t="str">
        <f ca="1">IF(AND($C17="Goal",JU$8&gt;=$G17,JU$8&lt;=$G17+$H17-1),2,IF(AND($C17="Milestone",JU$8&gt;=$G17,JU$8&lt;=$G17+$H17-1),1,""))</f>
        <v/>
      </c>
      <c r="JV17" s="69" t="str">
        <f ca="1">IF(AND($C17="Goal",JV$8&gt;=$G17,JV$8&lt;=$G17+$H17-1),2,IF(AND($C17="Milestone",JV$8&gt;=$G17,JV$8&lt;=$G17+$H17-1),1,""))</f>
        <v/>
      </c>
      <c r="JW17" s="69" t="str">
        <f ca="1">IF(AND($C17="Goal",JW$8&gt;=$G17,JW$8&lt;=$G17+$H17-1),2,IF(AND($C17="Milestone",JW$8&gt;=$G17,JW$8&lt;=$G17+$H17-1),1,""))</f>
        <v/>
      </c>
      <c r="JX17" s="69" t="str">
        <f ca="1">IF(AND($C17="Goal",JX$8&gt;=$G17,JX$8&lt;=$G17+$H17-1),2,IF(AND($C17="Milestone",JX$8&gt;=$G17,JX$8&lt;=$G17+$H17-1),1,""))</f>
        <v/>
      </c>
      <c r="JY17" s="69" t="str">
        <f ca="1">IF(AND($C17="Goal",JY$8&gt;=$G17,JY$8&lt;=$G17+$H17-1),2,IF(AND($C17="Milestone",JY$8&gt;=$G17,JY$8&lt;=$G17+$H17-1),1,""))</f>
        <v/>
      </c>
      <c r="JZ17" s="69" t="str">
        <f ca="1">IF(AND($C17="Goal",JZ$8&gt;=$G17,JZ$8&lt;=$G17+$H17-1),2,IF(AND($C17="Milestone",JZ$8&gt;=$G17,JZ$8&lt;=$G17+$H17-1),1,""))</f>
        <v/>
      </c>
      <c r="KA17" s="69" t="str">
        <f ca="1">IF(AND($C17="Goal",KA$8&gt;=$G17,KA$8&lt;=$G17+$H17-1),2,IF(AND($C17="Milestone",KA$8&gt;=$G17,KA$8&lt;=$G17+$H17-1),1,""))</f>
        <v/>
      </c>
      <c r="KB17" s="69" t="str">
        <f ca="1">IF(AND($C17="Goal",KB$8&gt;=$G17,KB$8&lt;=$G17+$H17-1),2,IF(AND($C17="Milestone",KB$8&gt;=$G17,KB$8&lt;=$G17+$H17-1),1,""))</f>
        <v/>
      </c>
      <c r="KC17" s="69" t="str">
        <f ca="1">IF(AND($C17="Goal",KC$8&gt;=$G17,KC$8&lt;=$G17+$H17-1),2,IF(AND($C17="Milestone",KC$8&gt;=$G17,KC$8&lt;=$G17+$H17-1),1,""))</f>
        <v/>
      </c>
      <c r="KD17" s="69" t="str">
        <f ca="1">IF(AND($C17="Goal",KD$8&gt;=$G17,KD$8&lt;=$G17+$H17-1),2,IF(AND($C17="Milestone",KD$8&gt;=$G17,KD$8&lt;=$G17+$H17-1),1,""))</f>
        <v/>
      </c>
      <c r="KE17" s="69" t="str">
        <f ca="1">IF(AND($C17="Goal",KE$8&gt;=$G17,KE$8&lt;=$G17+$H17-1),2,IF(AND($C17="Milestone",KE$8&gt;=$G17,KE$8&lt;=$G17+$H17-1),1,""))</f>
        <v/>
      </c>
      <c r="KF17" s="69" t="str">
        <f ca="1">IF(AND($C17="Goal",KF$8&gt;=$G17,KF$8&lt;=$G17+$H17-1),2,IF(AND($C17="Milestone",KF$8&gt;=$G17,KF$8&lt;=$G17+$H17-1),1,""))</f>
        <v/>
      </c>
      <c r="KG17" s="69" t="str">
        <f ca="1">IF(AND($C17="Goal",KG$8&gt;=$G17,KG$8&lt;=$G17+$H17-1),2,IF(AND($C17="Milestone",KG$8&gt;=$G17,KG$8&lt;=$G17+$H17-1),1,""))</f>
        <v/>
      </c>
      <c r="KH17" s="69" t="str">
        <f ca="1">IF(AND($C17="Goal",KH$8&gt;=$G17,KH$8&lt;=$G17+$H17-1),2,IF(AND($C17="Milestone",KH$8&gt;=$G17,KH$8&lt;=$G17+$H17-1),1,""))</f>
        <v/>
      </c>
      <c r="KI17" s="69" t="str">
        <f ca="1">IF(AND($C17="Goal",KI$8&gt;=$G17,KI$8&lt;=$G17+$H17-1),2,IF(AND($C17="Milestone",KI$8&gt;=$G17,KI$8&lt;=$G17+$H17-1),1,""))</f>
        <v/>
      </c>
      <c r="KJ17" s="69" t="str">
        <f ca="1">IF(AND($C17="Goal",KJ$8&gt;=$G17,KJ$8&lt;=$G17+$H17-1),2,IF(AND($C17="Milestone",KJ$8&gt;=$G17,KJ$8&lt;=$G17+$H17-1),1,""))</f>
        <v/>
      </c>
      <c r="KK17" s="69" t="str">
        <f ca="1">IF(AND($C17="Goal",KK$8&gt;=$G17,KK$8&lt;=$G17+$H17-1),2,IF(AND($C17="Milestone",KK$8&gt;=$G17,KK$8&lt;=$G17+$H17-1),1,""))</f>
        <v/>
      </c>
      <c r="KL17" s="69" t="str">
        <f ca="1">IF(AND($C17="Goal",KL$8&gt;=$G17,KL$8&lt;=$G17+$H17-1),2,IF(AND($C17="Milestone",KL$8&gt;=$G17,KL$8&lt;=$G17+$H17-1),1,""))</f>
        <v/>
      </c>
      <c r="KM17" s="69" t="str">
        <f ca="1">IF(AND($C17="Goal",KM$8&gt;=$G17,KM$8&lt;=$G17+$H17-1),2,IF(AND($C17="Milestone",KM$8&gt;=$G17,KM$8&lt;=$G17+$H17-1),1,""))</f>
        <v/>
      </c>
      <c r="KN17" s="69" t="str">
        <f ca="1">IF(AND($C17="Goal",KN$8&gt;=$G17,KN$8&lt;=$G17+$H17-1),2,IF(AND($C17="Milestone",KN$8&gt;=$G17,KN$8&lt;=$G17+$H17-1),1,""))</f>
        <v/>
      </c>
      <c r="KO17" s="69" t="str">
        <f ca="1">IF(AND($C17="Goal",KO$8&gt;=$G17,KO$8&lt;=$G17+$H17-1),2,IF(AND($C17="Milestone",KO$8&gt;=$G17,KO$8&lt;=$G17+$H17-1),1,""))</f>
        <v/>
      </c>
      <c r="KP17" s="69" t="str">
        <f ca="1">IF(AND($C17="Goal",KP$8&gt;=$G17,KP$8&lt;=$G17+$H17-1),2,IF(AND($C17="Milestone",KP$8&gt;=$G17,KP$8&lt;=$G17+$H17-1),1,""))</f>
        <v/>
      </c>
      <c r="KQ17" s="69" t="str">
        <f ca="1">IF(AND($C17="Goal",KQ$8&gt;=$G17,KQ$8&lt;=$G17+$H17-1),2,IF(AND($C17="Milestone",KQ$8&gt;=$G17,KQ$8&lt;=$G17+$H17-1),1,""))</f>
        <v/>
      </c>
      <c r="KR17" s="69" t="str">
        <f ca="1">IF(AND($C17="Goal",KR$8&gt;=$G17,KR$8&lt;=$G17+$H17-1),2,IF(AND($C17="Milestone",KR$8&gt;=$G17,KR$8&lt;=$G17+$H17-1),1,""))</f>
        <v/>
      </c>
      <c r="KS17" s="69" t="str">
        <f ca="1">IF(AND($C17="Goal",KS$8&gt;=$G17,KS$8&lt;=$G17+$H17-1),2,IF(AND($C17="Milestone",KS$8&gt;=$G17,KS$8&lt;=$G17+$H17-1),1,""))</f>
        <v/>
      </c>
      <c r="KT17" s="69" t="str">
        <f ca="1">IF(AND($C17="Goal",KT$8&gt;=$G17,KT$8&lt;=$G17+$H17-1),2,IF(AND($C17="Milestone",KT$8&gt;=$G17,KT$8&lt;=$G17+$H17-1),1,""))</f>
        <v/>
      </c>
      <c r="KU17" s="69" t="str">
        <f ca="1">IF(AND($C17="Goal",KU$8&gt;=$G17,KU$8&lt;=$G17+$H17-1),2,IF(AND($C17="Milestone",KU$8&gt;=$G17,KU$8&lt;=$G17+$H17-1),1,""))</f>
        <v/>
      </c>
      <c r="KV17" s="69" t="str">
        <f ca="1">IF(AND($C17="Goal",KV$8&gt;=$G17,KV$8&lt;=$G17+$H17-1),2,IF(AND($C17="Milestone",KV$8&gt;=$G17,KV$8&lt;=$G17+$H17-1),1,""))</f>
        <v/>
      </c>
      <c r="KW17" s="69" t="str">
        <f ca="1">IF(AND($C17="Goal",KW$8&gt;=$G17,KW$8&lt;=$G17+$H17-1),2,IF(AND($C17="Milestone",KW$8&gt;=$G17,KW$8&lt;=$G17+$H17-1),1,""))</f>
        <v/>
      </c>
      <c r="KX17" s="69" t="str">
        <f ca="1">IF(AND($C17="Goal",KX$8&gt;=$G17,KX$8&lt;=$G17+$H17-1),2,IF(AND($C17="Milestone",KX$8&gt;=$G17,KX$8&lt;=$G17+$H17-1),1,""))</f>
        <v/>
      </c>
      <c r="KY17" s="69" t="str">
        <f ca="1">IF(AND($C17="Goal",KY$8&gt;=$G17,KY$8&lt;=$G17+$H17-1),2,IF(AND($C17="Milestone",KY$8&gt;=$G17,KY$8&lt;=$G17+$H17-1),1,""))</f>
        <v/>
      </c>
      <c r="KZ17" s="69" t="str">
        <f ca="1">IF(AND($C17="Goal",KZ$8&gt;=$G17,KZ$8&lt;=$G17+$H17-1),2,IF(AND($C17="Milestone",KZ$8&gt;=$G17,KZ$8&lt;=$G17+$H17-1),1,""))</f>
        <v/>
      </c>
      <c r="LA17" s="69" t="str">
        <f ca="1">IF(AND($C17="Goal",LA$8&gt;=$G17,LA$8&lt;=$G17+$H17-1),2,IF(AND($C17="Milestone",LA$8&gt;=$G17,LA$8&lt;=$G17+$H17-1),1,""))</f>
        <v/>
      </c>
      <c r="LB17" s="69" t="str">
        <f ca="1">IF(AND($C17="Goal",LB$8&gt;=$G17,LB$8&lt;=$G17+$H17-1),2,IF(AND($C17="Milestone",LB$8&gt;=$G17,LB$8&lt;=$G17+$H17-1),1,""))</f>
        <v/>
      </c>
      <c r="LC17" s="69" t="str">
        <f ca="1">IF(AND($C17="Goal",LC$8&gt;=$G17,LC$8&lt;=$G17+$H17-1),2,IF(AND($C17="Milestone",LC$8&gt;=$G17,LC$8&lt;=$G17+$H17-1),1,""))</f>
        <v/>
      </c>
      <c r="LD17" s="69" t="str">
        <f ca="1">IF(AND($C17="Goal",LD$8&gt;=$G17,LD$8&lt;=$G17+$H17-1),2,IF(AND($C17="Milestone",LD$8&gt;=$G17,LD$8&lt;=$G17+$H17-1),1,""))</f>
        <v/>
      </c>
      <c r="LE17" s="69" t="str">
        <f ca="1">IF(AND($C17="Goal",LE$8&gt;=$G17,LE$8&lt;=$G17+$H17-1),2,IF(AND($C17="Milestone",LE$8&gt;=$G17,LE$8&lt;=$G17+$H17-1),1,""))</f>
        <v/>
      </c>
      <c r="LF17" s="69" t="str">
        <f ca="1">IF(AND($C17="Goal",LF$8&gt;=$G17,LF$8&lt;=$G17+$H17-1),2,IF(AND($C17="Milestone",LF$8&gt;=$G17,LF$8&lt;=$G17+$H17-1),1,""))</f>
        <v/>
      </c>
      <c r="LG17" s="69" t="str">
        <f ca="1">IF(AND($C17="Goal",LG$8&gt;=$G17,LG$8&lt;=$G17+$H17-1),2,IF(AND($C17="Milestone",LG$8&gt;=$G17,LG$8&lt;=$G17+$H17-1),1,""))</f>
        <v/>
      </c>
      <c r="LH17" s="69" t="str">
        <f ca="1">IF(AND($C17="Goal",LH$8&gt;=$G17,LH$8&lt;=$G17+$H17-1),2,IF(AND($C17="Milestone",LH$8&gt;=$G17,LH$8&lt;=$G17+$H17-1),1,""))</f>
        <v/>
      </c>
      <c r="LI17" s="69" t="str">
        <f ca="1">IF(AND($C17="Goal",LI$8&gt;=$G17,LI$8&lt;=$G17+$H17-1),2,IF(AND($C17="Milestone",LI$8&gt;=$G17,LI$8&lt;=$G17+$H17-1),1,""))</f>
        <v/>
      </c>
      <c r="LJ17" s="69" t="str">
        <f ca="1">IF(AND($C17="Goal",LJ$8&gt;=$G17,LJ$8&lt;=$G17+$H17-1),2,IF(AND($C17="Milestone",LJ$8&gt;=$G17,LJ$8&lt;=$G17+$H17-1),1,""))</f>
        <v/>
      </c>
      <c r="LK17" s="69" t="str">
        <f ca="1">IF(AND($C17="Goal",LK$8&gt;=$G17,LK$8&lt;=$G17+$H17-1),2,IF(AND($C17="Milestone",LK$8&gt;=$G17,LK$8&lt;=$G17+$H17-1),1,""))</f>
        <v/>
      </c>
      <c r="LL17" s="69" t="str">
        <f ca="1">IF(AND($C17="Goal",LL$8&gt;=$G17,LL$8&lt;=$G17+$H17-1),2,IF(AND($C17="Milestone",LL$8&gt;=$G17,LL$8&lt;=$G17+$H17-1),1,""))</f>
        <v/>
      </c>
      <c r="LM17" s="69" t="str">
        <f ca="1">IF(AND($C17="Goal",LM$8&gt;=$G17,LM$8&lt;=$G17+$H17-1),2,IF(AND($C17="Milestone",LM$8&gt;=$G17,LM$8&lt;=$G17+$H17-1),1,""))</f>
        <v/>
      </c>
      <c r="LN17" s="69" t="str">
        <f ca="1">IF(AND($C17="Goal",LN$8&gt;=$G17,LN$8&lt;=$G17+$H17-1),2,IF(AND($C17="Milestone",LN$8&gt;=$G17,LN$8&lt;=$G17+$H17-1),1,""))</f>
        <v/>
      </c>
      <c r="LO17" s="69" t="str">
        <f ca="1">IF(AND($C17="Goal",LO$8&gt;=$G17,LO$8&lt;=$G17+$H17-1),2,IF(AND($C17="Milestone",LO$8&gt;=$G17,LO$8&lt;=$G17+$H17-1),1,""))</f>
        <v/>
      </c>
      <c r="LP17" s="69" t="str">
        <f ca="1">IF(AND($C17="Goal",LP$8&gt;=$G17,LP$8&lt;=$G17+$H17-1),2,IF(AND($C17="Milestone",LP$8&gt;=$G17,LP$8&lt;=$G17+$H17-1),1,""))</f>
        <v/>
      </c>
      <c r="LQ17" s="69" t="str">
        <f ca="1">IF(AND($C17="Goal",LQ$8&gt;=$G17,LQ$8&lt;=$G17+$H17-1),2,IF(AND($C17="Milestone",LQ$8&gt;=$G17,LQ$8&lt;=$G17+$H17-1),1,""))</f>
        <v/>
      </c>
      <c r="LR17" s="69" t="str">
        <f ca="1">IF(AND($C17="Goal",LR$8&gt;=$G17,LR$8&lt;=$G17+$H17-1),2,IF(AND($C17="Milestone",LR$8&gt;=$G17,LR$8&lt;=$G17+$H17-1),1,""))</f>
        <v/>
      </c>
      <c r="LS17" s="69" t="str">
        <f ca="1">IF(AND($C17="Goal",LS$8&gt;=$G17,LS$8&lt;=$G17+$H17-1),2,IF(AND($C17="Milestone",LS$8&gt;=$G17,LS$8&lt;=$G17+$H17-1),1,""))</f>
        <v/>
      </c>
      <c r="LT17" s="69" t="str">
        <f ca="1">IF(AND($C17="Goal",LT$8&gt;=$G17,LT$8&lt;=$G17+$H17-1),2,IF(AND($C17="Milestone",LT$8&gt;=$G17,LT$8&lt;=$G17+$H17-1),1,""))</f>
        <v/>
      </c>
      <c r="LU17" s="69" t="str">
        <f ca="1">IF(AND($C17="Goal",LU$8&gt;=$G17,LU$8&lt;=$G17+$H17-1),2,IF(AND($C17="Milestone",LU$8&gt;=$G17,LU$8&lt;=$G17+$H17-1),1,""))</f>
        <v/>
      </c>
      <c r="LV17" s="69" t="str">
        <f ca="1">IF(AND($C17="Goal",LV$8&gt;=$G17,LV$8&lt;=$G17+$H17-1),2,IF(AND($C17="Milestone",LV$8&gt;=$G17,LV$8&lt;=$G17+$H17-1),1,""))</f>
        <v/>
      </c>
      <c r="LW17" s="69" t="str">
        <f ca="1">IF(AND($C17="Goal",LW$8&gt;=$G17,LW$8&lt;=$G17+$H17-1),2,IF(AND($C17="Milestone",LW$8&gt;=$G17,LW$8&lt;=$G17+$H17-1),1,""))</f>
        <v/>
      </c>
      <c r="LX17" s="69" t="str">
        <f ca="1">IF(AND($C17="Goal",LX$8&gt;=$G17,LX$8&lt;=$G17+$H17-1),2,IF(AND($C17="Milestone",LX$8&gt;=$G17,LX$8&lt;=$G17+$H17-1),1,""))</f>
        <v/>
      </c>
    </row>
    <row r="18" spans="1:336" s="1" customFormat="1" ht="27.5" customHeight="1" x14ac:dyDescent="0.25">
      <c r="A18" s="7"/>
      <c r="B18" s="47" t="s">
        <v>21</v>
      </c>
      <c r="C18" s="58"/>
      <c r="D18" s="58" t="str">
        <f ca="1">IF(G18="","",
IF(G18+Milestones4352[[#This Row],[Days]]="","",
IF(OR(F18=1,F18=100%),"Complete",
CHOOSE(
  1
  + --(((1-IF(F18&gt;1,F18/100,F18))*POWER(2.718281828,(60-MAX(0,G18+Milestones4352[[#This Row],[Days]]-TODAY()))/12))&gt;=0.6)
  + --(((1-IF(F18&gt;1,F18/100,F18))*POWER(2.718281828,(60-MAX(0,G18+Milestones4352[[#This Row],[Days]]-TODAY()))/12))&gt;=1.2)
  + --(((1-IF(F18&gt;1,F18/100,F18))*POWER(2.718281828,(60-MAX(0,G18+Milestones4352[[#This Row],[Days]]-TODAY()))/12))&gt;=2),
  "On track","Low risk","Medium risk","High risk"
))))</f>
        <v>Complete</v>
      </c>
      <c r="E18" s="58"/>
      <c r="F18" s="56">
        <v>1</v>
      </c>
      <c r="G18" s="71">
        <f>G15+H15</f>
        <v>45969</v>
      </c>
      <c r="H18" s="57">
        <v>14</v>
      </c>
      <c r="I18" s="57">
        <f t="shared" si="207"/>
        <v>10</v>
      </c>
      <c r="J18" s="12">
        <f ca="1">IF(OR(Milestones4352[[#This Row],[Start]]="",Milestones4352[[#This Row],[Days]]=""),"",(Milestones4352[[#This Row],[Start]]+Milestones4352[[#This Row],[Days]])-TODAY())</f>
        <v>34</v>
      </c>
      <c r="K18" s="9"/>
      <c r="L18" s="69" t="str">
        <f ca="1">IF(AND($C18="Goal",L$8&gt;=$G18,L$8&lt;=$G18+$H18-1),2,IF(AND($C18="Milestone",L$8&gt;=$G18,L$8&lt;=$G18+$H18-1),1,""))</f>
        <v/>
      </c>
      <c r="M18" s="69" t="str">
        <f ca="1">IF(AND($C18="Goal",M$8&gt;=$G18,M$8&lt;=$G18+$H18-1),2,IF(AND($C18="Milestone",M$8&gt;=$G18,M$8&lt;=$G18+$H18-1),1,""))</f>
        <v/>
      </c>
      <c r="N18" s="69" t="str">
        <f ca="1">IF(AND($C18="Goal",N$8&gt;=$G18,N$8&lt;=$G18+$H18-1),2,IF(AND($C18="Milestone",N$8&gt;=$G18,N$8&lt;=$G18+$H18-1),1,""))</f>
        <v/>
      </c>
      <c r="O18" s="69" t="str">
        <f ca="1">IF(AND($C18="Goal",O$8&gt;=$G18,O$8&lt;=$G18+$H18-1),2,IF(AND($C18="Milestone",O$8&gt;=$G18,O$8&lt;=$G18+$H18-1),1,""))</f>
        <v/>
      </c>
      <c r="P18" s="69" t="str">
        <f ca="1">IF(AND($C18="Goal",P$8&gt;=$G18,P$8&lt;=$G18+$H18-1),2,IF(AND($C18="Milestone",P$8&gt;=$G18,P$8&lt;=$G18+$H18-1),1,""))</f>
        <v/>
      </c>
      <c r="Q18" s="69" t="str">
        <f ca="1">IF(AND($C18="Goal",Q$8&gt;=$G18,Q$8&lt;=$G18+$H18-1),2,IF(AND($C18="Milestone",Q$8&gt;=$G18,Q$8&lt;=$G18+$H18-1),1,""))</f>
        <v/>
      </c>
      <c r="R18" s="69" t="str">
        <f ca="1">IF(AND($C18="Goal",R$8&gt;=$G18,R$8&lt;=$G18+$H18-1),2,IF(AND($C18="Milestone",R$8&gt;=$G18,R$8&lt;=$G18+$H18-1),1,""))</f>
        <v/>
      </c>
      <c r="S18" s="69" t="str">
        <f ca="1">IF(AND($C18="Goal",S$8&gt;=$G18,S$8&lt;=$G18+$H18-1),2,IF(AND($C18="Milestone",S$8&gt;=$G18,S$8&lt;=$G18+$H18-1),1,""))</f>
        <v/>
      </c>
      <c r="T18" s="69" t="str">
        <f ca="1">IF(AND($C18="Goal",T$8&gt;=$G18,T$8&lt;=$G18+$H18-1),2,IF(AND($C18="Milestone",T$8&gt;=$G18,T$8&lt;=$G18+$H18-1),1,""))</f>
        <v/>
      </c>
      <c r="U18" s="69" t="str">
        <f ca="1">IF(AND($C18="Goal",U$8&gt;=$G18,U$8&lt;=$G18+$H18-1),2,IF(AND($C18="Milestone",U$8&gt;=$G18,U$8&lt;=$G18+$H18-1),1,""))</f>
        <v/>
      </c>
      <c r="V18" s="69" t="str">
        <f ca="1">IF(AND($C18="Goal",V$8&gt;=$G18,V$8&lt;=$G18+$H18-1),2,IF(AND($C18="Milestone",V$8&gt;=$G18,V$8&lt;=$G18+$H18-1),1,""))</f>
        <v/>
      </c>
      <c r="W18" s="69" t="str">
        <f ca="1">IF(AND($C18="Goal",W$8&gt;=$G18,W$8&lt;=$G18+$H18-1),2,IF(AND($C18="Milestone",W$8&gt;=$G18,W$8&lt;=$G18+$H18-1),1,""))</f>
        <v/>
      </c>
      <c r="X18" s="69" t="str">
        <f ca="1">IF(AND($C18="Goal",X$8&gt;=$G18,X$8&lt;=$G18+$H18-1),2,IF(AND($C18="Milestone",X$8&gt;=$G18,X$8&lt;=$G18+$H18-1),1,""))</f>
        <v/>
      </c>
      <c r="Y18" s="69" t="str">
        <f ca="1">IF(AND($C18="Goal",Y$8&gt;=$G18,Y$8&lt;=$G18+$H18-1),2,IF(AND($C18="Milestone",Y$8&gt;=$G18,Y$8&lt;=$G18+$H18-1),1,""))</f>
        <v/>
      </c>
      <c r="Z18" s="69" t="str">
        <f ca="1">IF(AND($C18="Goal",Z$8&gt;=$G18,Z$8&lt;=$G18+$H18-1),2,IF(AND($C18="Milestone",Z$8&gt;=$G18,Z$8&lt;=$G18+$H18-1),1,""))</f>
        <v/>
      </c>
      <c r="AA18" s="69" t="str">
        <f ca="1">IF(AND($C18="Goal",AA$8&gt;=$G18,AA$8&lt;=$G18+$H18-1),2,IF(AND($C18="Milestone",AA$8&gt;=$G18,AA$8&lt;=$G18+$H18-1),1,""))</f>
        <v/>
      </c>
      <c r="AB18" s="69" t="str">
        <f ca="1">IF(AND($C18="Goal",AB$8&gt;=$G18,AB$8&lt;=$G18+$H18-1),2,IF(AND($C18="Milestone",AB$8&gt;=$G18,AB$8&lt;=$G18+$H18-1),1,""))</f>
        <v/>
      </c>
      <c r="AC18" s="69" t="str">
        <f ca="1">IF(AND($C18="Goal",AC$8&gt;=$G18,AC$8&lt;=$G18+$H18-1),2,IF(AND($C18="Milestone",AC$8&gt;=$G18,AC$8&lt;=$G18+$H18-1),1,""))</f>
        <v/>
      </c>
      <c r="AD18" s="69" t="str">
        <f ca="1">IF(AND($C18="Goal",AD$8&gt;=$G18,AD$8&lt;=$G18+$H18-1),2,IF(AND($C18="Milestone",AD$8&gt;=$G18,AD$8&lt;=$G18+$H18-1),1,""))</f>
        <v/>
      </c>
      <c r="AE18" s="69" t="str">
        <f ca="1">IF(AND($C18="Goal",AE$8&gt;=$G18,AE$8&lt;=$G18+$H18-1),2,IF(AND($C18="Milestone",AE$8&gt;=$G18,AE$8&lt;=$G18+$H18-1),1,""))</f>
        <v/>
      </c>
      <c r="AF18" s="69" t="str">
        <f ca="1">IF(AND($C18="Goal",AF$8&gt;=$G18,AF$8&lt;=$G18+$H18-1),2,IF(AND($C18="Milestone",AF$8&gt;=$G18,AF$8&lt;=$G18+$H18-1),1,""))</f>
        <v/>
      </c>
      <c r="AG18" s="69" t="str">
        <f ca="1">IF(AND($C18="Goal",AG$8&gt;=$G18,AG$8&lt;=$G18+$H18-1),2,IF(AND($C18="Milestone",AG$8&gt;=$G18,AG$8&lt;=$G18+$H18-1),1,""))</f>
        <v/>
      </c>
      <c r="AH18" s="69" t="str">
        <f ca="1">IF(AND($C18="Goal",AH$8&gt;=$G18,AH$8&lt;=$G18+$H18-1),2,IF(AND($C18="Milestone",AH$8&gt;=$G18,AH$8&lt;=$G18+$H18-1),1,""))</f>
        <v/>
      </c>
      <c r="AI18" s="69" t="str">
        <f ca="1">IF(AND($C18="Goal",AI$8&gt;=$G18,AI$8&lt;=$G18+$H18-1),2,IF(AND($C18="Milestone",AI$8&gt;=$G18,AI$8&lt;=$G18+$H18-1),1,""))</f>
        <v/>
      </c>
      <c r="AJ18" s="69" t="str">
        <f ca="1">IF(AND($C18="Goal",AJ$8&gt;=$G18,AJ$8&lt;=$G18+$H18-1),2,IF(AND($C18="Milestone",AJ$8&gt;=$G18,AJ$8&lt;=$G18+$H18-1),1,""))</f>
        <v/>
      </c>
      <c r="AK18" s="69" t="str">
        <f ca="1">IF(AND($C18="Goal",AK$8&gt;=$G18,AK$8&lt;=$G18+$H18-1),2,IF(AND($C18="Milestone",AK$8&gt;=$G18,AK$8&lt;=$G18+$H18-1),1,""))</f>
        <v/>
      </c>
      <c r="AL18" s="69" t="str">
        <f ca="1">IF(AND($C18="Goal",AL$8&gt;=$G18,AL$8&lt;=$G18+$H18-1),2,IF(AND($C18="Milestone",AL$8&gt;=$G18,AL$8&lt;=$G18+$H18-1),1,""))</f>
        <v/>
      </c>
      <c r="AM18" s="69" t="str">
        <f ca="1">IF(AND($C18="Goal",AM$8&gt;=$G18,AM$8&lt;=$G18+$H18-1),2,IF(AND($C18="Milestone",AM$8&gt;=$G18,AM$8&lt;=$G18+$H18-1),1,""))</f>
        <v/>
      </c>
      <c r="AN18" s="69" t="str">
        <f ca="1">IF(AND($C18="Goal",AN$8&gt;=$G18,AN$8&lt;=$G18+$H18-1),2,IF(AND($C18="Milestone",AN$8&gt;=$G18,AN$8&lt;=$G18+$H18-1),1,""))</f>
        <v/>
      </c>
      <c r="AO18" s="69" t="str">
        <f ca="1">IF(AND($C18="Goal",AO$8&gt;=$G18,AO$8&lt;=$G18+$H18-1),2,IF(AND($C18="Milestone",AO$8&gt;=$G18,AO$8&lt;=$G18+$H18-1),1,""))</f>
        <v/>
      </c>
      <c r="AP18" s="69" t="str">
        <f ca="1">IF(AND($C18="Goal",AP$8&gt;=$G18,AP$8&lt;=$G18+$H18-1),2,IF(AND($C18="Milestone",AP$8&gt;=$G18,AP$8&lt;=$G18+$H18-1),1,""))</f>
        <v/>
      </c>
      <c r="AQ18" s="69" t="str">
        <f ca="1">IF(AND($C18="Goal",AQ$8&gt;=$G18,AQ$8&lt;=$G18+$H18-1),2,IF(AND($C18="Milestone",AQ$8&gt;=$G18,AQ$8&lt;=$G18+$H18-1),1,""))</f>
        <v/>
      </c>
      <c r="AR18" s="69" t="str">
        <f ca="1">IF(AND($C18="Goal",AR$8&gt;=$G18,AR$8&lt;=$G18+$H18-1),2,IF(AND($C18="Milestone",AR$8&gt;=$G18,AR$8&lt;=$G18+$H18-1),1,""))</f>
        <v/>
      </c>
      <c r="AS18" s="69" t="str">
        <f ca="1">IF(AND($C18="Goal",AS$8&gt;=$G18,AS$8&lt;=$G18+$H18-1),2,IF(AND($C18="Milestone",AS$8&gt;=$G18,AS$8&lt;=$G18+$H18-1),1,""))</f>
        <v/>
      </c>
      <c r="AT18" s="69" t="str">
        <f ca="1">IF(AND($C18="Goal",AT$8&gt;=$G18,AT$8&lt;=$G18+$H18-1),2,IF(AND($C18="Milestone",AT$8&gt;=$G18,AT$8&lt;=$G18+$H18-1),1,""))</f>
        <v/>
      </c>
      <c r="AU18" s="69" t="str">
        <f ca="1">IF(AND($C18="Goal",AU$8&gt;=$G18,AU$8&lt;=$G18+$H18-1),2,IF(AND($C18="Milestone",AU$8&gt;=$G18,AU$8&lt;=$G18+$H18-1),1,""))</f>
        <v/>
      </c>
      <c r="AV18" s="69" t="str">
        <f ca="1">IF(AND($C18="Goal",AV$8&gt;=$G18,AV$8&lt;=$G18+$H18-1),2,IF(AND($C18="Milestone",AV$8&gt;=$G18,AV$8&lt;=$G18+$H18-1),1,""))</f>
        <v/>
      </c>
      <c r="AW18" s="69" t="str">
        <f ca="1">IF(AND($C18="Goal",AW$8&gt;=$G18,AW$8&lt;=$G18+$H18-1),2,IF(AND($C18="Milestone",AW$8&gt;=$G18,AW$8&lt;=$G18+$H18-1),1,""))</f>
        <v/>
      </c>
      <c r="AX18" s="69" t="str">
        <f ca="1">IF(AND($C18="Goal",AX$8&gt;=$G18,AX$8&lt;=$G18+$H18-1),2,IF(AND($C18="Milestone",AX$8&gt;=$G18,AX$8&lt;=$G18+$H18-1),1,""))</f>
        <v/>
      </c>
      <c r="AY18" s="69" t="str">
        <f ca="1">IF(AND($C18="Goal",AY$8&gt;=$G18,AY$8&lt;=$G18+$H18-1),2,IF(AND($C18="Milestone",AY$8&gt;=$G18,AY$8&lt;=$G18+$H18-1),1,""))</f>
        <v/>
      </c>
      <c r="AZ18" s="69" t="str">
        <f ca="1">IF(AND($C18="Goal",AZ$8&gt;=$G18,AZ$8&lt;=$G18+$H18-1),2,IF(AND($C18="Milestone",AZ$8&gt;=$G18,AZ$8&lt;=$G18+$H18-1),1,""))</f>
        <v/>
      </c>
      <c r="BA18" s="69" t="str">
        <f ca="1">IF(AND($C18="Goal",BA$8&gt;=$G18,BA$8&lt;=$G18+$H18-1),2,IF(AND($C18="Milestone",BA$8&gt;=$G18,BA$8&lt;=$G18+$H18-1),1,""))</f>
        <v/>
      </c>
      <c r="BB18" s="69" t="str">
        <f ca="1">IF(AND($C18="Goal",BB$8&gt;=$G18,BB$8&lt;=$G18+$H18-1),2,IF(AND($C18="Milestone",BB$8&gt;=$G18,BB$8&lt;=$G18+$H18-1),1,""))</f>
        <v/>
      </c>
      <c r="BC18" s="69" t="str">
        <f ca="1">IF(AND($C18="Goal",BC$8&gt;=$G18,BC$8&lt;=$G18+$H18-1),2,IF(AND($C18="Milestone",BC$8&gt;=$G18,BC$8&lt;=$G18+$H18-1),1,""))</f>
        <v/>
      </c>
      <c r="BD18" s="69" t="str">
        <f ca="1">IF(AND($C18="Goal",BD$8&gt;=$G18,BD$8&lt;=$G18+$H18-1),2,IF(AND($C18="Milestone",BD$8&gt;=$G18,BD$8&lt;=$G18+$H18-1),1,""))</f>
        <v/>
      </c>
      <c r="BE18" s="69" t="str">
        <f ca="1">IF(AND($C18="Goal",BE$8&gt;=$G18,BE$8&lt;=$G18+$H18-1),2,IF(AND($C18="Milestone",BE$8&gt;=$G18,BE$8&lt;=$G18+$H18-1),1,""))</f>
        <v/>
      </c>
      <c r="BF18" s="69" t="str">
        <f ca="1">IF(AND($C18="Goal",BF$8&gt;=$G18,BF$8&lt;=$G18+$H18-1),2,IF(AND($C18="Milestone",BF$8&gt;=$G18,BF$8&lt;=$G18+$H18-1),1,""))</f>
        <v/>
      </c>
      <c r="BG18" s="69" t="str">
        <f ca="1">IF(AND($C18="Goal",BG$8&gt;=$G18,BG$8&lt;=$G18+$H18-1),2,IF(AND($C18="Milestone",BG$8&gt;=$G18,BG$8&lt;=$G18+$H18-1),1,""))</f>
        <v/>
      </c>
      <c r="BH18" s="69" t="str">
        <f ca="1">IF(AND($C18="Goal",BH$8&gt;=$G18,BH$8&lt;=$G18+$H18-1),2,IF(AND($C18="Milestone",BH$8&gt;=$G18,BH$8&lt;=$G18+$H18-1),1,""))</f>
        <v/>
      </c>
      <c r="BI18" s="69" t="str">
        <f ca="1">IF(AND($C18="Goal",BI$8&gt;=$G18,BI$8&lt;=$G18+$H18-1),2,IF(AND($C18="Milestone",BI$8&gt;=$G18,BI$8&lt;=$G18+$H18-1),1,""))</f>
        <v/>
      </c>
      <c r="BJ18" s="69" t="str">
        <f ca="1">IF(AND($C18="Goal",BJ$8&gt;=$G18,BJ$8&lt;=$G18+$H18-1),2,IF(AND($C18="Milestone",BJ$8&gt;=$G18,BJ$8&lt;=$G18+$H18-1),1,""))</f>
        <v/>
      </c>
      <c r="BK18" s="69" t="str">
        <f ca="1">IF(AND($C18="Goal",BK$8&gt;=$G18,BK$8&lt;=$G18+$H18-1),2,IF(AND($C18="Milestone",BK$8&gt;=$G18,BK$8&lt;=$G18+$H18-1),1,""))</f>
        <v/>
      </c>
      <c r="BL18" s="69" t="str">
        <f ca="1">IF(AND($C18="Goal",BL$8&gt;=$G18,BL$8&lt;=$G18+$H18-1),2,IF(AND($C18="Milestone",BL$8&gt;=$G18,BL$8&lt;=$G18+$H18-1),1,""))</f>
        <v/>
      </c>
      <c r="BM18" s="69" t="str">
        <f ca="1">IF(AND($C18="Goal",BM$8&gt;=$G18,BM$8&lt;=$G18+$H18-1),2,IF(AND($C18="Milestone",BM$8&gt;=$G18,BM$8&lt;=$G18+$H18-1),1,""))</f>
        <v/>
      </c>
      <c r="BN18" s="69" t="str">
        <f ca="1">IF(AND($C18="Goal",BN$8&gt;=$G18,BN$8&lt;=$G18+$H18-1),2,IF(AND($C18="Milestone",BN$8&gt;=$G18,BN$8&lt;=$G18+$H18-1),1,""))</f>
        <v/>
      </c>
      <c r="BO18" s="69" t="str">
        <f ca="1">IF(AND($C18="Goal",BO$8&gt;=$G18,BO$8&lt;=$G18+$H18-1),2,IF(AND($C18="Milestone",BO$8&gt;=$G18,BO$8&lt;=$G18+$H18-1),1,""))</f>
        <v/>
      </c>
      <c r="BP18" s="69" t="str">
        <f ca="1">IF(AND($C18="Goal",BP$8&gt;=$G18,BP$8&lt;=$G18+$H18-1),2,IF(AND($C18="Milestone",BP$8&gt;=$G18,BP$8&lt;=$G18+$H18-1),1,""))</f>
        <v/>
      </c>
      <c r="BQ18" s="69" t="str">
        <f ca="1">IF(AND($C18="Goal",BQ$8&gt;=$G18,BQ$8&lt;=$G18+$H18-1),2,IF(AND($C18="Milestone",BQ$8&gt;=$G18,BQ$8&lt;=$G18+$H18-1),1,""))</f>
        <v/>
      </c>
      <c r="BR18" s="69" t="str">
        <f ca="1">IF(AND($C18="Goal",BR$8&gt;=$G18,BR$8&lt;=$G18+$H18-1),2,IF(AND($C18="Milestone",BR$8&gt;=$G18,BR$8&lt;=$G18+$H18-1),1,""))</f>
        <v/>
      </c>
      <c r="BS18" s="69" t="str">
        <f ca="1">IF(AND($C18="Goal",BS$8&gt;=$G18,BS$8&lt;=$G18+$H18-1),2,IF(AND($C18="Milestone",BS$8&gt;=$G18,BS$8&lt;=$G18+$H18-1),1,""))</f>
        <v/>
      </c>
      <c r="BT18" s="69" t="str">
        <f ca="1">IF(AND($C18="Goal",BT$8&gt;=$G18,BT$8&lt;=$G18+$H18-1),2,IF(AND($C18="Milestone",BT$8&gt;=$G18,BT$8&lt;=$G18+$H18-1),1,""))</f>
        <v/>
      </c>
      <c r="BU18" s="69" t="str">
        <f ca="1">IF(AND($C18="Goal",BU$8&gt;=$G18,BU$8&lt;=$G18+$H18-1),2,IF(AND($C18="Milestone",BU$8&gt;=$G18,BU$8&lt;=$G18+$H18-1),1,""))</f>
        <v/>
      </c>
      <c r="BV18" s="69" t="str">
        <f ca="1">IF(AND($C18="Goal",BV$8&gt;=$G18,BV$8&lt;=$G18+$H18-1),2,IF(AND($C18="Milestone",BV$8&gt;=$G18,BV$8&lt;=$G18+$H18-1),1,""))</f>
        <v/>
      </c>
      <c r="BW18" s="69" t="str">
        <f ca="1">IF(AND($C18="Goal",BW$8&gt;=$G18,BW$8&lt;=$G18+$H18-1),2,IF(AND($C18="Milestone",BW$8&gt;=$G18,BW$8&lt;=$G18+$H18-1),1,""))</f>
        <v/>
      </c>
      <c r="BX18" s="69" t="str">
        <f ca="1">IF(AND($C18="Goal",BX$8&gt;=$G18,BX$8&lt;=$G18+$H18-1),2,IF(AND($C18="Milestone",BX$8&gt;=$G18,BX$8&lt;=$G18+$H18-1),1,""))</f>
        <v/>
      </c>
      <c r="BY18" s="69" t="str">
        <f ca="1">IF(AND($C18="Goal",BY$8&gt;=$G18,BY$8&lt;=$G18+$H18-1),2,IF(AND($C18="Milestone",BY$8&gt;=$G18,BY$8&lt;=$G18+$H18-1),1,""))</f>
        <v/>
      </c>
      <c r="BZ18" s="69" t="str">
        <f ca="1">IF(AND($C18="Goal",BZ$8&gt;=$G18,BZ$8&lt;=$G18+$H18-1),2,IF(AND($C18="Milestone",BZ$8&gt;=$G18,BZ$8&lt;=$G18+$H18-1),1,""))</f>
        <v/>
      </c>
      <c r="CA18" s="69" t="str">
        <f ca="1">IF(AND($C18="Goal",CA$8&gt;=$G18,CA$8&lt;=$G18+$H18-1),2,IF(AND($C18="Milestone",CA$8&gt;=$G18,CA$8&lt;=$G18+$H18-1),1,""))</f>
        <v/>
      </c>
      <c r="CB18" s="69" t="str">
        <f ca="1">IF(AND($C18="Goal",CB$8&gt;=$G18,CB$8&lt;=$G18+$H18-1),2,IF(AND($C18="Milestone",CB$8&gt;=$G18,CB$8&lt;=$G18+$H18-1),1,""))</f>
        <v/>
      </c>
      <c r="CC18" s="69" t="str">
        <f ca="1">IF(AND($C18="Goal",CC$8&gt;=$G18,CC$8&lt;=$G18+$H18-1),2,IF(AND($C18="Milestone",CC$8&gt;=$G18,CC$8&lt;=$G18+$H18-1),1,""))</f>
        <v/>
      </c>
      <c r="CD18" s="69" t="str">
        <f ca="1">IF(AND($C18="Goal",CD$8&gt;=$G18,CD$8&lt;=$G18+$H18-1),2,IF(AND($C18="Milestone",CD$8&gt;=$G18,CD$8&lt;=$G18+$H18-1),1,""))</f>
        <v/>
      </c>
      <c r="CE18" s="69" t="str">
        <f ca="1">IF(AND($C18="Goal",CE$8&gt;=$G18,CE$8&lt;=$G18+$H18-1),2,IF(AND($C18="Milestone",CE$8&gt;=$G18,CE$8&lt;=$G18+$H18-1),1,""))</f>
        <v/>
      </c>
      <c r="CF18" s="69" t="str">
        <f ca="1">IF(AND($C18="Goal",CF$8&gt;=$G18,CF$8&lt;=$G18+$H18-1),2,IF(AND($C18="Milestone",CF$8&gt;=$G18,CF$8&lt;=$G18+$H18-1),1,""))</f>
        <v/>
      </c>
      <c r="CG18" s="69" t="str">
        <f ca="1">IF(AND($C18="Goal",CG$8&gt;=$G18,CG$8&lt;=$G18+$H18-1),2,IF(AND($C18="Milestone",CG$8&gt;=$G18,CG$8&lt;=$G18+$H18-1),1,""))</f>
        <v/>
      </c>
      <c r="CH18" s="69" t="str">
        <f ca="1">IF(AND($C18="Goal",CH$8&gt;=$G18,CH$8&lt;=$G18+$H18-1),2,IF(AND($C18="Milestone",CH$8&gt;=$G18,CH$8&lt;=$G18+$H18-1),1,""))</f>
        <v/>
      </c>
      <c r="CI18" s="69" t="str">
        <f ca="1">IF(AND($C18="Goal",CI$8&gt;=$G18,CI$8&lt;=$G18+$H18-1),2,IF(AND($C18="Milestone",CI$8&gt;=$G18,CI$8&lt;=$G18+$H18-1),1,""))</f>
        <v/>
      </c>
      <c r="CJ18" s="69" t="str">
        <f ca="1">IF(AND($C18="Goal",CJ$8&gt;=$G18,CJ$8&lt;=$G18+$H18-1),2,IF(AND($C18="Milestone",CJ$8&gt;=$G18,CJ$8&lt;=$G18+$H18-1),1,""))</f>
        <v/>
      </c>
      <c r="CK18" s="69" t="str">
        <f ca="1">IF(AND($C18="Goal",CK$8&gt;=$G18,CK$8&lt;=$G18+$H18-1),2,IF(AND($C18="Milestone",CK$8&gt;=$G18,CK$8&lt;=$G18+$H18-1),1,""))</f>
        <v/>
      </c>
      <c r="CL18" s="69" t="str">
        <f ca="1">IF(AND($C18="Goal",CL$8&gt;=$G18,CL$8&lt;=$G18+$H18-1),2,IF(AND($C18="Milestone",CL$8&gt;=$G18,CL$8&lt;=$G18+$H18-1),1,""))</f>
        <v/>
      </c>
      <c r="CM18" s="69" t="str">
        <f ca="1">IF(AND($C18="Goal",CM$8&gt;=$G18,CM$8&lt;=$G18+$H18-1),2,IF(AND($C18="Milestone",CM$8&gt;=$G18,CM$8&lt;=$G18+$H18-1),1,""))</f>
        <v/>
      </c>
      <c r="CN18" s="69" t="str">
        <f ca="1">IF(AND($C18="Goal",CN$8&gt;=$G18,CN$8&lt;=$G18+$H18-1),2,IF(AND($C18="Milestone",CN$8&gt;=$G18,CN$8&lt;=$G18+$H18-1),1,""))</f>
        <v/>
      </c>
      <c r="CO18" s="69" t="str">
        <f ca="1">IF(AND($C18="Goal",CO$8&gt;=$G18,CO$8&lt;=$G18+$H18-1),2,IF(AND($C18="Milestone",CO$8&gt;=$G18,CO$8&lt;=$G18+$H18-1),1,""))</f>
        <v/>
      </c>
      <c r="CP18" s="69" t="str">
        <f ca="1">IF(AND($C18="Goal",CP$8&gt;=$G18,CP$8&lt;=$G18+$H18-1),2,IF(AND($C18="Milestone",CP$8&gt;=$G18,CP$8&lt;=$G18+$H18-1),1,""))</f>
        <v/>
      </c>
      <c r="CQ18" s="69" t="str">
        <f ca="1">IF(AND($C18="Goal",CQ$8&gt;=$G18,CQ$8&lt;=$G18+$H18-1),2,IF(AND($C18="Milestone",CQ$8&gt;=$G18,CQ$8&lt;=$G18+$H18-1),1,""))</f>
        <v/>
      </c>
      <c r="CR18" s="69" t="str">
        <f ca="1">IF(AND($C18="Goal",CR$8&gt;=$G18,CR$8&lt;=$G18+$H18-1),2,IF(AND($C18="Milestone",CR$8&gt;=$G18,CR$8&lt;=$G18+$H18-1),1,""))</f>
        <v/>
      </c>
      <c r="CS18" s="69" t="str">
        <f ca="1">IF(AND($C18="Goal",CS$8&gt;=$G18,CS$8&lt;=$G18+$H18-1),2,IF(AND($C18="Milestone",CS$8&gt;=$G18,CS$8&lt;=$G18+$H18-1),1,""))</f>
        <v/>
      </c>
      <c r="CT18" s="69" t="str">
        <f ca="1">IF(AND($C18="Goal",CT$8&gt;=$G18,CT$8&lt;=$G18+$H18-1),2,IF(AND($C18="Milestone",CT$8&gt;=$G18,CT$8&lt;=$G18+$H18-1),1,""))</f>
        <v/>
      </c>
      <c r="CU18" s="69" t="str">
        <f ca="1">IF(AND($C18="Goal",CU$8&gt;=$G18,CU$8&lt;=$G18+$H18-1),2,IF(AND($C18="Milestone",CU$8&gt;=$G18,CU$8&lt;=$G18+$H18-1),1,""))</f>
        <v/>
      </c>
      <c r="CV18" s="69" t="str">
        <f ca="1">IF(AND($C18="Goal",CV$8&gt;=$G18,CV$8&lt;=$G18+$H18-1),2,IF(AND($C18="Milestone",CV$8&gt;=$G18,CV$8&lt;=$G18+$H18-1),1,""))</f>
        <v/>
      </c>
      <c r="CW18" s="69" t="str">
        <f ca="1">IF(AND($C18="Goal",CW$8&gt;=$G18,CW$8&lt;=$G18+$H18-1),2,IF(AND($C18="Milestone",CW$8&gt;=$G18,CW$8&lt;=$G18+$H18-1),1,""))</f>
        <v/>
      </c>
      <c r="CX18" s="69" t="str">
        <f ca="1">IF(AND($C18="Goal",CX$8&gt;=$G18,CX$8&lt;=$G18+$H18-1),2,IF(AND($C18="Milestone",CX$8&gt;=$G18,CX$8&lt;=$G18+$H18-1),1,""))</f>
        <v/>
      </c>
      <c r="CY18" s="69" t="str">
        <f ca="1">IF(AND($C18="Goal",CY$8&gt;=$G18,CY$8&lt;=$G18+$H18-1),2,IF(AND($C18="Milestone",CY$8&gt;=$G18,CY$8&lt;=$G18+$H18-1),1,""))</f>
        <v/>
      </c>
      <c r="CZ18" s="69" t="str">
        <f ca="1">IF(AND($C18="Goal",CZ$8&gt;=$G18,CZ$8&lt;=$G18+$H18-1),2,IF(AND($C18="Milestone",CZ$8&gt;=$G18,CZ$8&lt;=$G18+$H18-1),1,""))</f>
        <v/>
      </c>
      <c r="DA18" s="69" t="str">
        <f ca="1">IF(AND($C18="Goal",DA$8&gt;=$G18,DA$8&lt;=$G18+$H18-1),2,IF(AND($C18="Milestone",DA$8&gt;=$G18,DA$8&lt;=$G18+$H18-1),1,""))</f>
        <v/>
      </c>
      <c r="DB18" s="69" t="str">
        <f ca="1">IF(AND($C18="Goal",DB$8&gt;=$G18,DB$8&lt;=$G18+$H18-1),2,IF(AND($C18="Milestone",DB$8&gt;=$G18,DB$8&lt;=$G18+$H18-1),1,""))</f>
        <v/>
      </c>
      <c r="DC18" s="69" t="str">
        <f ca="1">IF(AND($C18="Goal",DC$8&gt;=$G18,DC$8&lt;=$G18+$H18-1),2,IF(AND($C18="Milestone",DC$8&gt;=$G18,DC$8&lt;=$G18+$H18-1),1,""))</f>
        <v/>
      </c>
      <c r="DD18" s="69" t="str">
        <f ca="1">IF(AND($C18="Goal",DD$8&gt;=$G18,DD$8&lt;=$G18+$H18-1),2,IF(AND($C18="Milestone",DD$8&gt;=$G18,DD$8&lt;=$G18+$H18-1),1,""))</f>
        <v/>
      </c>
      <c r="DE18" s="69" t="str">
        <f ca="1">IF(AND($C18="Goal",DE$8&gt;=$G18,DE$8&lt;=$G18+$H18-1),2,IF(AND($C18="Milestone",DE$8&gt;=$G18,DE$8&lt;=$G18+$H18-1),1,""))</f>
        <v/>
      </c>
      <c r="DF18" s="69" t="str">
        <f ca="1">IF(AND($C18="Goal",DF$8&gt;=$G18,DF$8&lt;=$G18+$H18-1),2,IF(AND($C18="Milestone",DF$8&gt;=$G18,DF$8&lt;=$G18+$H18-1),1,""))</f>
        <v/>
      </c>
      <c r="DG18" s="69" t="str">
        <f ca="1">IF(AND($C18="Goal",DG$8&gt;=$G18,DG$8&lt;=$G18+$H18-1),2,IF(AND($C18="Milestone",DG$8&gt;=$G18,DG$8&lt;=$G18+$H18-1),1,""))</f>
        <v/>
      </c>
      <c r="DH18" s="69" t="str">
        <f ca="1">IF(AND($C18="Goal",DH$8&gt;=$G18,DH$8&lt;=$G18+$H18-1),2,IF(AND($C18="Milestone",DH$8&gt;=$G18,DH$8&lt;=$G18+$H18-1),1,""))</f>
        <v/>
      </c>
      <c r="DI18" s="69" t="str">
        <f ca="1">IF(AND($C18="Goal",DI$8&gt;=$G18,DI$8&lt;=$G18+$H18-1),2,IF(AND($C18="Milestone",DI$8&gt;=$G18,DI$8&lt;=$G18+$H18-1),1,""))</f>
        <v/>
      </c>
      <c r="DJ18" s="69" t="str">
        <f ca="1">IF(AND($C18="Goal",DJ$8&gt;=$G18,DJ$8&lt;=$G18+$H18-1),2,IF(AND($C18="Milestone",DJ$8&gt;=$G18,DJ$8&lt;=$G18+$H18-1),1,""))</f>
        <v/>
      </c>
      <c r="DK18" s="69" t="str">
        <f ca="1">IF(AND($C18="Goal",DK$8&gt;=$G18,DK$8&lt;=$G18+$H18-1),2,IF(AND($C18="Milestone",DK$8&gt;=$G18,DK$8&lt;=$G18+$H18-1),1,""))</f>
        <v/>
      </c>
      <c r="DL18" s="69" t="str">
        <f ca="1">IF(AND($C18="Goal",DL$8&gt;=$G18,DL$8&lt;=$G18+$H18-1),2,IF(AND($C18="Milestone",DL$8&gt;=$G18,DL$8&lt;=$G18+$H18-1),1,""))</f>
        <v/>
      </c>
      <c r="DM18" s="69" t="str">
        <f ca="1">IF(AND($C18="Goal",DM$8&gt;=$G18,DM$8&lt;=$G18+$H18-1),2,IF(AND($C18="Milestone",DM$8&gt;=$G18,DM$8&lt;=$G18+$H18-1),1,""))</f>
        <v/>
      </c>
      <c r="DN18" s="69" t="str">
        <f ca="1">IF(AND($C18="Goal",DN$8&gt;=$G18,DN$8&lt;=$G18+$H18-1),2,IF(AND($C18="Milestone",DN$8&gt;=$G18,DN$8&lt;=$G18+$H18-1),1,""))</f>
        <v/>
      </c>
      <c r="DO18" s="69" t="str">
        <f ca="1">IF(AND($C18="Goal",DO$8&gt;=$G18,DO$8&lt;=$G18+$H18-1),2,IF(AND($C18="Milestone",DO$8&gt;=$G18,DO$8&lt;=$G18+$H18-1),1,""))</f>
        <v/>
      </c>
      <c r="DP18" s="69" t="str">
        <f ca="1">IF(AND($C18="Goal",DP$8&gt;=$G18,DP$8&lt;=$G18+$H18-1),2,IF(AND($C18="Milestone",DP$8&gt;=$G18,DP$8&lt;=$G18+$H18-1),1,""))</f>
        <v/>
      </c>
      <c r="DQ18" s="69" t="str">
        <f ca="1">IF(AND($C18="Goal",DQ$8&gt;=$G18,DQ$8&lt;=$G18+$H18-1),2,IF(AND($C18="Milestone",DQ$8&gt;=$G18,DQ$8&lt;=$G18+$H18-1),1,""))</f>
        <v/>
      </c>
      <c r="DR18" s="69" t="str">
        <f ca="1">IF(AND($C18="Goal",DR$8&gt;=$G18,DR$8&lt;=$G18+$H18-1),2,IF(AND($C18="Milestone",DR$8&gt;=$G18,DR$8&lt;=$G18+$H18-1),1,""))</f>
        <v/>
      </c>
      <c r="DS18" s="69" t="str">
        <f ca="1">IF(AND($C18="Goal",DS$8&gt;=$G18,DS$8&lt;=$G18+$H18-1),2,IF(AND($C18="Milestone",DS$8&gt;=$G18,DS$8&lt;=$G18+$H18-1),1,""))</f>
        <v/>
      </c>
      <c r="DT18" s="69" t="str">
        <f ca="1">IF(AND($C18="Goal",DT$8&gt;=$G18,DT$8&lt;=$G18+$H18-1),2,IF(AND($C18="Milestone",DT$8&gt;=$G18,DT$8&lt;=$G18+$H18-1),1,""))</f>
        <v/>
      </c>
      <c r="DU18" s="69" t="str">
        <f ca="1">IF(AND($C18="Goal",DU$8&gt;=$G18,DU$8&lt;=$G18+$H18-1),2,IF(AND($C18="Milestone",DU$8&gt;=$G18,DU$8&lt;=$G18+$H18-1),1,""))</f>
        <v/>
      </c>
      <c r="DV18" s="69" t="str">
        <f ca="1">IF(AND($C18="Goal",DV$8&gt;=$G18,DV$8&lt;=$G18+$H18-1),2,IF(AND($C18="Milestone",DV$8&gt;=$G18,DV$8&lt;=$G18+$H18-1),1,""))</f>
        <v/>
      </c>
      <c r="DW18" s="69" t="str">
        <f ca="1">IF(AND($C18="Goal",DW$8&gt;=$G18,DW$8&lt;=$G18+$H18-1),2,IF(AND($C18="Milestone",DW$8&gt;=$G18,DW$8&lt;=$G18+$H18-1),1,""))</f>
        <v/>
      </c>
      <c r="DX18" s="69" t="str">
        <f ca="1">IF(AND($C18="Goal",DX$8&gt;=$G18,DX$8&lt;=$G18+$H18-1),2,IF(AND($C18="Milestone",DX$8&gt;=$G18,DX$8&lt;=$G18+$H18-1),1,""))</f>
        <v/>
      </c>
      <c r="DY18" s="69" t="str">
        <f ca="1">IF(AND($C18="Goal",DY$8&gt;=$G18,DY$8&lt;=$G18+$H18-1),2,IF(AND($C18="Milestone",DY$8&gt;=$G18,DY$8&lt;=$G18+$H18-1),1,""))</f>
        <v/>
      </c>
      <c r="DZ18" s="69" t="str">
        <f ca="1">IF(AND($C18="Goal",DZ$8&gt;=$G18,DZ$8&lt;=$G18+$H18-1),2,IF(AND($C18="Milestone",DZ$8&gt;=$G18,DZ$8&lt;=$G18+$H18-1),1,""))</f>
        <v/>
      </c>
      <c r="EA18" s="69" t="str">
        <f ca="1">IF(AND($C18="Goal",EA$8&gt;=$G18,EA$8&lt;=$G18+$H18-1),2,IF(AND($C18="Milestone",EA$8&gt;=$G18,EA$8&lt;=$G18+$H18-1),1,""))</f>
        <v/>
      </c>
      <c r="EB18" s="69" t="str">
        <f ca="1">IF(AND($C18="Goal",EB$8&gt;=$G18,EB$8&lt;=$G18+$H18-1),2,IF(AND($C18="Milestone",EB$8&gt;=$G18,EB$8&lt;=$G18+$H18-1),1,""))</f>
        <v/>
      </c>
      <c r="EC18" s="69" t="str">
        <f ca="1">IF(AND($C18="Goal",EC$8&gt;=$G18,EC$8&lt;=$G18+$H18-1),2,IF(AND($C18="Milestone",EC$8&gt;=$G18,EC$8&lt;=$G18+$H18-1),1,""))</f>
        <v/>
      </c>
      <c r="ED18" s="69" t="str">
        <f ca="1">IF(AND($C18="Goal",ED$8&gt;=$G18,ED$8&lt;=$G18+$H18-1),2,IF(AND($C18="Milestone",ED$8&gt;=$G18,ED$8&lt;=$G18+$H18-1),1,""))</f>
        <v/>
      </c>
      <c r="EE18" s="69" t="str">
        <f ca="1">IF(AND($C18="Goal",EE$8&gt;=$G18,EE$8&lt;=$G18+$H18-1),2,IF(AND($C18="Milestone",EE$8&gt;=$G18,EE$8&lt;=$G18+$H18-1),1,""))</f>
        <v/>
      </c>
      <c r="EF18" s="69" t="str">
        <f ca="1">IF(AND($C18="Goal",EF$8&gt;=$G18,EF$8&lt;=$G18+$H18-1),2,IF(AND($C18="Milestone",EF$8&gt;=$G18,EF$8&lt;=$G18+$H18-1),1,""))</f>
        <v/>
      </c>
      <c r="EG18" s="69" t="str">
        <f ca="1">IF(AND($C18="Goal",EG$8&gt;=$G18,EG$8&lt;=$G18+$H18-1),2,IF(AND($C18="Milestone",EG$8&gt;=$G18,EG$8&lt;=$G18+$H18-1),1,""))</f>
        <v/>
      </c>
      <c r="EH18" s="69" t="str">
        <f ca="1">IF(AND($C18="Goal",EH$8&gt;=$G18,EH$8&lt;=$G18+$H18-1),2,IF(AND($C18="Milestone",EH$8&gt;=$G18,EH$8&lt;=$G18+$H18-1),1,""))</f>
        <v/>
      </c>
      <c r="EI18" s="69" t="str">
        <f ca="1">IF(AND($C18="Goal",EI$8&gt;=$G18,EI$8&lt;=$G18+$H18-1),2,IF(AND($C18="Milestone",EI$8&gt;=$G18,EI$8&lt;=$G18+$H18-1),1,""))</f>
        <v/>
      </c>
      <c r="EJ18" s="69" t="str">
        <f ca="1">IF(AND($C18="Goal",EJ$8&gt;=$G18,EJ$8&lt;=$G18+$H18-1),2,IF(AND($C18="Milestone",EJ$8&gt;=$G18,EJ$8&lt;=$G18+$H18-1),1,""))</f>
        <v/>
      </c>
      <c r="EK18" s="69" t="str">
        <f ca="1">IF(AND($C18="Goal",EK$8&gt;=$G18,EK$8&lt;=$G18+$H18-1),2,IF(AND($C18="Milestone",EK$8&gt;=$G18,EK$8&lt;=$G18+$H18-1),1,""))</f>
        <v/>
      </c>
      <c r="EL18" s="69" t="str">
        <f ca="1">IF(AND($C18="Goal",EL$8&gt;=$G18,EL$8&lt;=$G18+$H18-1),2,IF(AND($C18="Milestone",EL$8&gt;=$G18,EL$8&lt;=$G18+$H18-1),1,""))</f>
        <v/>
      </c>
      <c r="EM18" s="69" t="str">
        <f ca="1">IF(AND($C18="Goal",EM$8&gt;=$G18,EM$8&lt;=$G18+$H18-1),2,IF(AND($C18="Milestone",EM$8&gt;=$G18,EM$8&lt;=$G18+$H18-1),1,""))</f>
        <v/>
      </c>
      <c r="EN18" s="69" t="str">
        <f ca="1">IF(AND($C18="Goal",EN$8&gt;=$G18,EN$8&lt;=$G18+$H18-1),2,IF(AND($C18="Milestone",EN$8&gt;=$G18,EN$8&lt;=$G18+$H18-1),1,""))</f>
        <v/>
      </c>
      <c r="EO18" s="69" t="str">
        <f ca="1">IF(AND($C18="Goal",EO$8&gt;=$G18,EO$8&lt;=$G18+$H18-1),2,IF(AND($C18="Milestone",EO$8&gt;=$G18,EO$8&lt;=$G18+$H18-1),1,""))</f>
        <v/>
      </c>
      <c r="EP18" s="69" t="str">
        <f ca="1">IF(AND($C18="Goal",EP$8&gt;=$G18,EP$8&lt;=$G18+$H18-1),2,IF(AND($C18="Milestone",EP$8&gt;=$G18,EP$8&lt;=$G18+$H18-1),1,""))</f>
        <v/>
      </c>
      <c r="EQ18" s="69" t="str">
        <f ca="1">IF(AND($C18="Goal",EQ$8&gt;=$G18,EQ$8&lt;=$G18+$H18-1),2,IF(AND($C18="Milestone",EQ$8&gt;=$G18,EQ$8&lt;=$G18+$H18-1),1,""))</f>
        <v/>
      </c>
      <c r="ER18" s="69" t="str">
        <f ca="1">IF(AND($C18="Goal",ER$8&gt;=$G18,ER$8&lt;=$G18+$H18-1),2,IF(AND($C18="Milestone",ER$8&gt;=$G18,ER$8&lt;=$G18+$H18-1),1,""))</f>
        <v/>
      </c>
      <c r="ES18" s="69" t="str">
        <f ca="1">IF(AND($C18="Goal",ES$8&gt;=$G18,ES$8&lt;=$G18+$H18-1),2,IF(AND($C18="Milestone",ES$8&gt;=$G18,ES$8&lt;=$G18+$H18-1),1,""))</f>
        <v/>
      </c>
      <c r="ET18" s="69" t="str">
        <f ca="1">IF(AND($C18="Goal",ET$8&gt;=$G18,ET$8&lt;=$G18+$H18-1),2,IF(AND($C18="Milestone",ET$8&gt;=$G18,ET$8&lt;=$G18+$H18-1),1,""))</f>
        <v/>
      </c>
      <c r="EU18" s="69" t="str">
        <f ca="1">IF(AND($C18="Goal",EU$8&gt;=$G18,EU$8&lt;=$G18+$H18-1),2,IF(AND($C18="Milestone",EU$8&gt;=$G18,EU$8&lt;=$G18+$H18-1),1,""))</f>
        <v/>
      </c>
      <c r="EV18" s="69" t="str">
        <f ca="1">IF(AND($C18="Goal",EV$8&gt;=$G18,EV$8&lt;=$G18+$H18-1),2,IF(AND($C18="Milestone",EV$8&gt;=$G18,EV$8&lt;=$G18+$H18-1),1,""))</f>
        <v/>
      </c>
      <c r="EW18" s="69" t="str">
        <f ca="1">IF(AND($C18="Goal",EW$8&gt;=$G18,EW$8&lt;=$G18+$H18-1),2,IF(AND($C18="Milestone",EW$8&gt;=$G18,EW$8&lt;=$G18+$H18-1),1,""))</f>
        <v/>
      </c>
      <c r="EX18" s="69" t="str">
        <f ca="1">IF(AND($C18="Goal",EX$8&gt;=$G18,EX$8&lt;=$G18+$H18-1),2,IF(AND($C18="Milestone",EX$8&gt;=$G18,EX$8&lt;=$G18+$H18-1),1,""))</f>
        <v/>
      </c>
      <c r="EY18" s="69" t="str">
        <f ca="1">IF(AND($C18="Goal",EY$8&gt;=$G18,EY$8&lt;=$G18+$H18-1),2,IF(AND($C18="Milestone",EY$8&gt;=$G18,EY$8&lt;=$G18+$H18-1),1,""))</f>
        <v/>
      </c>
      <c r="EZ18" s="69" t="str">
        <f ca="1">IF(AND($C18="Goal",EZ$8&gt;=$G18,EZ$8&lt;=$G18+$H18-1),2,IF(AND($C18="Milestone",EZ$8&gt;=$G18,EZ$8&lt;=$G18+$H18-1),1,""))</f>
        <v/>
      </c>
      <c r="FA18" s="69" t="str">
        <f ca="1">IF(AND($C18="Goal",FA$8&gt;=$G18,FA$8&lt;=$G18+$H18-1),2,IF(AND($C18="Milestone",FA$8&gt;=$G18,FA$8&lt;=$G18+$H18-1),1,""))</f>
        <v/>
      </c>
      <c r="FB18" s="69" t="str">
        <f ca="1">IF(AND($C18="Goal",FB$8&gt;=$G18,FB$8&lt;=$G18+$H18-1),2,IF(AND($C18="Milestone",FB$8&gt;=$G18,FB$8&lt;=$G18+$H18-1),1,""))</f>
        <v/>
      </c>
      <c r="FC18" s="69" t="str">
        <f ca="1">IF(AND($C18="Goal",FC$8&gt;=$G18,FC$8&lt;=$G18+$H18-1),2,IF(AND($C18="Milestone",FC$8&gt;=$G18,FC$8&lt;=$G18+$H18-1),1,""))</f>
        <v/>
      </c>
      <c r="FD18" s="69" t="str">
        <f ca="1">IF(AND($C18="Goal",FD$8&gt;=$G18,FD$8&lt;=$G18+$H18-1),2,IF(AND($C18="Milestone",FD$8&gt;=$G18,FD$8&lt;=$G18+$H18-1),1,""))</f>
        <v/>
      </c>
      <c r="FE18" s="69" t="str">
        <f ca="1">IF(AND($C18="Goal",FE$8&gt;=$G18,FE$8&lt;=$G18+$H18-1),2,IF(AND($C18="Milestone",FE$8&gt;=$G18,FE$8&lt;=$G18+$H18-1),1,""))</f>
        <v/>
      </c>
      <c r="FF18" s="69" t="str">
        <f ca="1">IF(AND($C18="Goal",FF$8&gt;=$G18,FF$8&lt;=$G18+$H18-1),2,IF(AND($C18="Milestone",FF$8&gt;=$G18,FF$8&lt;=$G18+$H18-1),1,""))</f>
        <v/>
      </c>
      <c r="FG18" s="69" t="str">
        <f ca="1">IF(AND($C18="Goal",FG$8&gt;=$G18,FG$8&lt;=$G18+$H18-1),2,IF(AND($C18="Milestone",FG$8&gt;=$G18,FG$8&lt;=$G18+$H18-1),1,""))</f>
        <v/>
      </c>
      <c r="FH18" s="69" t="str">
        <f ca="1">IF(AND($C18="Goal",FH$8&gt;=$G18,FH$8&lt;=$G18+$H18-1),2,IF(AND($C18="Milestone",FH$8&gt;=$G18,FH$8&lt;=$G18+$H18-1),1,""))</f>
        <v/>
      </c>
      <c r="FI18" s="69" t="str">
        <f ca="1">IF(AND($C18="Goal",FI$8&gt;=$G18,FI$8&lt;=$G18+$H18-1),2,IF(AND($C18="Milestone",FI$8&gt;=$G18,FI$8&lt;=$G18+$H18-1),1,""))</f>
        <v/>
      </c>
      <c r="FJ18" s="69" t="str">
        <f ca="1">IF(AND($C18="Goal",FJ$8&gt;=$G18,FJ$8&lt;=$G18+$H18-1),2,IF(AND($C18="Milestone",FJ$8&gt;=$G18,FJ$8&lt;=$G18+$H18-1),1,""))</f>
        <v/>
      </c>
      <c r="FK18" s="69" t="str">
        <f ca="1">IF(AND($C18="Goal",FK$8&gt;=$G18,FK$8&lt;=$G18+$H18-1),2,IF(AND($C18="Milestone",FK$8&gt;=$G18,FK$8&lt;=$G18+$H18-1),1,""))</f>
        <v/>
      </c>
      <c r="FL18" s="69" t="str">
        <f ca="1">IF(AND($C18="Goal",FL$8&gt;=$G18,FL$8&lt;=$G18+$H18-1),2,IF(AND($C18="Milestone",FL$8&gt;=$G18,FL$8&lt;=$G18+$H18-1),1,""))</f>
        <v/>
      </c>
      <c r="FM18" s="69" t="str">
        <f ca="1">IF(AND($C18="Goal",FM$8&gt;=$G18,FM$8&lt;=$G18+$H18-1),2,IF(AND($C18="Milestone",FM$8&gt;=$G18,FM$8&lt;=$G18+$H18-1),1,""))</f>
        <v/>
      </c>
      <c r="FN18" s="69" t="str">
        <f ca="1">IF(AND($C18="Goal",FN$8&gt;=$G18,FN$8&lt;=$G18+$H18-1),2,IF(AND($C18="Milestone",FN$8&gt;=$G18,FN$8&lt;=$G18+$H18-1),1,""))</f>
        <v/>
      </c>
      <c r="FO18" s="69" t="str">
        <f ca="1">IF(AND($C18="Goal",FO$8&gt;=$G18,FO$8&lt;=$G18+$H18-1),2,IF(AND($C18="Milestone",FO$8&gt;=$G18,FO$8&lt;=$G18+$H18-1),1,""))</f>
        <v/>
      </c>
      <c r="FP18" s="69" t="str">
        <f ca="1">IF(AND($C18="Goal",FP$8&gt;=$G18,FP$8&lt;=$G18+$H18-1),2,IF(AND($C18="Milestone",FP$8&gt;=$G18,FP$8&lt;=$G18+$H18-1),1,""))</f>
        <v/>
      </c>
      <c r="FQ18" s="69" t="str">
        <f ca="1">IF(AND($C18="Goal",FQ$8&gt;=$G18,FQ$8&lt;=$G18+$H18-1),2,IF(AND($C18="Milestone",FQ$8&gt;=$G18,FQ$8&lt;=$G18+$H18-1),1,""))</f>
        <v/>
      </c>
      <c r="FR18" s="69" t="str">
        <f ca="1">IF(AND($C18="Goal",FR$8&gt;=$G18,FR$8&lt;=$G18+$H18-1),2,IF(AND($C18="Milestone",FR$8&gt;=$G18,FR$8&lt;=$G18+$H18-1),1,""))</f>
        <v/>
      </c>
      <c r="FS18" s="69" t="str">
        <f ca="1">IF(AND($C18="Goal",FS$8&gt;=$G18,FS$8&lt;=$G18+$H18-1),2,IF(AND($C18="Milestone",FS$8&gt;=$G18,FS$8&lt;=$G18+$H18-1),1,""))</f>
        <v/>
      </c>
      <c r="FT18" s="69" t="str">
        <f ca="1">IF(AND($C18="Goal",FT$8&gt;=$G18,FT$8&lt;=$G18+$H18-1),2,IF(AND($C18="Milestone",FT$8&gt;=$G18,FT$8&lt;=$G18+$H18-1),1,""))</f>
        <v/>
      </c>
      <c r="FU18" s="69" t="str">
        <f ca="1">IF(AND($C18="Goal",FU$8&gt;=$G18,FU$8&lt;=$G18+$H18-1),2,IF(AND($C18="Milestone",FU$8&gt;=$G18,FU$8&lt;=$G18+$H18-1),1,""))</f>
        <v/>
      </c>
      <c r="FV18" s="69" t="str">
        <f ca="1">IF(AND($C18="Goal",FV$8&gt;=$G18,FV$8&lt;=$G18+$H18-1),2,IF(AND($C18="Milestone",FV$8&gt;=$G18,FV$8&lt;=$G18+$H18-1),1,""))</f>
        <v/>
      </c>
      <c r="FW18" s="69" t="str">
        <f ca="1">IF(AND($C18="Goal",FW$8&gt;=$G18,FW$8&lt;=$G18+$H18-1),2,IF(AND($C18="Milestone",FW$8&gt;=$G18,FW$8&lt;=$G18+$H18-1),1,""))</f>
        <v/>
      </c>
      <c r="FX18" s="69" t="str">
        <f ca="1">IF(AND($C18="Goal",FX$8&gt;=$G18,FX$8&lt;=$G18+$H18-1),2,IF(AND($C18="Milestone",FX$8&gt;=$G18,FX$8&lt;=$G18+$H18-1),1,""))</f>
        <v/>
      </c>
      <c r="FY18" s="69" t="str">
        <f ca="1">IF(AND($C18="Goal",FY$8&gt;=$G18,FY$8&lt;=$G18+$H18-1),2,IF(AND($C18="Milestone",FY$8&gt;=$G18,FY$8&lt;=$G18+$H18-1),1,""))</f>
        <v/>
      </c>
      <c r="FZ18" s="69" t="str">
        <f ca="1">IF(AND($C18="Goal",FZ$8&gt;=$G18,FZ$8&lt;=$G18+$H18-1),2,IF(AND($C18="Milestone",FZ$8&gt;=$G18,FZ$8&lt;=$G18+$H18-1),1,""))</f>
        <v/>
      </c>
      <c r="GA18" s="69" t="str">
        <f ca="1">IF(AND($C18="Goal",GA$8&gt;=$G18,GA$8&lt;=$G18+$H18-1),2,IF(AND($C18="Milestone",GA$8&gt;=$G18,GA$8&lt;=$G18+$H18-1),1,""))</f>
        <v/>
      </c>
      <c r="GB18" s="69" t="str">
        <f ca="1">IF(AND($C18="Goal",GB$8&gt;=$G18,GB$8&lt;=$G18+$H18-1),2,IF(AND($C18="Milestone",GB$8&gt;=$G18,GB$8&lt;=$G18+$H18-1),1,""))</f>
        <v/>
      </c>
      <c r="GC18" s="69" t="str">
        <f ca="1">IF(AND($C18="Goal",GC$8&gt;=$G18,GC$8&lt;=$G18+$H18-1),2,IF(AND($C18="Milestone",GC$8&gt;=$G18,GC$8&lt;=$G18+$H18-1),1,""))</f>
        <v/>
      </c>
      <c r="GD18" s="69" t="str">
        <f ca="1">IF(AND($C18="Goal",GD$8&gt;=$G18,GD$8&lt;=$G18+$H18-1),2,IF(AND($C18="Milestone",GD$8&gt;=$G18,GD$8&lt;=$G18+$H18-1),1,""))</f>
        <v/>
      </c>
      <c r="GE18" s="69" t="str">
        <f ca="1">IF(AND($C18="Goal",GE$8&gt;=$G18,GE$8&lt;=$G18+$H18-1),2,IF(AND($C18="Milestone",GE$8&gt;=$G18,GE$8&lt;=$G18+$H18-1),1,""))</f>
        <v/>
      </c>
      <c r="GF18" s="69" t="str">
        <f ca="1">IF(AND($C18="Goal",GF$8&gt;=$G18,GF$8&lt;=$G18+$H18-1),2,IF(AND($C18="Milestone",GF$8&gt;=$G18,GF$8&lt;=$G18+$H18-1),1,""))</f>
        <v/>
      </c>
      <c r="GG18" s="69" t="str">
        <f ca="1">IF(AND($C18="Goal",GG$8&gt;=$G18,GG$8&lt;=$G18+$H18-1),2,IF(AND($C18="Milestone",GG$8&gt;=$G18,GG$8&lt;=$G18+$H18-1),1,""))</f>
        <v/>
      </c>
      <c r="GH18" s="69" t="str">
        <f ca="1">IF(AND($C18="Goal",GH$8&gt;=$G18,GH$8&lt;=$G18+$H18-1),2,IF(AND($C18="Milestone",GH$8&gt;=$G18,GH$8&lt;=$G18+$H18-1),1,""))</f>
        <v/>
      </c>
      <c r="GI18" s="69" t="str">
        <f ca="1">IF(AND($C18="Goal",GI$8&gt;=$G18,GI$8&lt;=$G18+$H18-1),2,IF(AND($C18="Milestone",GI$8&gt;=$G18,GI$8&lt;=$G18+$H18-1),1,""))</f>
        <v/>
      </c>
      <c r="GJ18" s="69" t="str">
        <f ca="1">IF(AND($C18="Goal",GJ$8&gt;=$G18,GJ$8&lt;=$G18+$H18-1),2,IF(AND($C18="Milestone",GJ$8&gt;=$G18,GJ$8&lt;=$G18+$H18-1),1,""))</f>
        <v/>
      </c>
      <c r="GK18" s="69" t="str">
        <f ca="1">IF(AND($C18="Goal",GK$8&gt;=$G18,GK$8&lt;=$G18+$H18-1),2,IF(AND($C18="Milestone",GK$8&gt;=$G18,GK$8&lt;=$G18+$H18-1),1,""))</f>
        <v/>
      </c>
      <c r="GL18" s="69" t="str">
        <f ca="1">IF(AND($C18="Goal",GL$8&gt;=$G18,GL$8&lt;=$G18+$H18-1),2,IF(AND($C18="Milestone",GL$8&gt;=$G18,GL$8&lt;=$G18+$H18-1),1,""))</f>
        <v/>
      </c>
      <c r="GM18" s="69" t="str">
        <f ca="1">IF(AND($C18="Goal",GM$8&gt;=$G18,GM$8&lt;=$G18+$H18-1),2,IF(AND($C18="Milestone",GM$8&gt;=$G18,GM$8&lt;=$G18+$H18-1),1,""))</f>
        <v/>
      </c>
      <c r="GN18" s="69" t="str">
        <f ca="1">IF(AND($C18="Goal",GN$8&gt;=$G18,GN$8&lt;=$G18+$H18-1),2,IF(AND($C18="Milestone",GN$8&gt;=$G18,GN$8&lt;=$G18+$H18-1),1,""))</f>
        <v/>
      </c>
      <c r="GO18" s="69" t="str">
        <f ca="1">IF(AND($C18="Goal",GO$8&gt;=$G18,GO$8&lt;=$G18+$H18-1),2,IF(AND($C18="Milestone",GO$8&gt;=$G18,GO$8&lt;=$G18+$H18-1),1,""))</f>
        <v/>
      </c>
      <c r="GP18" s="69" t="str">
        <f ca="1">IF(AND($C18="Goal",GP$8&gt;=$G18,GP$8&lt;=$G18+$H18-1),2,IF(AND($C18="Milestone",GP$8&gt;=$G18,GP$8&lt;=$G18+$H18-1),1,""))</f>
        <v/>
      </c>
      <c r="GQ18" s="69" t="str">
        <f ca="1">IF(AND($C18="Goal",GQ$8&gt;=$G18,GQ$8&lt;=$G18+$H18-1),2,IF(AND($C18="Milestone",GQ$8&gt;=$G18,GQ$8&lt;=$G18+$H18-1),1,""))</f>
        <v/>
      </c>
      <c r="GR18" s="69" t="str">
        <f ca="1">IF(AND($C18="Goal",GR$8&gt;=$G18,GR$8&lt;=$G18+$H18-1),2,IF(AND($C18="Milestone",GR$8&gt;=$G18,GR$8&lt;=$G18+$H18-1),1,""))</f>
        <v/>
      </c>
      <c r="GS18" s="69" t="str">
        <f ca="1">IF(AND($C18="Goal",GS$8&gt;=$G18,GS$8&lt;=$G18+$H18-1),2,IF(AND($C18="Milestone",GS$8&gt;=$G18,GS$8&lt;=$G18+$H18-1),1,""))</f>
        <v/>
      </c>
      <c r="GT18" s="69" t="str">
        <f ca="1">IF(AND($C18="Goal",GT$8&gt;=$G18,GT$8&lt;=$G18+$H18-1),2,IF(AND($C18="Milestone",GT$8&gt;=$G18,GT$8&lt;=$G18+$H18-1),1,""))</f>
        <v/>
      </c>
      <c r="GU18" s="69" t="str">
        <f ca="1">IF(AND($C18="Goal",GU$8&gt;=$G18,GU$8&lt;=$G18+$H18-1),2,IF(AND($C18="Milestone",GU$8&gt;=$G18,GU$8&lt;=$G18+$H18-1),1,""))</f>
        <v/>
      </c>
      <c r="GV18" s="69" t="str">
        <f ca="1">IF(AND($C18="Goal",GV$8&gt;=$G18,GV$8&lt;=$G18+$H18-1),2,IF(AND($C18="Milestone",GV$8&gt;=$G18,GV$8&lt;=$G18+$H18-1),1,""))</f>
        <v/>
      </c>
      <c r="GW18" s="69" t="str">
        <f ca="1">IF(AND($C18="Goal",GW$8&gt;=$G18,GW$8&lt;=$G18+$H18-1),2,IF(AND($C18="Milestone",GW$8&gt;=$G18,GW$8&lt;=$G18+$H18-1),1,""))</f>
        <v/>
      </c>
      <c r="GX18" s="69" t="str">
        <f ca="1">IF(AND($C18="Goal",GX$8&gt;=$G18,GX$8&lt;=$G18+$H18-1),2,IF(AND($C18="Milestone",GX$8&gt;=$G18,GX$8&lt;=$G18+$H18-1),1,""))</f>
        <v/>
      </c>
      <c r="GY18" s="69" t="str">
        <f ca="1">IF(AND($C18="Goal",GY$8&gt;=$G18,GY$8&lt;=$G18+$H18-1),2,IF(AND($C18="Milestone",GY$8&gt;=$G18,GY$8&lt;=$G18+$H18-1),1,""))</f>
        <v/>
      </c>
      <c r="GZ18" s="69" t="str">
        <f ca="1">IF(AND($C18="Goal",GZ$8&gt;=$G18,GZ$8&lt;=$G18+$H18-1),2,IF(AND($C18="Milestone",GZ$8&gt;=$G18,GZ$8&lt;=$G18+$H18-1),1,""))</f>
        <v/>
      </c>
      <c r="HA18" s="69" t="str">
        <f ca="1">IF(AND($C18="Goal",HA$8&gt;=$G18,HA$8&lt;=$G18+$H18-1),2,IF(AND($C18="Milestone",HA$8&gt;=$G18,HA$8&lt;=$G18+$H18-1),1,""))</f>
        <v/>
      </c>
      <c r="HB18" s="69" t="str">
        <f ca="1">IF(AND($C18="Goal",HB$8&gt;=$G18,HB$8&lt;=$G18+$H18-1),2,IF(AND($C18="Milestone",HB$8&gt;=$G18,HB$8&lt;=$G18+$H18-1),1,""))</f>
        <v/>
      </c>
      <c r="HC18" s="69" t="str">
        <f ca="1">IF(AND($C18="Goal",HC$8&gt;=$G18,HC$8&lt;=$G18+$H18-1),2,IF(AND($C18="Milestone",HC$8&gt;=$G18,HC$8&lt;=$G18+$H18-1),1,""))</f>
        <v/>
      </c>
      <c r="HD18" s="69" t="str">
        <f ca="1">IF(AND($C18="Goal",HD$8&gt;=$G18,HD$8&lt;=$G18+$H18-1),2,IF(AND($C18="Milestone",HD$8&gt;=$G18,HD$8&lt;=$G18+$H18-1),1,""))</f>
        <v/>
      </c>
      <c r="HE18" s="69" t="str">
        <f ca="1">IF(AND($C18="Goal",HE$8&gt;=$G18,HE$8&lt;=$G18+$H18-1),2,IF(AND($C18="Milestone",HE$8&gt;=$G18,HE$8&lt;=$G18+$H18-1),1,""))</f>
        <v/>
      </c>
      <c r="HF18" s="69" t="str">
        <f ca="1">IF(AND($C18="Goal",HF$8&gt;=$G18,HF$8&lt;=$G18+$H18-1),2,IF(AND($C18="Milestone",HF$8&gt;=$G18,HF$8&lt;=$G18+$H18-1),1,""))</f>
        <v/>
      </c>
      <c r="HG18" s="69" t="str">
        <f ca="1">IF(AND($C18="Goal",HG$8&gt;=$G18,HG$8&lt;=$G18+$H18-1),2,IF(AND($C18="Milestone",HG$8&gt;=$G18,HG$8&lt;=$G18+$H18-1),1,""))</f>
        <v/>
      </c>
      <c r="HH18" s="69" t="str">
        <f ca="1">IF(AND($C18="Goal",HH$8&gt;=$G18,HH$8&lt;=$G18+$H18-1),2,IF(AND($C18="Milestone",HH$8&gt;=$G18,HH$8&lt;=$G18+$H18-1),1,""))</f>
        <v/>
      </c>
      <c r="HI18" s="69" t="str">
        <f ca="1">IF(AND($C18="Goal",HI$8&gt;=$G18,HI$8&lt;=$G18+$H18-1),2,IF(AND($C18="Milestone",HI$8&gt;=$G18,HI$8&lt;=$G18+$H18-1),1,""))</f>
        <v/>
      </c>
      <c r="HJ18" s="69" t="str">
        <f ca="1">IF(AND($C18="Goal",HJ$8&gt;=$G18,HJ$8&lt;=$G18+$H18-1),2,IF(AND($C18="Milestone",HJ$8&gt;=$G18,HJ$8&lt;=$G18+$H18-1),1,""))</f>
        <v/>
      </c>
      <c r="HK18" s="69" t="str">
        <f ca="1">IF(AND($C18="Goal",HK$8&gt;=$G18,HK$8&lt;=$G18+$H18-1),2,IF(AND($C18="Milestone",HK$8&gt;=$G18,HK$8&lt;=$G18+$H18-1),1,""))</f>
        <v/>
      </c>
      <c r="HL18" s="69" t="str">
        <f ca="1">IF(AND($C18="Goal",HL$8&gt;=$G18,HL$8&lt;=$G18+$H18-1),2,IF(AND($C18="Milestone",HL$8&gt;=$G18,HL$8&lt;=$G18+$H18-1),1,""))</f>
        <v/>
      </c>
      <c r="HM18" s="69" t="str">
        <f ca="1">IF(AND($C18="Goal",HM$8&gt;=$G18,HM$8&lt;=$G18+$H18-1),2,IF(AND($C18="Milestone",HM$8&gt;=$G18,HM$8&lt;=$G18+$H18-1),1,""))</f>
        <v/>
      </c>
      <c r="HN18" s="69" t="str">
        <f ca="1">IF(AND($C18="Goal",HN$8&gt;=$G18,HN$8&lt;=$G18+$H18-1),2,IF(AND($C18="Milestone",HN$8&gt;=$G18,HN$8&lt;=$G18+$H18-1),1,""))</f>
        <v/>
      </c>
      <c r="HO18" s="69" t="str">
        <f ca="1">IF(AND($C18="Goal",HO$8&gt;=$G18,HO$8&lt;=$G18+$H18-1),2,IF(AND($C18="Milestone",HO$8&gt;=$G18,HO$8&lt;=$G18+$H18-1),1,""))</f>
        <v/>
      </c>
      <c r="HP18" s="69" t="str">
        <f ca="1">IF(AND($C18="Goal",HP$8&gt;=$G18,HP$8&lt;=$G18+$H18-1),2,IF(AND($C18="Milestone",HP$8&gt;=$G18,HP$8&lt;=$G18+$H18-1),1,""))</f>
        <v/>
      </c>
      <c r="HQ18" s="69" t="str">
        <f ca="1">IF(AND($C18="Goal",HQ$8&gt;=$G18,HQ$8&lt;=$G18+$H18-1),2,IF(AND($C18="Milestone",HQ$8&gt;=$G18,HQ$8&lt;=$G18+$H18-1),1,""))</f>
        <v/>
      </c>
      <c r="HR18" s="69" t="str">
        <f ca="1">IF(AND($C18="Goal",HR$8&gt;=$G18,HR$8&lt;=$G18+$H18-1),2,IF(AND($C18="Milestone",HR$8&gt;=$G18,HR$8&lt;=$G18+$H18-1),1,""))</f>
        <v/>
      </c>
      <c r="HS18" s="69" t="str">
        <f ca="1">IF(AND($C18="Goal",HS$8&gt;=$G18,HS$8&lt;=$G18+$H18-1),2,IF(AND($C18="Milestone",HS$8&gt;=$G18,HS$8&lt;=$G18+$H18-1),1,""))</f>
        <v/>
      </c>
      <c r="HT18" s="69" t="str">
        <f ca="1">IF(AND($C18="Goal",HT$8&gt;=$G18,HT$8&lt;=$G18+$H18-1),2,IF(AND($C18="Milestone",HT$8&gt;=$G18,HT$8&lt;=$G18+$H18-1),1,""))</f>
        <v/>
      </c>
      <c r="HU18" s="69" t="str">
        <f ca="1">IF(AND($C18="Goal",HU$8&gt;=$G18,HU$8&lt;=$G18+$H18-1),2,IF(AND($C18="Milestone",HU$8&gt;=$G18,HU$8&lt;=$G18+$H18-1),1,""))</f>
        <v/>
      </c>
      <c r="HV18" s="69" t="str">
        <f ca="1">IF(AND($C18="Goal",HV$8&gt;=$G18,HV$8&lt;=$G18+$H18-1),2,IF(AND($C18="Milestone",HV$8&gt;=$G18,HV$8&lt;=$G18+$H18-1),1,""))</f>
        <v/>
      </c>
      <c r="HW18" s="69" t="str">
        <f ca="1">IF(AND($C18="Goal",HW$8&gt;=$G18,HW$8&lt;=$G18+$H18-1),2,IF(AND($C18="Milestone",HW$8&gt;=$G18,HW$8&lt;=$G18+$H18-1),1,""))</f>
        <v/>
      </c>
      <c r="HX18" s="69" t="str">
        <f ca="1">IF(AND($C18="Goal",HX$8&gt;=$G18,HX$8&lt;=$G18+$H18-1),2,IF(AND($C18="Milestone",HX$8&gt;=$G18,HX$8&lt;=$G18+$H18-1),1,""))</f>
        <v/>
      </c>
      <c r="HY18" s="69" t="str">
        <f ca="1">IF(AND($C18="Goal",HY$8&gt;=$G18,HY$8&lt;=$G18+$H18-1),2,IF(AND($C18="Milestone",HY$8&gt;=$G18,HY$8&lt;=$G18+$H18-1),1,""))</f>
        <v/>
      </c>
      <c r="HZ18" s="69" t="str">
        <f ca="1">IF(AND($C18="Goal",HZ$8&gt;=$G18,HZ$8&lt;=$G18+$H18-1),2,IF(AND($C18="Milestone",HZ$8&gt;=$G18,HZ$8&lt;=$G18+$H18-1),1,""))</f>
        <v/>
      </c>
      <c r="IA18" s="69" t="str">
        <f ca="1">IF(AND($C18="Goal",IA$8&gt;=$G18,IA$8&lt;=$G18+$H18-1),2,IF(AND($C18="Milestone",IA$8&gt;=$G18,IA$8&lt;=$G18+$H18-1),1,""))</f>
        <v/>
      </c>
      <c r="IB18" s="69" t="str">
        <f ca="1">IF(AND($C18="Goal",IB$8&gt;=$G18,IB$8&lt;=$G18+$H18-1),2,IF(AND($C18="Milestone",IB$8&gt;=$G18,IB$8&lt;=$G18+$H18-1),1,""))</f>
        <v/>
      </c>
      <c r="IC18" s="69" t="str">
        <f ca="1">IF(AND($C18="Goal",IC$8&gt;=$G18,IC$8&lt;=$G18+$H18-1),2,IF(AND($C18="Milestone",IC$8&gt;=$G18,IC$8&lt;=$G18+$H18-1),1,""))</f>
        <v/>
      </c>
      <c r="ID18" s="69" t="str">
        <f ca="1">IF(AND($C18="Goal",ID$8&gt;=$G18,ID$8&lt;=$G18+$H18-1),2,IF(AND($C18="Milestone",ID$8&gt;=$G18,ID$8&lt;=$G18+$H18-1),1,""))</f>
        <v/>
      </c>
      <c r="IE18" s="69" t="str">
        <f ca="1">IF(AND($C18="Goal",IE$8&gt;=$G18,IE$8&lt;=$G18+$H18-1),2,IF(AND($C18="Milestone",IE$8&gt;=$G18,IE$8&lt;=$G18+$H18-1),1,""))</f>
        <v/>
      </c>
      <c r="IF18" s="69" t="str">
        <f ca="1">IF(AND($C18="Goal",IF$8&gt;=$G18,IF$8&lt;=$G18+$H18-1),2,IF(AND($C18="Milestone",IF$8&gt;=$G18,IF$8&lt;=$G18+$H18-1),1,""))</f>
        <v/>
      </c>
      <c r="IG18" s="69" t="str">
        <f ca="1">IF(AND($C18="Goal",IG$8&gt;=$G18,IG$8&lt;=$G18+$H18-1),2,IF(AND($C18="Milestone",IG$8&gt;=$G18,IG$8&lt;=$G18+$H18-1),1,""))</f>
        <v/>
      </c>
      <c r="IH18" s="69" t="str">
        <f ca="1">IF(AND($C18="Goal",IH$8&gt;=$G18,IH$8&lt;=$G18+$H18-1),2,IF(AND($C18="Milestone",IH$8&gt;=$G18,IH$8&lt;=$G18+$H18-1),1,""))</f>
        <v/>
      </c>
      <c r="II18" s="69" t="str">
        <f ca="1">IF(AND($C18="Goal",II$8&gt;=$G18,II$8&lt;=$G18+$H18-1),2,IF(AND($C18="Milestone",II$8&gt;=$G18,II$8&lt;=$G18+$H18-1),1,""))</f>
        <v/>
      </c>
      <c r="IJ18" s="69" t="str">
        <f ca="1">IF(AND($C18="Goal",IJ$8&gt;=$G18,IJ$8&lt;=$G18+$H18-1),2,IF(AND($C18="Milestone",IJ$8&gt;=$G18,IJ$8&lt;=$G18+$H18-1),1,""))</f>
        <v/>
      </c>
      <c r="IK18" s="69" t="str">
        <f ca="1">IF(AND($C18="Goal",IK$8&gt;=$G18,IK$8&lt;=$G18+$H18-1),2,IF(AND($C18="Milestone",IK$8&gt;=$G18,IK$8&lt;=$G18+$H18-1),1,""))</f>
        <v/>
      </c>
      <c r="IL18" s="69" t="str">
        <f ca="1">IF(AND($C18="Goal",IL$8&gt;=$G18,IL$8&lt;=$G18+$H18-1),2,IF(AND($C18="Milestone",IL$8&gt;=$G18,IL$8&lt;=$G18+$H18-1),1,""))</f>
        <v/>
      </c>
      <c r="IM18" s="69" t="str">
        <f ca="1">IF(AND($C18="Goal",IM$8&gt;=$G18,IM$8&lt;=$G18+$H18-1),2,IF(AND($C18="Milestone",IM$8&gt;=$G18,IM$8&lt;=$G18+$H18-1),1,""))</f>
        <v/>
      </c>
      <c r="IN18" s="69" t="str">
        <f ca="1">IF(AND($C18="Goal",IN$8&gt;=$G18,IN$8&lt;=$G18+$H18-1),2,IF(AND($C18="Milestone",IN$8&gt;=$G18,IN$8&lt;=$G18+$H18-1),1,""))</f>
        <v/>
      </c>
      <c r="IO18" s="69" t="str">
        <f ca="1">IF(AND($C18="Goal",IO$8&gt;=$G18,IO$8&lt;=$G18+$H18-1),2,IF(AND($C18="Milestone",IO$8&gt;=$G18,IO$8&lt;=$G18+$H18-1),1,""))</f>
        <v/>
      </c>
      <c r="IP18" s="69" t="str">
        <f ca="1">IF(AND($C18="Goal",IP$8&gt;=$G18,IP$8&lt;=$G18+$H18-1),2,IF(AND($C18="Milestone",IP$8&gt;=$G18,IP$8&lt;=$G18+$H18-1),1,""))</f>
        <v/>
      </c>
      <c r="IQ18" s="69" t="str">
        <f ca="1">IF(AND($C18="Goal",IQ$8&gt;=$G18,IQ$8&lt;=$G18+$H18-1),2,IF(AND($C18="Milestone",IQ$8&gt;=$G18,IQ$8&lt;=$G18+$H18-1),1,""))</f>
        <v/>
      </c>
      <c r="IR18" s="69" t="str">
        <f ca="1">IF(AND($C18="Goal",IR$8&gt;=$G18,IR$8&lt;=$G18+$H18-1),2,IF(AND($C18="Milestone",IR$8&gt;=$G18,IR$8&lt;=$G18+$H18-1),1,""))</f>
        <v/>
      </c>
      <c r="IS18" s="69" t="str">
        <f ca="1">IF(AND($C18="Goal",IS$8&gt;=$G18,IS$8&lt;=$G18+$H18-1),2,IF(AND($C18="Milestone",IS$8&gt;=$G18,IS$8&lt;=$G18+$H18-1),1,""))</f>
        <v/>
      </c>
      <c r="IT18" s="69" t="str">
        <f ca="1">IF(AND($C18="Goal",IT$8&gt;=$G18,IT$8&lt;=$G18+$H18-1),2,IF(AND($C18="Milestone",IT$8&gt;=$G18,IT$8&lt;=$G18+$H18-1),1,""))</f>
        <v/>
      </c>
      <c r="IU18" s="69" t="str">
        <f ca="1">IF(AND($C18="Goal",IU$8&gt;=$G18,IU$8&lt;=$G18+$H18-1),2,IF(AND($C18="Milestone",IU$8&gt;=$G18,IU$8&lt;=$G18+$H18-1),1,""))</f>
        <v/>
      </c>
      <c r="IV18" s="69" t="str">
        <f ca="1">IF(AND($C18="Goal",IV$8&gt;=$G18,IV$8&lt;=$G18+$H18-1),2,IF(AND($C18="Milestone",IV$8&gt;=$G18,IV$8&lt;=$G18+$H18-1),1,""))</f>
        <v/>
      </c>
      <c r="IW18" s="69" t="str">
        <f ca="1">IF(AND($C18="Goal",IW$8&gt;=$G18,IW$8&lt;=$G18+$H18-1),2,IF(AND($C18="Milestone",IW$8&gt;=$G18,IW$8&lt;=$G18+$H18-1),1,""))</f>
        <v/>
      </c>
      <c r="IX18" s="69" t="str">
        <f ca="1">IF(AND($C18="Goal",IX$8&gt;=$G18,IX$8&lt;=$G18+$H18-1),2,IF(AND($C18="Milestone",IX$8&gt;=$G18,IX$8&lt;=$G18+$H18-1),1,""))</f>
        <v/>
      </c>
      <c r="IY18" s="69" t="str">
        <f ca="1">IF(AND($C18="Goal",IY$8&gt;=$G18,IY$8&lt;=$G18+$H18-1),2,IF(AND($C18="Milestone",IY$8&gt;=$G18,IY$8&lt;=$G18+$H18-1),1,""))</f>
        <v/>
      </c>
      <c r="IZ18" s="69" t="str">
        <f ca="1">IF(AND($C18="Goal",IZ$8&gt;=$G18,IZ$8&lt;=$G18+$H18-1),2,IF(AND($C18="Milestone",IZ$8&gt;=$G18,IZ$8&lt;=$G18+$H18-1),1,""))</f>
        <v/>
      </c>
      <c r="JA18" s="69" t="str">
        <f ca="1">IF(AND($C18="Goal",JA$8&gt;=$G18,JA$8&lt;=$G18+$H18-1),2,IF(AND($C18="Milestone",JA$8&gt;=$G18,JA$8&lt;=$G18+$H18-1),1,""))</f>
        <v/>
      </c>
      <c r="JB18" s="69" t="str">
        <f ca="1">IF(AND($C18="Goal",JB$8&gt;=$G18,JB$8&lt;=$G18+$H18-1),2,IF(AND($C18="Milestone",JB$8&gt;=$G18,JB$8&lt;=$G18+$H18-1),1,""))</f>
        <v/>
      </c>
      <c r="JC18" s="69" t="str">
        <f ca="1">IF(AND($C18="Goal",JC$8&gt;=$G18,JC$8&lt;=$G18+$H18-1),2,IF(AND($C18="Milestone",JC$8&gt;=$G18,JC$8&lt;=$G18+$H18-1),1,""))</f>
        <v/>
      </c>
      <c r="JD18" s="69" t="str">
        <f ca="1">IF(AND($C18="Goal",JD$8&gt;=$G18,JD$8&lt;=$G18+$H18-1),2,IF(AND($C18="Milestone",JD$8&gt;=$G18,JD$8&lt;=$G18+$H18-1),1,""))</f>
        <v/>
      </c>
      <c r="JE18" s="69" t="str">
        <f ca="1">IF(AND($C18="Goal",JE$8&gt;=$G18,JE$8&lt;=$G18+$H18-1),2,IF(AND($C18="Milestone",JE$8&gt;=$G18,JE$8&lt;=$G18+$H18-1),1,""))</f>
        <v/>
      </c>
      <c r="JF18" s="69" t="str">
        <f ca="1">IF(AND($C18="Goal",JF$8&gt;=$G18,JF$8&lt;=$G18+$H18-1),2,IF(AND($C18="Milestone",JF$8&gt;=$G18,JF$8&lt;=$G18+$H18-1),1,""))</f>
        <v/>
      </c>
      <c r="JG18" s="69" t="str">
        <f ca="1">IF(AND($C18="Goal",JG$8&gt;=$G18,JG$8&lt;=$G18+$H18-1),2,IF(AND($C18="Milestone",JG$8&gt;=$G18,JG$8&lt;=$G18+$H18-1),1,""))</f>
        <v/>
      </c>
      <c r="JH18" s="69" t="str">
        <f ca="1">IF(AND($C18="Goal",JH$8&gt;=$G18,JH$8&lt;=$G18+$H18-1),2,IF(AND($C18="Milestone",JH$8&gt;=$G18,JH$8&lt;=$G18+$H18-1),1,""))</f>
        <v/>
      </c>
      <c r="JI18" s="69" t="str">
        <f ca="1">IF(AND($C18="Goal",JI$8&gt;=$G18,JI$8&lt;=$G18+$H18-1),2,IF(AND($C18="Milestone",JI$8&gt;=$G18,JI$8&lt;=$G18+$H18-1),1,""))</f>
        <v/>
      </c>
      <c r="JJ18" s="69" t="str">
        <f ca="1">IF(AND($C18="Goal",JJ$8&gt;=$G18,JJ$8&lt;=$G18+$H18-1),2,IF(AND($C18="Milestone",JJ$8&gt;=$G18,JJ$8&lt;=$G18+$H18-1),1,""))</f>
        <v/>
      </c>
      <c r="JK18" s="69" t="str">
        <f ca="1">IF(AND($C18="Goal",JK$8&gt;=$G18,JK$8&lt;=$G18+$H18-1),2,IF(AND($C18="Milestone",JK$8&gt;=$G18,JK$8&lt;=$G18+$H18-1),1,""))</f>
        <v/>
      </c>
      <c r="JL18" s="69" t="str">
        <f ca="1">IF(AND($C18="Goal",JL$8&gt;=$G18,JL$8&lt;=$G18+$H18-1),2,IF(AND($C18="Milestone",JL$8&gt;=$G18,JL$8&lt;=$G18+$H18-1),1,""))</f>
        <v/>
      </c>
      <c r="JM18" s="69" t="str">
        <f ca="1">IF(AND($C18="Goal",JM$8&gt;=$G18,JM$8&lt;=$G18+$H18-1),2,IF(AND($C18="Milestone",JM$8&gt;=$G18,JM$8&lt;=$G18+$H18-1),1,""))</f>
        <v/>
      </c>
      <c r="JN18" s="69" t="str">
        <f ca="1">IF(AND($C18="Goal",JN$8&gt;=$G18,JN$8&lt;=$G18+$H18-1),2,IF(AND($C18="Milestone",JN$8&gt;=$G18,JN$8&lt;=$G18+$H18-1),1,""))</f>
        <v/>
      </c>
      <c r="JO18" s="69" t="str">
        <f ca="1">IF(AND($C18="Goal",JO$8&gt;=$G18,JO$8&lt;=$G18+$H18-1),2,IF(AND($C18="Milestone",JO$8&gt;=$G18,JO$8&lt;=$G18+$H18-1),1,""))</f>
        <v/>
      </c>
      <c r="JP18" s="69" t="str">
        <f ca="1">IF(AND($C18="Goal",JP$8&gt;=$G18,JP$8&lt;=$G18+$H18-1),2,IF(AND($C18="Milestone",JP$8&gt;=$G18,JP$8&lt;=$G18+$H18-1),1,""))</f>
        <v/>
      </c>
      <c r="JQ18" s="69" t="str">
        <f ca="1">IF(AND($C18="Goal",JQ$8&gt;=$G18,JQ$8&lt;=$G18+$H18-1),2,IF(AND($C18="Milestone",JQ$8&gt;=$G18,JQ$8&lt;=$G18+$H18-1),1,""))</f>
        <v/>
      </c>
      <c r="JR18" s="69" t="str">
        <f ca="1">IF(AND($C18="Goal",JR$8&gt;=$G18,JR$8&lt;=$G18+$H18-1),2,IF(AND($C18="Milestone",JR$8&gt;=$G18,JR$8&lt;=$G18+$H18-1),1,""))</f>
        <v/>
      </c>
      <c r="JS18" s="69" t="str">
        <f ca="1">IF(AND($C18="Goal",JS$8&gt;=$G18,JS$8&lt;=$G18+$H18-1),2,IF(AND($C18="Milestone",JS$8&gt;=$G18,JS$8&lt;=$G18+$H18-1),1,""))</f>
        <v/>
      </c>
      <c r="JT18" s="69" t="str">
        <f ca="1">IF(AND($C18="Goal",JT$8&gt;=$G18,JT$8&lt;=$G18+$H18-1),2,IF(AND($C18="Milestone",JT$8&gt;=$G18,JT$8&lt;=$G18+$H18-1),1,""))</f>
        <v/>
      </c>
      <c r="JU18" s="69" t="str">
        <f ca="1">IF(AND($C18="Goal",JU$8&gt;=$G18,JU$8&lt;=$G18+$H18-1),2,IF(AND($C18="Milestone",JU$8&gt;=$G18,JU$8&lt;=$G18+$H18-1),1,""))</f>
        <v/>
      </c>
      <c r="JV18" s="69" t="str">
        <f ca="1">IF(AND($C18="Goal",JV$8&gt;=$G18,JV$8&lt;=$G18+$H18-1),2,IF(AND($C18="Milestone",JV$8&gt;=$G18,JV$8&lt;=$G18+$H18-1),1,""))</f>
        <v/>
      </c>
      <c r="JW18" s="69" t="str">
        <f ca="1">IF(AND($C18="Goal",JW$8&gt;=$G18,JW$8&lt;=$G18+$H18-1),2,IF(AND($C18="Milestone",JW$8&gt;=$G18,JW$8&lt;=$G18+$H18-1),1,""))</f>
        <v/>
      </c>
      <c r="JX18" s="69" t="str">
        <f ca="1">IF(AND($C18="Goal",JX$8&gt;=$G18,JX$8&lt;=$G18+$H18-1),2,IF(AND($C18="Milestone",JX$8&gt;=$G18,JX$8&lt;=$G18+$H18-1),1,""))</f>
        <v/>
      </c>
      <c r="JY18" s="69" t="str">
        <f ca="1">IF(AND($C18="Goal",JY$8&gt;=$G18,JY$8&lt;=$G18+$H18-1),2,IF(AND($C18="Milestone",JY$8&gt;=$G18,JY$8&lt;=$G18+$H18-1),1,""))</f>
        <v/>
      </c>
      <c r="JZ18" s="69" t="str">
        <f ca="1">IF(AND($C18="Goal",JZ$8&gt;=$G18,JZ$8&lt;=$G18+$H18-1),2,IF(AND($C18="Milestone",JZ$8&gt;=$G18,JZ$8&lt;=$G18+$H18-1),1,""))</f>
        <v/>
      </c>
      <c r="KA18" s="69" t="str">
        <f ca="1">IF(AND($C18="Goal",KA$8&gt;=$G18,KA$8&lt;=$G18+$H18-1),2,IF(AND($C18="Milestone",KA$8&gt;=$G18,KA$8&lt;=$G18+$H18-1),1,""))</f>
        <v/>
      </c>
      <c r="KB18" s="69" t="str">
        <f ca="1">IF(AND($C18="Goal",KB$8&gt;=$G18,KB$8&lt;=$G18+$H18-1),2,IF(AND($C18="Milestone",KB$8&gt;=$G18,KB$8&lt;=$G18+$H18-1),1,""))</f>
        <v/>
      </c>
      <c r="KC18" s="69" t="str">
        <f ca="1">IF(AND($C18="Goal",KC$8&gt;=$G18,KC$8&lt;=$G18+$H18-1),2,IF(AND($C18="Milestone",KC$8&gt;=$G18,KC$8&lt;=$G18+$H18-1),1,""))</f>
        <v/>
      </c>
      <c r="KD18" s="69" t="str">
        <f ca="1">IF(AND($C18="Goal",KD$8&gt;=$G18,KD$8&lt;=$G18+$H18-1),2,IF(AND($C18="Milestone",KD$8&gt;=$G18,KD$8&lt;=$G18+$H18-1),1,""))</f>
        <v/>
      </c>
      <c r="KE18" s="69" t="str">
        <f ca="1">IF(AND($C18="Goal",KE$8&gt;=$G18,KE$8&lt;=$G18+$H18-1),2,IF(AND($C18="Milestone",KE$8&gt;=$G18,KE$8&lt;=$G18+$H18-1),1,""))</f>
        <v/>
      </c>
      <c r="KF18" s="69" t="str">
        <f ca="1">IF(AND($C18="Goal",KF$8&gt;=$G18,KF$8&lt;=$G18+$H18-1),2,IF(AND($C18="Milestone",KF$8&gt;=$G18,KF$8&lt;=$G18+$H18-1),1,""))</f>
        <v/>
      </c>
      <c r="KG18" s="69" t="str">
        <f ca="1">IF(AND($C18="Goal",KG$8&gt;=$G18,KG$8&lt;=$G18+$H18-1),2,IF(AND($C18="Milestone",KG$8&gt;=$G18,KG$8&lt;=$G18+$H18-1),1,""))</f>
        <v/>
      </c>
      <c r="KH18" s="69" t="str">
        <f ca="1">IF(AND($C18="Goal",KH$8&gt;=$G18,KH$8&lt;=$G18+$H18-1),2,IF(AND($C18="Milestone",KH$8&gt;=$G18,KH$8&lt;=$G18+$H18-1),1,""))</f>
        <v/>
      </c>
      <c r="KI18" s="69" t="str">
        <f ca="1">IF(AND($C18="Goal",KI$8&gt;=$G18,KI$8&lt;=$G18+$H18-1),2,IF(AND($C18="Milestone",KI$8&gt;=$G18,KI$8&lt;=$G18+$H18-1),1,""))</f>
        <v/>
      </c>
      <c r="KJ18" s="69" t="str">
        <f ca="1">IF(AND($C18="Goal",KJ$8&gt;=$G18,KJ$8&lt;=$G18+$H18-1),2,IF(AND($C18="Milestone",KJ$8&gt;=$G18,KJ$8&lt;=$G18+$H18-1),1,""))</f>
        <v/>
      </c>
      <c r="KK18" s="69" t="str">
        <f ca="1">IF(AND($C18="Goal",KK$8&gt;=$G18,KK$8&lt;=$G18+$H18-1),2,IF(AND($C18="Milestone",KK$8&gt;=$G18,KK$8&lt;=$G18+$H18-1),1,""))</f>
        <v/>
      </c>
      <c r="KL18" s="69" t="str">
        <f ca="1">IF(AND($C18="Goal",KL$8&gt;=$G18,KL$8&lt;=$G18+$H18-1),2,IF(AND($C18="Milestone",KL$8&gt;=$G18,KL$8&lt;=$G18+$H18-1),1,""))</f>
        <v/>
      </c>
      <c r="KM18" s="69" t="str">
        <f ca="1">IF(AND($C18="Goal",KM$8&gt;=$G18,KM$8&lt;=$G18+$H18-1),2,IF(AND($C18="Milestone",KM$8&gt;=$G18,KM$8&lt;=$G18+$H18-1),1,""))</f>
        <v/>
      </c>
      <c r="KN18" s="69" t="str">
        <f ca="1">IF(AND($C18="Goal",KN$8&gt;=$G18,KN$8&lt;=$G18+$H18-1),2,IF(AND($C18="Milestone",KN$8&gt;=$G18,KN$8&lt;=$G18+$H18-1),1,""))</f>
        <v/>
      </c>
      <c r="KO18" s="69" t="str">
        <f ca="1">IF(AND($C18="Goal",KO$8&gt;=$G18,KO$8&lt;=$G18+$H18-1),2,IF(AND($C18="Milestone",KO$8&gt;=$G18,KO$8&lt;=$G18+$H18-1),1,""))</f>
        <v/>
      </c>
      <c r="KP18" s="69" t="str">
        <f ca="1">IF(AND($C18="Goal",KP$8&gt;=$G18,KP$8&lt;=$G18+$H18-1),2,IF(AND($C18="Milestone",KP$8&gt;=$G18,KP$8&lt;=$G18+$H18-1),1,""))</f>
        <v/>
      </c>
      <c r="KQ18" s="69" t="str">
        <f ca="1">IF(AND($C18="Goal",KQ$8&gt;=$G18,KQ$8&lt;=$G18+$H18-1),2,IF(AND($C18="Milestone",KQ$8&gt;=$G18,KQ$8&lt;=$G18+$H18-1),1,""))</f>
        <v/>
      </c>
      <c r="KR18" s="69" t="str">
        <f ca="1">IF(AND($C18="Goal",KR$8&gt;=$G18,KR$8&lt;=$G18+$H18-1),2,IF(AND($C18="Milestone",KR$8&gt;=$G18,KR$8&lt;=$G18+$H18-1),1,""))</f>
        <v/>
      </c>
      <c r="KS18" s="69" t="str">
        <f ca="1">IF(AND($C18="Goal",KS$8&gt;=$G18,KS$8&lt;=$G18+$H18-1),2,IF(AND($C18="Milestone",KS$8&gt;=$G18,KS$8&lt;=$G18+$H18-1),1,""))</f>
        <v/>
      </c>
      <c r="KT18" s="69" t="str">
        <f ca="1">IF(AND($C18="Goal",KT$8&gt;=$G18,KT$8&lt;=$G18+$H18-1),2,IF(AND($C18="Milestone",KT$8&gt;=$G18,KT$8&lt;=$G18+$H18-1),1,""))</f>
        <v/>
      </c>
      <c r="KU18" s="69" t="str">
        <f ca="1">IF(AND($C18="Goal",KU$8&gt;=$G18,KU$8&lt;=$G18+$H18-1),2,IF(AND($C18="Milestone",KU$8&gt;=$G18,KU$8&lt;=$G18+$H18-1),1,""))</f>
        <v/>
      </c>
      <c r="KV18" s="69" t="str">
        <f ca="1">IF(AND($C18="Goal",KV$8&gt;=$G18,KV$8&lt;=$G18+$H18-1),2,IF(AND($C18="Milestone",KV$8&gt;=$G18,KV$8&lt;=$G18+$H18-1),1,""))</f>
        <v/>
      </c>
      <c r="KW18" s="69" t="str">
        <f ca="1">IF(AND($C18="Goal",KW$8&gt;=$G18,KW$8&lt;=$G18+$H18-1),2,IF(AND($C18="Milestone",KW$8&gt;=$G18,KW$8&lt;=$G18+$H18-1),1,""))</f>
        <v/>
      </c>
      <c r="KX18" s="69" t="str">
        <f ca="1">IF(AND($C18="Goal",KX$8&gt;=$G18,KX$8&lt;=$G18+$H18-1),2,IF(AND($C18="Milestone",KX$8&gt;=$G18,KX$8&lt;=$G18+$H18-1),1,""))</f>
        <v/>
      </c>
      <c r="KY18" s="69" t="str">
        <f ca="1">IF(AND($C18="Goal",KY$8&gt;=$G18,KY$8&lt;=$G18+$H18-1),2,IF(AND($C18="Milestone",KY$8&gt;=$G18,KY$8&lt;=$G18+$H18-1),1,""))</f>
        <v/>
      </c>
      <c r="KZ18" s="69" t="str">
        <f ca="1">IF(AND($C18="Goal",KZ$8&gt;=$G18,KZ$8&lt;=$G18+$H18-1),2,IF(AND($C18="Milestone",KZ$8&gt;=$G18,KZ$8&lt;=$G18+$H18-1),1,""))</f>
        <v/>
      </c>
      <c r="LA18" s="69" t="str">
        <f ca="1">IF(AND($C18="Goal",LA$8&gt;=$G18,LA$8&lt;=$G18+$H18-1),2,IF(AND($C18="Milestone",LA$8&gt;=$G18,LA$8&lt;=$G18+$H18-1),1,""))</f>
        <v/>
      </c>
      <c r="LB18" s="69" t="str">
        <f ca="1">IF(AND($C18="Goal",LB$8&gt;=$G18,LB$8&lt;=$G18+$H18-1),2,IF(AND($C18="Milestone",LB$8&gt;=$G18,LB$8&lt;=$G18+$H18-1),1,""))</f>
        <v/>
      </c>
      <c r="LC18" s="69" t="str">
        <f ca="1">IF(AND($C18="Goal",LC$8&gt;=$G18,LC$8&lt;=$G18+$H18-1),2,IF(AND($C18="Milestone",LC$8&gt;=$G18,LC$8&lt;=$G18+$H18-1),1,""))</f>
        <v/>
      </c>
      <c r="LD18" s="69" t="str">
        <f ca="1">IF(AND($C18="Goal",LD$8&gt;=$G18,LD$8&lt;=$G18+$H18-1),2,IF(AND($C18="Milestone",LD$8&gt;=$G18,LD$8&lt;=$G18+$H18-1),1,""))</f>
        <v/>
      </c>
      <c r="LE18" s="69" t="str">
        <f ca="1">IF(AND($C18="Goal",LE$8&gt;=$G18,LE$8&lt;=$G18+$H18-1),2,IF(AND($C18="Milestone",LE$8&gt;=$G18,LE$8&lt;=$G18+$H18-1),1,""))</f>
        <v/>
      </c>
      <c r="LF18" s="69" t="str">
        <f ca="1">IF(AND($C18="Goal",LF$8&gt;=$G18,LF$8&lt;=$G18+$H18-1),2,IF(AND($C18="Milestone",LF$8&gt;=$G18,LF$8&lt;=$G18+$H18-1),1,""))</f>
        <v/>
      </c>
      <c r="LG18" s="69" t="str">
        <f ca="1">IF(AND($C18="Goal",LG$8&gt;=$G18,LG$8&lt;=$G18+$H18-1),2,IF(AND($C18="Milestone",LG$8&gt;=$G18,LG$8&lt;=$G18+$H18-1),1,""))</f>
        <v/>
      </c>
      <c r="LH18" s="69" t="str">
        <f ca="1">IF(AND($C18="Goal",LH$8&gt;=$G18,LH$8&lt;=$G18+$H18-1),2,IF(AND($C18="Milestone",LH$8&gt;=$G18,LH$8&lt;=$G18+$H18-1),1,""))</f>
        <v/>
      </c>
      <c r="LI18" s="69" t="str">
        <f ca="1">IF(AND($C18="Goal",LI$8&gt;=$G18,LI$8&lt;=$G18+$H18-1),2,IF(AND($C18="Milestone",LI$8&gt;=$G18,LI$8&lt;=$G18+$H18-1),1,""))</f>
        <v/>
      </c>
      <c r="LJ18" s="69" t="str">
        <f ca="1">IF(AND($C18="Goal",LJ$8&gt;=$G18,LJ$8&lt;=$G18+$H18-1),2,IF(AND($C18="Milestone",LJ$8&gt;=$G18,LJ$8&lt;=$G18+$H18-1),1,""))</f>
        <v/>
      </c>
      <c r="LK18" s="69" t="str">
        <f ca="1">IF(AND($C18="Goal",LK$8&gt;=$G18,LK$8&lt;=$G18+$H18-1),2,IF(AND($C18="Milestone",LK$8&gt;=$G18,LK$8&lt;=$G18+$H18-1),1,""))</f>
        <v/>
      </c>
      <c r="LL18" s="69" t="str">
        <f ca="1">IF(AND($C18="Goal",LL$8&gt;=$G18,LL$8&lt;=$G18+$H18-1),2,IF(AND($C18="Milestone",LL$8&gt;=$G18,LL$8&lt;=$G18+$H18-1),1,""))</f>
        <v/>
      </c>
      <c r="LM18" s="69" t="str">
        <f ca="1">IF(AND($C18="Goal",LM$8&gt;=$G18,LM$8&lt;=$G18+$H18-1),2,IF(AND($C18="Milestone",LM$8&gt;=$G18,LM$8&lt;=$G18+$H18-1),1,""))</f>
        <v/>
      </c>
      <c r="LN18" s="69" t="str">
        <f ca="1">IF(AND($C18="Goal",LN$8&gt;=$G18,LN$8&lt;=$G18+$H18-1),2,IF(AND($C18="Milestone",LN$8&gt;=$G18,LN$8&lt;=$G18+$H18-1),1,""))</f>
        <v/>
      </c>
      <c r="LO18" s="69" t="str">
        <f ca="1">IF(AND($C18="Goal",LO$8&gt;=$G18,LO$8&lt;=$G18+$H18-1),2,IF(AND($C18="Milestone",LO$8&gt;=$G18,LO$8&lt;=$G18+$H18-1),1,""))</f>
        <v/>
      </c>
      <c r="LP18" s="69" t="str">
        <f ca="1">IF(AND($C18="Goal",LP$8&gt;=$G18,LP$8&lt;=$G18+$H18-1),2,IF(AND($C18="Milestone",LP$8&gt;=$G18,LP$8&lt;=$G18+$H18-1),1,""))</f>
        <v/>
      </c>
      <c r="LQ18" s="69" t="str">
        <f ca="1">IF(AND($C18="Goal",LQ$8&gt;=$G18,LQ$8&lt;=$G18+$H18-1),2,IF(AND($C18="Milestone",LQ$8&gt;=$G18,LQ$8&lt;=$G18+$H18-1),1,""))</f>
        <v/>
      </c>
      <c r="LR18" s="69" t="str">
        <f ca="1">IF(AND($C18="Goal",LR$8&gt;=$G18,LR$8&lt;=$G18+$H18-1),2,IF(AND($C18="Milestone",LR$8&gt;=$G18,LR$8&lt;=$G18+$H18-1),1,""))</f>
        <v/>
      </c>
      <c r="LS18" s="69" t="str">
        <f ca="1">IF(AND($C18="Goal",LS$8&gt;=$G18,LS$8&lt;=$G18+$H18-1),2,IF(AND($C18="Milestone",LS$8&gt;=$G18,LS$8&lt;=$G18+$H18-1),1,""))</f>
        <v/>
      </c>
      <c r="LT18" s="69" t="str">
        <f ca="1">IF(AND($C18="Goal",LT$8&gt;=$G18,LT$8&lt;=$G18+$H18-1),2,IF(AND($C18="Milestone",LT$8&gt;=$G18,LT$8&lt;=$G18+$H18-1),1,""))</f>
        <v/>
      </c>
      <c r="LU18" s="69" t="str">
        <f ca="1">IF(AND($C18="Goal",LU$8&gt;=$G18,LU$8&lt;=$G18+$H18-1),2,IF(AND($C18="Milestone",LU$8&gt;=$G18,LU$8&lt;=$G18+$H18-1),1,""))</f>
        <v/>
      </c>
      <c r="LV18" s="69" t="str">
        <f ca="1">IF(AND($C18="Goal",LV$8&gt;=$G18,LV$8&lt;=$G18+$H18-1),2,IF(AND($C18="Milestone",LV$8&gt;=$G18,LV$8&lt;=$G18+$H18-1),1,""))</f>
        <v/>
      </c>
      <c r="LW18" s="69" t="str">
        <f ca="1">IF(AND($C18="Goal",LW$8&gt;=$G18,LW$8&lt;=$G18+$H18-1),2,IF(AND($C18="Milestone",LW$8&gt;=$G18,LW$8&lt;=$G18+$H18-1),1,""))</f>
        <v/>
      </c>
      <c r="LX18" s="69" t="str">
        <f ca="1">IF(AND($C18="Goal",LX$8&gt;=$G18,LX$8&lt;=$G18+$H18-1),2,IF(AND($C18="Milestone",LX$8&gt;=$G18,LX$8&lt;=$G18+$H18-1),1,""))</f>
        <v/>
      </c>
    </row>
    <row r="19" spans="1:336" s="1" customFormat="1" ht="27.5" customHeight="1" x14ac:dyDescent="0.25">
      <c r="A19" s="6"/>
      <c r="B19" s="47" t="s">
        <v>22</v>
      </c>
      <c r="C19" s="58"/>
      <c r="D19" s="58" t="str">
        <f ca="1">IF(G19="","",
IF(G19+Milestones4352[[#This Row],[Days]]="","",
IF(OR(F19=1,F19=100%),"Complete",
CHOOSE(
  1
  + --(((1-IF(F19&gt;1,F19/100,F19))*POWER(2.718281828,(60-MAX(0,G19+Milestones4352[[#This Row],[Days]]-TODAY()))/12))&gt;=0.6)
  + --(((1-IF(F19&gt;1,F19/100,F19))*POWER(2.718281828,(60-MAX(0,G19+Milestones4352[[#This Row],[Days]]-TODAY()))/12))&gt;=1.2)
  + --(((1-IF(F19&gt;1,F19/100,F19))*POWER(2.718281828,(60-MAX(0,G19+Milestones4352[[#This Row],[Days]]-TODAY()))/12))&gt;=2),
  "On track","Low risk","Medium risk","High risk"
))))</f>
        <v>High risk</v>
      </c>
      <c r="E19" s="58"/>
      <c r="F19" s="56">
        <v>0</v>
      </c>
      <c r="G19" s="70">
        <f t="shared" ref="G19:G21" si="209">G18+H18</f>
        <v>45983</v>
      </c>
      <c r="H19" s="57">
        <v>7</v>
      </c>
      <c r="I19" s="57">
        <f t="shared" si="207"/>
        <v>5</v>
      </c>
      <c r="J19" s="12">
        <f ca="1">IF(OR(Milestones4352[[#This Row],[Start]]="",Milestones4352[[#This Row],[Days]]=""),"",(Milestones4352[[#This Row],[Start]]+Milestones4352[[#This Row],[Days]])-TODAY())</f>
        <v>41</v>
      </c>
      <c r="K19" s="9"/>
      <c r="L19" s="69" t="str">
        <f ca="1">IF(AND($C19="Goal",L$8&gt;=$G19,L$8&lt;=$G19+$H19-1),2,IF(AND($C19="Milestone",L$8&gt;=$G19,L$8&lt;=$G19+$H19-1),1,""))</f>
        <v/>
      </c>
      <c r="M19" s="69" t="str">
        <f ca="1">IF(AND($C19="Goal",M$8&gt;=$G19,M$8&lt;=$G19+$H19-1),2,IF(AND($C19="Milestone",M$8&gt;=$G19,M$8&lt;=$G19+$H19-1),1,""))</f>
        <v/>
      </c>
      <c r="N19" s="69" t="str">
        <f ca="1">IF(AND($C19="Goal",N$8&gt;=$G19,N$8&lt;=$G19+$H19-1),2,IF(AND($C19="Milestone",N$8&gt;=$G19,N$8&lt;=$G19+$H19-1),1,""))</f>
        <v/>
      </c>
      <c r="O19" s="69" t="str">
        <f ca="1">IF(AND($C19="Goal",O$8&gt;=$G19,O$8&lt;=$G19+$H19-1),2,IF(AND($C19="Milestone",O$8&gt;=$G19,O$8&lt;=$G19+$H19-1),1,""))</f>
        <v/>
      </c>
      <c r="P19" s="69" t="str">
        <f ca="1">IF(AND($C19="Goal",P$8&gt;=$G19,P$8&lt;=$G19+$H19-1),2,IF(AND($C19="Milestone",P$8&gt;=$G19,P$8&lt;=$G19+$H19-1),1,""))</f>
        <v/>
      </c>
      <c r="Q19" s="69" t="str">
        <f ca="1">IF(AND($C19="Goal",Q$8&gt;=$G19,Q$8&lt;=$G19+$H19-1),2,IF(AND($C19="Milestone",Q$8&gt;=$G19,Q$8&lt;=$G19+$H19-1),1,""))</f>
        <v/>
      </c>
      <c r="R19" s="69" t="str">
        <f ca="1">IF(AND($C19="Goal",R$8&gt;=$G19,R$8&lt;=$G19+$H19-1),2,IF(AND($C19="Milestone",R$8&gt;=$G19,R$8&lt;=$G19+$H19-1),1,""))</f>
        <v/>
      </c>
      <c r="S19" s="69" t="str">
        <f ca="1">IF(AND($C19="Goal",S$8&gt;=$G19,S$8&lt;=$G19+$H19-1),2,IF(AND($C19="Milestone",S$8&gt;=$G19,S$8&lt;=$G19+$H19-1),1,""))</f>
        <v/>
      </c>
      <c r="T19" s="69" t="str">
        <f ca="1">IF(AND($C19="Goal",T$8&gt;=$G19,T$8&lt;=$G19+$H19-1),2,IF(AND($C19="Milestone",T$8&gt;=$G19,T$8&lt;=$G19+$H19-1),1,""))</f>
        <v/>
      </c>
      <c r="U19" s="69" t="str">
        <f ca="1">IF(AND($C19="Goal",U$8&gt;=$G19,U$8&lt;=$G19+$H19-1),2,IF(AND($C19="Milestone",U$8&gt;=$G19,U$8&lt;=$G19+$H19-1),1,""))</f>
        <v/>
      </c>
      <c r="V19" s="69" t="str">
        <f ca="1">IF(AND($C19="Goal",V$8&gt;=$G19,V$8&lt;=$G19+$H19-1),2,IF(AND($C19="Milestone",V$8&gt;=$G19,V$8&lt;=$G19+$H19-1),1,""))</f>
        <v/>
      </c>
      <c r="W19" s="69" t="str">
        <f ca="1">IF(AND($C19="Goal",W$8&gt;=$G19,W$8&lt;=$G19+$H19-1),2,IF(AND($C19="Milestone",W$8&gt;=$G19,W$8&lt;=$G19+$H19-1),1,""))</f>
        <v/>
      </c>
      <c r="X19" s="69" t="str">
        <f ca="1">IF(AND($C19="Goal",X$8&gt;=$G19,X$8&lt;=$G19+$H19-1),2,IF(AND($C19="Milestone",X$8&gt;=$G19,X$8&lt;=$G19+$H19-1),1,""))</f>
        <v/>
      </c>
      <c r="Y19" s="69" t="str">
        <f ca="1">IF(AND($C19="Goal",Y$8&gt;=$G19,Y$8&lt;=$G19+$H19-1),2,IF(AND($C19="Milestone",Y$8&gt;=$G19,Y$8&lt;=$G19+$H19-1),1,""))</f>
        <v/>
      </c>
      <c r="Z19" s="69" t="str">
        <f ca="1">IF(AND($C19="Goal",Z$8&gt;=$G19,Z$8&lt;=$G19+$H19-1),2,IF(AND($C19="Milestone",Z$8&gt;=$G19,Z$8&lt;=$G19+$H19-1),1,""))</f>
        <v/>
      </c>
      <c r="AA19" s="69" t="str">
        <f ca="1">IF(AND($C19="Goal",AA$8&gt;=$G19,AA$8&lt;=$G19+$H19-1),2,IF(AND($C19="Milestone",AA$8&gt;=$G19,AA$8&lt;=$G19+$H19-1),1,""))</f>
        <v/>
      </c>
      <c r="AB19" s="69" t="str">
        <f ca="1">IF(AND($C19="Goal",AB$8&gt;=$G19,AB$8&lt;=$G19+$H19-1),2,IF(AND($C19="Milestone",AB$8&gt;=$G19,AB$8&lt;=$G19+$H19-1),1,""))</f>
        <v/>
      </c>
      <c r="AC19" s="69" t="str">
        <f ca="1">IF(AND($C19="Goal",AC$8&gt;=$G19,AC$8&lt;=$G19+$H19-1),2,IF(AND($C19="Milestone",AC$8&gt;=$G19,AC$8&lt;=$G19+$H19-1),1,""))</f>
        <v/>
      </c>
      <c r="AD19" s="69" t="str">
        <f ca="1">IF(AND($C19="Goal",AD$8&gt;=$G19,AD$8&lt;=$G19+$H19-1),2,IF(AND($C19="Milestone",AD$8&gt;=$G19,AD$8&lt;=$G19+$H19-1),1,""))</f>
        <v/>
      </c>
      <c r="AE19" s="69" t="str">
        <f ca="1">IF(AND($C19="Goal",AE$8&gt;=$G19,AE$8&lt;=$G19+$H19-1),2,IF(AND($C19="Milestone",AE$8&gt;=$G19,AE$8&lt;=$G19+$H19-1),1,""))</f>
        <v/>
      </c>
      <c r="AF19" s="69" t="str">
        <f ca="1">IF(AND($C19="Goal",AF$8&gt;=$G19,AF$8&lt;=$G19+$H19-1),2,IF(AND($C19="Milestone",AF$8&gt;=$G19,AF$8&lt;=$G19+$H19-1),1,""))</f>
        <v/>
      </c>
      <c r="AG19" s="69" t="str">
        <f ca="1">IF(AND($C19="Goal",AG$8&gt;=$G19,AG$8&lt;=$G19+$H19-1),2,IF(AND($C19="Milestone",AG$8&gt;=$G19,AG$8&lt;=$G19+$H19-1),1,""))</f>
        <v/>
      </c>
      <c r="AH19" s="69" t="str">
        <f ca="1">IF(AND($C19="Goal",AH$8&gt;=$G19,AH$8&lt;=$G19+$H19-1),2,IF(AND($C19="Milestone",AH$8&gt;=$G19,AH$8&lt;=$G19+$H19-1),1,""))</f>
        <v/>
      </c>
      <c r="AI19" s="69" t="str">
        <f ca="1">IF(AND($C19="Goal",AI$8&gt;=$G19,AI$8&lt;=$G19+$H19-1),2,IF(AND($C19="Milestone",AI$8&gt;=$G19,AI$8&lt;=$G19+$H19-1),1,""))</f>
        <v/>
      </c>
      <c r="AJ19" s="69" t="str">
        <f ca="1">IF(AND($C19="Goal",AJ$8&gt;=$G19,AJ$8&lt;=$G19+$H19-1),2,IF(AND($C19="Milestone",AJ$8&gt;=$G19,AJ$8&lt;=$G19+$H19-1),1,""))</f>
        <v/>
      </c>
      <c r="AK19" s="69" t="str">
        <f ca="1">IF(AND($C19="Goal",AK$8&gt;=$G19,AK$8&lt;=$G19+$H19-1),2,IF(AND($C19="Milestone",AK$8&gt;=$G19,AK$8&lt;=$G19+$H19-1),1,""))</f>
        <v/>
      </c>
      <c r="AL19" s="69" t="str">
        <f ca="1">IF(AND($C19="Goal",AL$8&gt;=$G19,AL$8&lt;=$G19+$H19-1),2,IF(AND($C19="Milestone",AL$8&gt;=$G19,AL$8&lt;=$G19+$H19-1),1,""))</f>
        <v/>
      </c>
      <c r="AM19" s="69" t="str">
        <f ca="1">IF(AND($C19="Goal",AM$8&gt;=$G19,AM$8&lt;=$G19+$H19-1),2,IF(AND($C19="Milestone",AM$8&gt;=$G19,AM$8&lt;=$G19+$H19-1),1,""))</f>
        <v/>
      </c>
      <c r="AN19" s="69" t="str">
        <f ca="1">IF(AND($C19="Goal",AN$8&gt;=$G19,AN$8&lt;=$G19+$H19-1),2,IF(AND($C19="Milestone",AN$8&gt;=$G19,AN$8&lt;=$G19+$H19-1),1,""))</f>
        <v/>
      </c>
      <c r="AO19" s="69" t="str">
        <f ca="1">IF(AND($C19="Goal",AO$8&gt;=$G19,AO$8&lt;=$G19+$H19-1),2,IF(AND($C19="Milestone",AO$8&gt;=$G19,AO$8&lt;=$G19+$H19-1),1,""))</f>
        <v/>
      </c>
      <c r="AP19" s="69" t="str">
        <f ca="1">IF(AND($C19="Goal",AP$8&gt;=$G19,AP$8&lt;=$G19+$H19-1),2,IF(AND($C19="Milestone",AP$8&gt;=$G19,AP$8&lt;=$G19+$H19-1),1,""))</f>
        <v/>
      </c>
      <c r="AQ19" s="69" t="str">
        <f ca="1">IF(AND($C19="Goal",AQ$8&gt;=$G19,AQ$8&lt;=$G19+$H19-1),2,IF(AND($C19="Milestone",AQ$8&gt;=$G19,AQ$8&lt;=$G19+$H19-1),1,""))</f>
        <v/>
      </c>
      <c r="AR19" s="69" t="str">
        <f ca="1">IF(AND($C19="Goal",AR$8&gt;=$G19,AR$8&lt;=$G19+$H19-1),2,IF(AND($C19="Milestone",AR$8&gt;=$G19,AR$8&lt;=$G19+$H19-1),1,""))</f>
        <v/>
      </c>
      <c r="AS19" s="69" t="str">
        <f ca="1">IF(AND($C19="Goal",AS$8&gt;=$G19,AS$8&lt;=$G19+$H19-1),2,IF(AND($C19="Milestone",AS$8&gt;=$G19,AS$8&lt;=$G19+$H19-1),1,""))</f>
        <v/>
      </c>
      <c r="AT19" s="69" t="str">
        <f ca="1">IF(AND($C19="Goal",AT$8&gt;=$G19,AT$8&lt;=$G19+$H19-1),2,IF(AND($C19="Milestone",AT$8&gt;=$G19,AT$8&lt;=$G19+$H19-1),1,""))</f>
        <v/>
      </c>
      <c r="AU19" s="69" t="str">
        <f ca="1">IF(AND($C19="Goal",AU$8&gt;=$G19,AU$8&lt;=$G19+$H19-1),2,IF(AND($C19="Milestone",AU$8&gt;=$G19,AU$8&lt;=$G19+$H19-1),1,""))</f>
        <v/>
      </c>
      <c r="AV19" s="69" t="str">
        <f ca="1">IF(AND($C19="Goal",AV$8&gt;=$G19,AV$8&lt;=$G19+$H19-1),2,IF(AND($C19="Milestone",AV$8&gt;=$G19,AV$8&lt;=$G19+$H19-1),1,""))</f>
        <v/>
      </c>
      <c r="AW19" s="69" t="str">
        <f ca="1">IF(AND($C19="Goal",AW$8&gt;=$G19,AW$8&lt;=$G19+$H19-1),2,IF(AND($C19="Milestone",AW$8&gt;=$G19,AW$8&lt;=$G19+$H19-1),1,""))</f>
        <v/>
      </c>
      <c r="AX19" s="69" t="str">
        <f ca="1">IF(AND($C19="Goal",AX$8&gt;=$G19,AX$8&lt;=$G19+$H19-1),2,IF(AND($C19="Milestone",AX$8&gt;=$G19,AX$8&lt;=$G19+$H19-1),1,""))</f>
        <v/>
      </c>
      <c r="AY19" s="69" t="str">
        <f ca="1">IF(AND($C19="Goal",AY$8&gt;=$G19,AY$8&lt;=$G19+$H19-1),2,IF(AND($C19="Milestone",AY$8&gt;=$G19,AY$8&lt;=$G19+$H19-1),1,""))</f>
        <v/>
      </c>
      <c r="AZ19" s="69" t="str">
        <f ca="1">IF(AND($C19="Goal",AZ$8&gt;=$G19,AZ$8&lt;=$G19+$H19-1),2,IF(AND($C19="Milestone",AZ$8&gt;=$G19,AZ$8&lt;=$G19+$H19-1),1,""))</f>
        <v/>
      </c>
      <c r="BA19" s="69" t="str">
        <f ca="1">IF(AND($C19="Goal",BA$8&gt;=$G19,BA$8&lt;=$G19+$H19-1),2,IF(AND($C19="Milestone",BA$8&gt;=$G19,BA$8&lt;=$G19+$H19-1),1,""))</f>
        <v/>
      </c>
      <c r="BB19" s="69" t="str">
        <f ca="1">IF(AND($C19="Goal",BB$8&gt;=$G19,BB$8&lt;=$G19+$H19-1),2,IF(AND($C19="Milestone",BB$8&gt;=$G19,BB$8&lt;=$G19+$H19-1),1,""))</f>
        <v/>
      </c>
      <c r="BC19" s="69" t="str">
        <f ca="1">IF(AND($C19="Goal",BC$8&gt;=$G19,BC$8&lt;=$G19+$H19-1),2,IF(AND($C19="Milestone",BC$8&gt;=$G19,BC$8&lt;=$G19+$H19-1),1,""))</f>
        <v/>
      </c>
      <c r="BD19" s="69" t="str">
        <f ca="1">IF(AND($C19="Goal",BD$8&gt;=$G19,BD$8&lt;=$G19+$H19-1),2,IF(AND($C19="Milestone",BD$8&gt;=$G19,BD$8&lt;=$G19+$H19-1),1,""))</f>
        <v/>
      </c>
      <c r="BE19" s="69" t="str">
        <f ca="1">IF(AND($C19="Goal",BE$8&gt;=$G19,BE$8&lt;=$G19+$H19-1),2,IF(AND($C19="Milestone",BE$8&gt;=$G19,BE$8&lt;=$G19+$H19-1),1,""))</f>
        <v/>
      </c>
      <c r="BF19" s="69" t="str">
        <f ca="1">IF(AND($C19="Goal",BF$8&gt;=$G19,BF$8&lt;=$G19+$H19-1),2,IF(AND($C19="Milestone",BF$8&gt;=$G19,BF$8&lt;=$G19+$H19-1),1,""))</f>
        <v/>
      </c>
      <c r="BG19" s="69" t="str">
        <f ca="1">IF(AND($C19="Goal",BG$8&gt;=$G19,BG$8&lt;=$G19+$H19-1),2,IF(AND($C19="Milestone",BG$8&gt;=$G19,BG$8&lt;=$G19+$H19-1),1,""))</f>
        <v/>
      </c>
      <c r="BH19" s="69" t="str">
        <f ca="1">IF(AND($C19="Goal",BH$8&gt;=$G19,BH$8&lt;=$G19+$H19-1),2,IF(AND($C19="Milestone",BH$8&gt;=$G19,BH$8&lt;=$G19+$H19-1),1,""))</f>
        <v/>
      </c>
      <c r="BI19" s="69" t="str">
        <f ca="1">IF(AND($C19="Goal",BI$8&gt;=$G19,BI$8&lt;=$G19+$H19-1),2,IF(AND($C19="Milestone",BI$8&gt;=$G19,BI$8&lt;=$G19+$H19-1),1,""))</f>
        <v/>
      </c>
      <c r="BJ19" s="69" t="str">
        <f ca="1">IF(AND($C19="Goal",BJ$8&gt;=$G19,BJ$8&lt;=$G19+$H19-1),2,IF(AND($C19="Milestone",BJ$8&gt;=$G19,BJ$8&lt;=$G19+$H19-1),1,""))</f>
        <v/>
      </c>
      <c r="BK19" s="69" t="str">
        <f ca="1">IF(AND($C19="Goal",BK$8&gt;=$G19,BK$8&lt;=$G19+$H19-1),2,IF(AND($C19="Milestone",BK$8&gt;=$G19,BK$8&lt;=$G19+$H19-1),1,""))</f>
        <v/>
      </c>
      <c r="BL19" s="69" t="str">
        <f ca="1">IF(AND($C19="Goal",BL$8&gt;=$G19,BL$8&lt;=$G19+$H19-1),2,IF(AND($C19="Milestone",BL$8&gt;=$G19,BL$8&lt;=$G19+$H19-1),1,""))</f>
        <v/>
      </c>
      <c r="BM19" s="69" t="str">
        <f ca="1">IF(AND($C19="Goal",BM$8&gt;=$G19,BM$8&lt;=$G19+$H19-1),2,IF(AND($C19="Milestone",BM$8&gt;=$G19,BM$8&lt;=$G19+$H19-1),1,""))</f>
        <v/>
      </c>
      <c r="BN19" s="69" t="str">
        <f ca="1">IF(AND($C19="Goal",BN$8&gt;=$G19,BN$8&lt;=$G19+$H19-1),2,IF(AND($C19="Milestone",BN$8&gt;=$G19,BN$8&lt;=$G19+$H19-1),1,""))</f>
        <v/>
      </c>
      <c r="BO19" s="69" t="str">
        <f ca="1">IF(AND($C19="Goal",BO$8&gt;=$G19,BO$8&lt;=$G19+$H19-1),2,IF(AND($C19="Milestone",BO$8&gt;=$G19,BO$8&lt;=$G19+$H19-1),1,""))</f>
        <v/>
      </c>
      <c r="BP19" s="69" t="str">
        <f ca="1">IF(AND($C19="Goal",BP$8&gt;=$G19,BP$8&lt;=$G19+$H19-1),2,IF(AND($C19="Milestone",BP$8&gt;=$G19,BP$8&lt;=$G19+$H19-1),1,""))</f>
        <v/>
      </c>
      <c r="BQ19" s="69" t="str">
        <f ca="1">IF(AND($C19="Goal",BQ$8&gt;=$G19,BQ$8&lt;=$G19+$H19-1),2,IF(AND($C19="Milestone",BQ$8&gt;=$G19,BQ$8&lt;=$G19+$H19-1),1,""))</f>
        <v/>
      </c>
      <c r="BR19" s="69" t="str">
        <f ca="1">IF(AND($C19="Goal",BR$8&gt;=$G19,BR$8&lt;=$G19+$H19-1),2,IF(AND($C19="Milestone",BR$8&gt;=$G19,BR$8&lt;=$G19+$H19-1),1,""))</f>
        <v/>
      </c>
      <c r="BS19" s="69" t="str">
        <f ca="1">IF(AND($C19="Goal",BS$8&gt;=$G19,BS$8&lt;=$G19+$H19-1),2,IF(AND($C19="Milestone",BS$8&gt;=$G19,BS$8&lt;=$G19+$H19-1),1,""))</f>
        <v/>
      </c>
      <c r="BT19" s="69" t="str">
        <f ca="1">IF(AND($C19="Goal",BT$8&gt;=$G19,BT$8&lt;=$G19+$H19-1),2,IF(AND($C19="Milestone",BT$8&gt;=$G19,BT$8&lt;=$G19+$H19-1),1,""))</f>
        <v/>
      </c>
      <c r="BU19" s="69" t="str">
        <f ca="1">IF(AND($C19="Goal",BU$8&gt;=$G19,BU$8&lt;=$G19+$H19-1),2,IF(AND($C19="Milestone",BU$8&gt;=$G19,BU$8&lt;=$G19+$H19-1),1,""))</f>
        <v/>
      </c>
      <c r="BV19" s="69" t="str">
        <f ca="1">IF(AND($C19="Goal",BV$8&gt;=$G19,BV$8&lt;=$G19+$H19-1),2,IF(AND($C19="Milestone",BV$8&gt;=$G19,BV$8&lt;=$G19+$H19-1),1,""))</f>
        <v/>
      </c>
      <c r="BW19" s="69" t="str">
        <f ca="1">IF(AND($C19="Goal",BW$8&gt;=$G19,BW$8&lt;=$G19+$H19-1),2,IF(AND($C19="Milestone",BW$8&gt;=$G19,BW$8&lt;=$G19+$H19-1),1,""))</f>
        <v/>
      </c>
      <c r="BX19" s="69" t="str">
        <f ca="1">IF(AND($C19="Goal",BX$8&gt;=$G19,BX$8&lt;=$G19+$H19-1),2,IF(AND($C19="Milestone",BX$8&gt;=$G19,BX$8&lt;=$G19+$H19-1),1,""))</f>
        <v/>
      </c>
      <c r="BY19" s="69" t="str">
        <f ca="1">IF(AND($C19="Goal",BY$8&gt;=$G19,BY$8&lt;=$G19+$H19-1),2,IF(AND($C19="Milestone",BY$8&gt;=$G19,BY$8&lt;=$G19+$H19-1),1,""))</f>
        <v/>
      </c>
      <c r="BZ19" s="69" t="str">
        <f ca="1">IF(AND($C19="Goal",BZ$8&gt;=$G19,BZ$8&lt;=$G19+$H19-1),2,IF(AND($C19="Milestone",BZ$8&gt;=$G19,BZ$8&lt;=$G19+$H19-1),1,""))</f>
        <v/>
      </c>
      <c r="CA19" s="69" t="str">
        <f ca="1">IF(AND($C19="Goal",CA$8&gt;=$G19,CA$8&lt;=$G19+$H19-1),2,IF(AND($C19="Milestone",CA$8&gt;=$G19,CA$8&lt;=$G19+$H19-1),1,""))</f>
        <v/>
      </c>
      <c r="CB19" s="69" t="str">
        <f ca="1">IF(AND($C19="Goal",CB$8&gt;=$G19,CB$8&lt;=$G19+$H19-1),2,IF(AND($C19="Milestone",CB$8&gt;=$G19,CB$8&lt;=$G19+$H19-1),1,""))</f>
        <v/>
      </c>
      <c r="CC19" s="69" t="str">
        <f ca="1">IF(AND($C19="Goal",CC$8&gt;=$G19,CC$8&lt;=$G19+$H19-1),2,IF(AND($C19="Milestone",CC$8&gt;=$G19,CC$8&lt;=$G19+$H19-1),1,""))</f>
        <v/>
      </c>
      <c r="CD19" s="69" t="str">
        <f ca="1">IF(AND($C19="Goal",CD$8&gt;=$G19,CD$8&lt;=$G19+$H19-1),2,IF(AND($C19="Milestone",CD$8&gt;=$G19,CD$8&lt;=$G19+$H19-1),1,""))</f>
        <v/>
      </c>
      <c r="CE19" s="69" t="str">
        <f ca="1">IF(AND($C19="Goal",CE$8&gt;=$G19,CE$8&lt;=$G19+$H19-1),2,IF(AND($C19="Milestone",CE$8&gt;=$G19,CE$8&lt;=$G19+$H19-1),1,""))</f>
        <v/>
      </c>
      <c r="CF19" s="69" t="str">
        <f ca="1">IF(AND($C19="Goal",CF$8&gt;=$G19,CF$8&lt;=$G19+$H19-1),2,IF(AND($C19="Milestone",CF$8&gt;=$G19,CF$8&lt;=$G19+$H19-1),1,""))</f>
        <v/>
      </c>
      <c r="CG19" s="69" t="str">
        <f ca="1">IF(AND($C19="Goal",CG$8&gt;=$G19,CG$8&lt;=$G19+$H19-1),2,IF(AND($C19="Milestone",CG$8&gt;=$G19,CG$8&lt;=$G19+$H19-1),1,""))</f>
        <v/>
      </c>
      <c r="CH19" s="69" t="str">
        <f ca="1">IF(AND($C19="Goal",CH$8&gt;=$G19,CH$8&lt;=$G19+$H19-1),2,IF(AND($C19="Milestone",CH$8&gt;=$G19,CH$8&lt;=$G19+$H19-1),1,""))</f>
        <v/>
      </c>
      <c r="CI19" s="69" t="str">
        <f ca="1">IF(AND($C19="Goal",CI$8&gt;=$G19,CI$8&lt;=$G19+$H19-1),2,IF(AND($C19="Milestone",CI$8&gt;=$G19,CI$8&lt;=$G19+$H19-1),1,""))</f>
        <v/>
      </c>
      <c r="CJ19" s="69" t="str">
        <f ca="1">IF(AND($C19="Goal",CJ$8&gt;=$G19,CJ$8&lt;=$G19+$H19-1),2,IF(AND($C19="Milestone",CJ$8&gt;=$G19,CJ$8&lt;=$G19+$H19-1),1,""))</f>
        <v/>
      </c>
      <c r="CK19" s="69" t="str">
        <f ca="1">IF(AND($C19="Goal",CK$8&gt;=$G19,CK$8&lt;=$G19+$H19-1),2,IF(AND($C19="Milestone",CK$8&gt;=$G19,CK$8&lt;=$G19+$H19-1),1,""))</f>
        <v/>
      </c>
      <c r="CL19" s="69" t="str">
        <f ca="1">IF(AND($C19="Goal",CL$8&gt;=$G19,CL$8&lt;=$G19+$H19-1),2,IF(AND($C19="Milestone",CL$8&gt;=$G19,CL$8&lt;=$G19+$H19-1),1,""))</f>
        <v/>
      </c>
      <c r="CM19" s="69" t="str">
        <f ca="1">IF(AND($C19="Goal",CM$8&gt;=$G19,CM$8&lt;=$G19+$H19-1),2,IF(AND($C19="Milestone",CM$8&gt;=$G19,CM$8&lt;=$G19+$H19-1),1,""))</f>
        <v/>
      </c>
      <c r="CN19" s="69" t="str">
        <f ca="1">IF(AND($C19="Goal",CN$8&gt;=$G19,CN$8&lt;=$G19+$H19-1),2,IF(AND($C19="Milestone",CN$8&gt;=$G19,CN$8&lt;=$G19+$H19-1),1,""))</f>
        <v/>
      </c>
      <c r="CO19" s="69" t="str">
        <f ca="1">IF(AND($C19="Goal",CO$8&gt;=$G19,CO$8&lt;=$G19+$H19-1),2,IF(AND($C19="Milestone",CO$8&gt;=$G19,CO$8&lt;=$G19+$H19-1),1,""))</f>
        <v/>
      </c>
      <c r="CP19" s="69" t="str">
        <f ca="1">IF(AND($C19="Goal",CP$8&gt;=$G19,CP$8&lt;=$G19+$H19-1),2,IF(AND($C19="Milestone",CP$8&gt;=$G19,CP$8&lt;=$G19+$H19-1),1,""))</f>
        <v/>
      </c>
      <c r="CQ19" s="69" t="str">
        <f ca="1">IF(AND($C19="Goal",CQ$8&gt;=$G19,CQ$8&lt;=$G19+$H19-1),2,IF(AND($C19="Milestone",CQ$8&gt;=$G19,CQ$8&lt;=$G19+$H19-1),1,""))</f>
        <v/>
      </c>
      <c r="CR19" s="69" t="str">
        <f ca="1">IF(AND($C19="Goal",CR$8&gt;=$G19,CR$8&lt;=$G19+$H19-1),2,IF(AND($C19="Milestone",CR$8&gt;=$G19,CR$8&lt;=$G19+$H19-1),1,""))</f>
        <v/>
      </c>
      <c r="CS19" s="69" t="str">
        <f ca="1">IF(AND($C19="Goal",CS$8&gt;=$G19,CS$8&lt;=$G19+$H19-1),2,IF(AND($C19="Milestone",CS$8&gt;=$G19,CS$8&lt;=$G19+$H19-1),1,""))</f>
        <v/>
      </c>
      <c r="CT19" s="69" t="str">
        <f ca="1">IF(AND($C19="Goal",CT$8&gt;=$G19,CT$8&lt;=$G19+$H19-1),2,IF(AND($C19="Milestone",CT$8&gt;=$G19,CT$8&lt;=$G19+$H19-1),1,""))</f>
        <v/>
      </c>
      <c r="CU19" s="69" t="str">
        <f ca="1">IF(AND($C19="Goal",CU$8&gt;=$G19,CU$8&lt;=$G19+$H19-1),2,IF(AND($C19="Milestone",CU$8&gt;=$G19,CU$8&lt;=$G19+$H19-1),1,""))</f>
        <v/>
      </c>
      <c r="CV19" s="69" t="str">
        <f ca="1">IF(AND($C19="Goal",CV$8&gt;=$G19,CV$8&lt;=$G19+$H19-1),2,IF(AND($C19="Milestone",CV$8&gt;=$G19,CV$8&lt;=$G19+$H19-1),1,""))</f>
        <v/>
      </c>
      <c r="CW19" s="69" t="str">
        <f ca="1">IF(AND($C19="Goal",CW$8&gt;=$G19,CW$8&lt;=$G19+$H19-1),2,IF(AND($C19="Milestone",CW$8&gt;=$G19,CW$8&lt;=$G19+$H19-1),1,""))</f>
        <v/>
      </c>
      <c r="CX19" s="69" t="str">
        <f ca="1">IF(AND($C19="Goal",CX$8&gt;=$G19,CX$8&lt;=$G19+$H19-1),2,IF(AND($C19="Milestone",CX$8&gt;=$G19,CX$8&lt;=$G19+$H19-1),1,""))</f>
        <v/>
      </c>
      <c r="CY19" s="69" t="str">
        <f ca="1">IF(AND($C19="Goal",CY$8&gt;=$G19,CY$8&lt;=$G19+$H19-1),2,IF(AND($C19="Milestone",CY$8&gt;=$G19,CY$8&lt;=$G19+$H19-1),1,""))</f>
        <v/>
      </c>
      <c r="CZ19" s="69" t="str">
        <f ca="1">IF(AND($C19="Goal",CZ$8&gt;=$G19,CZ$8&lt;=$G19+$H19-1),2,IF(AND($C19="Milestone",CZ$8&gt;=$G19,CZ$8&lt;=$G19+$H19-1),1,""))</f>
        <v/>
      </c>
      <c r="DA19" s="69" t="str">
        <f ca="1">IF(AND($C19="Goal",DA$8&gt;=$G19,DA$8&lt;=$G19+$H19-1),2,IF(AND($C19="Milestone",DA$8&gt;=$G19,DA$8&lt;=$G19+$H19-1),1,""))</f>
        <v/>
      </c>
      <c r="DB19" s="69" t="str">
        <f ca="1">IF(AND($C19="Goal",DB$8&gt;=$G19,DB$8&lt;=$G19+$H19-1),2,IF(AND($C19="Milestone",DB$8&gt;=$G19,DB$8&lt;=$G19+$H19-1),1,""))</f>
        <v/>
      </c>
      <c r="DC19" s="69" t="str">
        <f ca="1">IF(AND($C19="Goal",DC$8&gt;=$G19,DC$8&lt;=$G19+$H19-1),2,IF(AND($C19="Milestone",DC$8&gt;=$G19,DC$8&lt;=$G19+$H19-1),1,""))</f>
        <v/>
      </c>
      <c r="DD19" s="69" t="str">
        <f ca="1">IF(AND($C19="Goal",DD$8&gt;=$G19,DD$8&lt;=$G19+$H19-1),2,IF(AND($C19="Milestone",DD$8&gt;=$G19,DD$8&lt;=$G19+$H19-1),1,""))</f>
        <v/>
      </c>
      <c r="DE19" s="69" t="str">
        <f ca="1">IF(AND($C19="Goal",DE$8&gt;=$G19,DE$8&lt;=$G19+$H19-1),2,IF(AND($C19="Milestone",DE$8&gt;=$G19,DE$8&lt;=$G19+$H19-1),1,""))</f>
        <v/>
      </c>
      <c r="DF19" s="69" t="str">
        <f ca="1">IF(AND($C19="Goal",DF$8&gt;=$G19,DF$8&lt;=$G19+$H19-1),2,IF(AND($C19="Milestone",DF$8&gt;=$G19,DF$8&lt;=$G19+$H19-1),1,""))</f>
        <v/>
      </c>
      <c r="DG19" s="69" t="str">
        <f ca="1">IF(AND($C19="Goal",DG$8&gt;=$G19,DG$8&lt;=$G19+$H19-1),2,IF(AND($C19="Milestone",DG$8&gt;=$G19,DG$8&lt;=$G19+$H19-1),1,""))</f>
        <v/>
      </c>
      <c r="DH19" s="69" t="str">
        <f ca="1">IF(AND($C19="Goal",DH$8&gt;=$G19,DH$8&lt;=$G19+$H19-1),2,IF(AND($C19="Milestone",DH$8&gt;=$G19,DH$8&lt;=$G19+$H19-1),1,""))</f>
        <v/>
      </c>
      <c r="DI19" s="69" t="str">
        <f ca="1">IF(AND($C19="Goal",DI$8&gt;=$G19,DI$8&lt;=$G19+$H19-1),2,IF(AND($C19="Milestone",DI$8&gt;=$G19,DI$8&lt;=$G19+$H19-1),1,""))</f>
        <v/>
      </c>
      <c r="DJ19" s="69" t="str">
        <f ca="1">IF(AND($C19="Goal",DJ$8&gt;=$G19,DJ$8&lt;=$G19+$H19-1),2,IF(AND($C19="Milestone",DJ$8&gt;=$G19,DJ$8&lt;=$G19+$H19-1),1,""))</f>
        <v/>
      </c>
      <c r="DK19" s="69" t="str">
        <f ca="1">IF(AND($C19="Goal",DK$8&gt;=$G19,DK$8&lt;=$G19+$H19-1),2,IF(AND($C19="Milestone",DK$8&gt;=$G19,DK$8&lt;=$G19+$H19-1),1,""))</f>
        <v/>
      </c>
      <c r="DL19" s="69" t="str">
        <f ca="1">IF(AND($C19="Goal",DL$8&gt;=$G19,DL$8&lt;=$G19+$H19-1),2,IF(AND($C19="Milestone",DL$8&gt;=$G19,DL$8&lt;=$G19+$H19-1),1,""))</f>
        <v/>
      </c>
      <c r="DM19" s="69" t="str">
        <f ca="1">IF(AND($C19="Goal",DM$8&gt;=$G19,DM$8&lt;=$G19+$H19-1),2,IF(AND($C19="Milestone",DM$8&gt;=$G19,DM$8&lt;=$G19+$H19-1),1,""))</f>
        <v/>
      </c>
      <c r="DN19" s="69" t="str">
        <f ca="1">IF(AND($C19="Goal",DN$8&gt;=$G19,DN$8&lt;=$G19+$H19-1),2,IF(AND($C19="Milestone",DN$8&gt;=$G19,DN$8&lt;=$G19+$H19-1),1,""))</f>
        <v/>
      </c>
      <c r="DO19" s="69" t="str">
        <f ca="1">IF(AND($C19="Goal",DO$8&gt;=$G19,DO$8&lt;=$G19+$H19-1),2,IF(AND($C19="Milestone",DO$8&gt;=$G19,DO$8&lt;=$G19+$H19-1),1,""))</f>
        <v/>
      </c>
      <c r="DP19" s="69" t="str">
        <f ca="1">IF(AND($C19="Goal",DP$8&gt;=$G19,DP$8&lt;=$G19+$H19-1),2,IF(AND($C19="Milestone",DP$8&gt;=$G19,DP$8&lt;=$G19+$H19-1),1,""))</f>
        <v/>
      </c>
      <c r="DQ19" s="69" t="str">
        <f ca="1">IF(AND($C19="Goal",DQ$8&gt;=$G19,DQ$8&lt;=$G19+$H19-1),2,IF(AND($C19="Milestone",DQ$8&gt;=$G19,DQ$8&lt;=$G19+$H19-1),1,""))</f>
        <v/>
      </c>
      <c r="DR19" s="69" t="str">
        <f ca="1">IF(AND($C19="Goal",DR$8&gt;=$G19,DR$8&lt;=$G19+$H19-1),2,IF(AND($C19="Milestone",DR$8&gt;=$G19,DR$8&lt;=$G19+$H19-1),1,""))</f>
        <v/>
      </c>
      <c r="DS19" s="69" t="str">
        <f ca="1">IF(AND($C19="Goal",DS$8&gt;=$G19,DS$8&lt;=$G19+$H19-1),2,IF(AND($C19="Milestone",DS$8&gt;=$G19,DS$8&lt;=$G19+$H19-1),1,""))</f>
        <v/>
      </c>
      <c r="DT19" s="69" t="str">
        <f ca="1">IF(AND($C19="Goal",DT$8&gt;=$G19,DT$8&lt;=$G19+$H19-1),2,IF(AND($C19="Milestone",DT$8&gt;=$G19,DT$8&lt;=$G19+$H19-1),1,""))</f>
        <v/>
      </c>
      <c r="DU19" s="69" t="str">
        <f ca="1">IF(AND($C19="Goal",DU$8&gt;=$G19,DU$8&lt;=$G19+$H19-1),2,IF(AND($C19="Milestone",DU$8&gt;=$G19,DU$8&lt;=$G19+$H19-1),1,""))</f>
        <v/>
      </c>
      <c r="DV19" s="69" t="str">
        <f ca="1">IF(AND($C19="Goal",DV$8&gt;=$G19,DV$8&lt;=$G19+$H19-1),2,IF(AND($C19="Milestone",DV$8&gt;=$G19,DV$8&lt;=$G19+$H19-1),1,""))</f>
        <v/>
      </c>
      <c r="DW19" s="69" t="str">
        <f ca="1">IF(AND($C19="Goal",DW$8&gt;=$G19,DW$8&lt;=$G19+$H19-1),2,IF(AND($C19="Milestone",DW$8&gt;=$G19,DW$8&lt;=$G19+$H19-1),1,""))</f>
        <v/>
      </c>
      <c r="DX19" s="69" t="str">
        <f ca="1">IF(AND($C19="Goal",DX$8&gt;=$G19,DX$8&lt;=$G19+$H19-1),2,IF(AND($C19="Milestone",DX$8&gt;=$G19,DX$8&lt;=$G19+$H19-1),1,""))</f>
        <v/>
      </c>
      <c r="DY19" s="69" t="str">
        <f ca="1">IF(AND($C19="Goal",DY$8&gt;=$G19,DY$8&lt;=$G19+$H19-1),2,IF(AND($C19="Milestone",DY$8&gt;=$G19,DY$8&lt;=$G19+$H19-1),1,""))</f>
        <v/>
      </c>
      <c r="DZ19" s="69" t="str">
        <f ca="1">IF(AND($C19="Goal",DZ$8&gt;=$G19,DZ$8&lt;=$G19+$H19-1),2,IF(AND($C19="Milestone",DZ$8&gt;=$G19,DZ$8&lt;=$G19+$H19-1),1,""))</f>
        <v/>
      </c>
      <c r="EA19" s="69" t="str">
        <f ca="1">IF(AND($C19="Goal",EA$8&gt;=$G19,EA$8&lt;=$G19+$H19-1),2,IF(AND($C19="Milestone",EA$8&gt;=$G19,EA$8&lt;=$G19+$H19-1),1,""))</f>
        <v/>
      </c>
      <c r="EB19" s="69" t="str">
        <f ca="1">IF(AND($C19="Goal",EB$8&gt;=$G19,EB$8&lt;=$G19+$H19-1),2,IF(AND($C19="Milestone",EB$8&gt;=$G19,EB$8&lt;=$G19+$H19-1),1,""))</f>
        <v/>
      </c>
      <c r="EC19" s="69" t="str">
        <f ca="1">IF(AND($C19="Goal",EC$8&gt;=$G19,EC$8&lt;=$G19+$H19-1),2,IF(AND($C19="Milestone",EC$8&gt;=$G19,EC$8&lt;=$G19+$H19-1),1,""))</f>
        <v/>
      </c>
      <c r="ED19" s="69" t="str">
        <f ca="1">IF(AND($C19="Goal",ED$8&gt;=$G19,ED$8&lt;=$G19+$H19-1),2,IF(AND($C19="Milestone",ED$8&gt;=$G19,ED$8&lt;=$G19+$H19-1),1,""))</f>
        <v/>
      </c>
      <c r="EE19" s="69" t="str">
        <f ca="1">IF(AND($C19="Goal",EE$8&gt;=$G19,EE$8&lt;=$G19+$H19-1),2,IF(AND($C19="Milestone",EE$8&gt;=$G19,EE$8&lt;=$G19+$H19-1),1,""))</f>
        <v/>
      </c>
      <c r="EF19" s="69" t="str">
        <f ca="1">IF(AND($C19="Goal",EF$8&gt;=$G19,EF$8&lt;=$G19+$H19-1),2,IF(AND($C19="Milestone",EF$8&gt;=$G19,EF$8&lt;=$G19+$H19-1),1,""))</f>
        <v/>
      </c>
      <c r="EG19" s="69" t="str">
        <f ca="1">IF(AND($C19="Goal",EG$8&gt;=$G19,EG$8&lt;=$G19+$H19-1),2,IF(AND($C19="Milestone",EG$8&gt;=$G19,EG$8&lt;=$G19+$H19-1),1,""))</f>
        <v/>
      </c>
      <c r="EH19" s="69" t="str">
        <f ca="1">IF(AND($C19="Goal",EH$8&gt;=$G19,EH$8&lt;=$G19+$H19-1),2,IF(AND($C19="Milestone",EH$8&gt;=$G19,EH$8&lt;=$G19+$H19-1),1,""))</f>
        <v/>
      </c>
      <c r="EI19" s="69" t="str">
        <f ca="1">IF(AND($C19="Goal",EI$8&gt;=$G19,EI$8&lt;=$G19+$H19-1),2,IF(AND($C19="Milestone",EI$8&gt;=$G19,EI$8&lt;=$G19+$H19-1),1,""))</f>
        <v/>
      </c>
      <c r="EJ19" s="69" t="str">
        <f ca="1">IF(AND($C19="Goal",EJ$8&gt;=$G19,EJ$8&lt;=$G19+$H19-1),2,IF(AND($C19="Milestone",EJ$8&gt;=$G19,EJ$8&lt;=$G19+$H19-1),1,""))</f>
        <v/>
      </c>
      <c r="EK19" s="69" t="str">
        <f ca="1">IF(AND($C19="Goal",EK$8&gt;=$G19,EK$8&lt;=$G19+$H19-1),2,IF(AND($C19="Milestone",EK$8&gt;=$G19,EK$8&lt;=$G19+$H19-1),1,""))</f>
        <v/>
      </c>
      <c r="EL19" s="69" t="str">
        <f ca="1">IF(AND($C19="Goal",EL$8&gt;=$G19,EL$8&lt;=$G19+$H19-1),2,IF(AND($C19="Milestone",EL$8&gt;=$G19,EL$8&lt;=$G19+$H19-1),1,""))</f>
        <v/>
      </c>
      <c r="EM19" s="69" t="str">
        <f ca="1">IF(AND($C19="Goal",EM$8&gt;=$G19,EM$8&lt;=$G19+$H19-1),2,IF(AND($C19="Milestone",EM$8&gt;=$G19,EM$8&lt;=$G19+$H19-1),1,""))</f>
        <v/>
      </c>
      <c r="EN19" s="69" t="str">
        <f ca="1">IF(AND($C19="Goal",EN$8&gt;=$G19,EN$8&lt;=$G19+$H19-1),2,IF(AND($C19="Milestone",EN$8&gt;=$G19,EN$8&lt;=$G19+$H19-1),1,""))</f>
        <v/>
      </c>
      <c r="EO19" s="69" t="str">
        <f ca="1">IF(AND($C19="Goal",EO$8&gt;=$G19,EO$8&lt;=$G19+$H19-1),2,IF(AND($C19="Milestone",EO$8&gt;=$G19,EO$8&lt;=$G19+$H19-1),1,""))</f>
        <v/>
      </c>
      <c r="EP19" s="69" t="str">
        <f ca="1">IF(AND($C19="Goal",EP$8&gt;=$G19,EP$8&lt;=$G19+$H19-1),2,IF(AND($C19="Milestone",EP$8&gt;=$G19,EP$8&lt;=$G19+$H19-1),1,""))</f>
        <v/>
      </c>
      <c r="EQ19" s="69" t="str">
        <f ca="1">IF(AND($C19="Goal",EQ$8&gt;=$G19,EQ$8&lt;=$G19+$H19-1),2,IF(AND($C19="Milestone",EQ$8&gt;=$G19,EQ$8&lt;=$G19+$H19-1),1,""))</f>
        <v/>
      </c>
      <c r="ER19" s="69" t="str">
        <f ca="1">IF(AND($C19="Goal",ER$8&gt;=$G19,ER$8&lt;=$G19+$H19-1),2,IF(AND($C19="Milestone",ER$8&gt;=$G19,ER$8&lt;=$G19+$H19-1),1,""))</f>
        <v/>
      </c>
      <c r="ES19" s="69" t="str">
        <f ca="1">IF(AND($C19="Goal",ES$8&gt;=$G19,ES$8&lt;=$G19+$H19-1),2,IF(AND($C19="Milestone",ES$8&gt;=$G19,ES$8&lt;=$G19+$H19-1),1,""))</f>
        <v/>
      </c>
      <c r="ET19" s="69" t="str">
        <f ca="1">IF(AND($C19="Goal",ET$8&gt;=$G19,ET$8&lt;=$G19+$H19-1),2,IF(AND($C19="Milestone",ET$8&gt;=$G19,ET$8&lt;=$G19+$H19-1),1,""))</f>
        <v/>
      </c>
      <c r="EU19" s="69" t="str">
        <f ca="1">IF(AND($C19="Goal",EU$8&gt;=$G19,EU$8&lt;=$G19+$H19-1),2,IF(AND($C19="Milestone",EU$8&gt;=$G19,EU$8&lt;=$G19+$H19-1),1,""))</f>
        <v/>
      </c>
      <c r="EV19" s="69" t="str">
        <f ca="1">IF(AND($C19="Goal",EV$8&gt;=$G19,EV$8&lt;=$G19+$H19-1),2,IF(AND($C19="Milestone",EV$8&gt;=$G19,EV$8&lt;=$G19+$H19-1),1,""))</f>
        <v/>
      </c>
      <c r="EW19" s="69" t="str">
        <f ca="1">IF(AND($C19="Goal",EW$8&gt;=$G19,EW$8&lt;=$G19+$H19-1),2,IF(AND($C19="Milestone",EW$8&gt;=$G19,EW$8&lt;=$G19+$H19-1),1,""))</f>
        <v/>
      </c>
      <c r="EX19" s="69" t="str">
        <f ca="1">IF(AND($C19="Goal",EX$8&gt;=$G19,EX$8&lt;=$G19+$H19-1),2,IF(AND($C19="Milestone",EX$8&gt;=$G19,EX$8&lt;=$G19+$H19-1),1,""))</f>
        <v/>
      </c>
      <c r="EY19" s="69" t="str">
        <f ca="1">IF(AND($C19="Goal",EY$8&gt;=$G19,EY$8&lt;=$G19+$H19-1),2,IF(AND($C19="Milestone",EY$8&gt;=$G19,EY$8&lt;=$G19+$H19-1),1,""))</f>
        <v/>
      </c>
      <c r="EZ19" s="69" t="str">
        <f ca="1">IF(AND($C19="Goal",EZ$8&gt;=$G19,EZ$8&lt;=$G19+$H19-1),2,IF(AND($C19="Milestone",EZ$8&gt;=$G19,EZ$8&lt;=$G19+$H19-1),1,""))</f>
        <v/>
      </c>
      <c r="FA19" s="69" t="str">
        <f ca="1">IF(AND($C19="Goal",FA$8&gt;=$G19,FA$8&lt;=$G19+$H19-1),2,IF(AND($C19="Milestone",FA$8&gt;=$G19,FA$8&lt;=$G19+$H19-1),1,""))</f>
        <v/>
      </c>
      <c r="FB19" s="69" t="str">
        <f ca="1">IF(AND($C19="Goal",FB$8&gt;=$G19,FB$8&lt;=$G19+$H19-1),2,IF(AND($C19="Milestone",FB$8&gt;=$G19,FB$8&lt;=$G19+$H19-1),1,""))</f>
        <v/>
      </c>
      <c r="FC19" s="69" t="str">
        <f ca="1">IF(AND($C19="Goal",FC$8&gt;=$G19,FC$8&lt;=$G19+$H19-1),2,IF(AND($C19="Milestone",FC$8&gt;=$G19,FC$8&lt;=$G19+$H19-1),1,""))</f>
        <v/>
      </c>
      <c r="FD19" s="69" t="str">
        <f ca="1">IF(AND($C19="Goal",FD$8&gt;=$G19,FD$8&lt;=$G19+$H19-1),2,IF(AND($C19="Milestone",FD$8&gt;=$G19,FD$8&lt;=$G19+$H19-1),1,""))</f>
        <v/>
      </c>
      <c r="FE19" s="69" t="str">
        <f ca="1">IF(AND($C19="Goal",FE$8&gt;=$G19,FE$8&lt;=$G19+$H19-1),2,IF(AND($C19="Milestone",FE$8&gt;=$G19,FE$8&lt;=$G19+$H19-1),1,""))</f>
        <v/>
      </c>
      <c r="FF19" s="69" t="str">
        <f ca="1">IF(AND($C19="Goal",FF$8&gt;=$G19,FF$8&lt;=$G19+$H19-1),2,IF(AND($C19="Milestone",FF$8&gt;=$G19,FF$8&lt;=$G19+$H19-1),1,""))</f>
        <v/>
      </c>
      <c r="FG19" s="69" t="str">
        <f ca="1">IF(AND($C19="Goal",FG$8&gt;=$G19,FG$8&lt;=$G19+$H19-1),2,IF(AND($C19="Milestone",FG$8&gt;=$G19,FG$8&lt;=$G19+$H19-1),1,""))</f>
        <v/>
      </c>
      <c r="FH19" s="69" t="str">
        <f ca="1">IF(AND($C19="Goal",FH$8&gt;=$G19,FH$8&lt;=$G19+$H19-1),2,IF(AND($C19="Milestone",FH$8&gt;=$G19,FH$8&lt;=$G19+$H19-1),1,""))</f>
        <v/>
      </c>
      <c r="FI19" s="69" t="str">
        <f ca="1">IF(AND($C19="Goal",FI$8&gt;=$G19,FI$8&lt;=$G19+$H19-1),2,IF(AND($C19="Milestone",FI$8&gt;=$G19,FI$8&lt;=$G19+$H19-1),1,""))</f>
        <v/>
      </c>
      <c r="FJ19" s="69" t="str">
        <f ca="1">IF(AND($C19="Goal",FJ$8&gt;=$G19,FJ$8&lt;=$G19+$H19-1),2,IF(AND($C19="Milestone",FJ$8&gt;=$G19,FJ$8&lt;=$G19+$H19-1),1,""))</f>
        <v/>
      </c>
      <c r="FK19" s="69" t="str">
        <f ca="1">IF(AND($C19="Goal",FK$8&gt;=$G19,FK$8&lt;=$G19+$H19-1),2,IF(AND($C19="Milestone",FK$8&gt;=$G19,FK$8&lt;=$G19+$H19-1),1,""))</f>
        <v/>
      </c>
      <c r="FL19" s="69" t="str">
        <f ca="1">IF(AND($C19="Goal",FL$8&gt;=$G19,FL$8&lt;=$G19+$H19-1),2,IF(AND($C19="Milestone",FL$8&gt;=$G19,FL$8&lt;=$G19+$H19-1),1,""))</f>
        <v/>
      </c>
      <c r="FM19" s="69" t="str">
        <f ca="1">IF(AND($C19="Goal",FM$8&gt;=$G19,FM$8&lt;=$G19+$H19-1),2,IF(AND($C19="Milestone",FM$8&gt;=$G19,FM$8&lt;=$G19+$H19-1),1,""))</f>
        <v/>
      </c>
      <c r="FN19" s="69" t="str">
        <f ca="1">IF(AND($C19="Goal",FN$8&gt;=$G19,FN$8&lt;=$G19+$H19-1),2,IF(AND($C19="Milestone",FN$8&gt;=$G19,FN$8&lt;=$G19+$H19-1),1,""))</f>
        <v/>
      </c>
      <c r="FO19" s="69" t="str">
        <f ca="1">IF(AND($C19="Goal",FO$8&gt;=$G19,FO$8&lt;=$G19+$H19-1),2,IF(AND($C19="Milestone",FO$8&gt;=$G19,FO$8&lt;=$G19+$H19-1),1,""))</f>
        <v/>
      </c>
      <c r="FP19" s="69" t="str">
        <f ca="1">IF(AND($C19="Goal",FP$8&gt;=$G19,FP$8&lt;=$G19+$H19-1),2,IF(AND($C19="Milestone",FP$8&gt;=$G19,FP$8&lt;=$G19+$H19-1),1,""))</f>
        <v/>
      </c>
      <c r="FQ19" s="69" t="str">
        <f ca="1">IF(AND($C19="Goal",FQ$8&gt;=$G19,FQ$8&lt;=$G19+$H19-1),2,IF(AND($C19="Milestone",FQ$8&gt;=$G19,FQ$8&lt;=$G19+$H19-1),1,""))</f>
        <v/>
      </c>
      <c r="FR19" s="69" t="str">
        <f ca="1">IF(AND($C19="Goal",FR$8&gt;=$G19,FR$8&lt;=$G19+$H19-1),2,IF(AND($C19="Milestone",FR$8&gt;=$G19,FR$8&lt;=$G19+$H19-1),1,""))</f>
        <v/>
      </c>
      <c r="FS19" s="69" t="str">
        <f ca="1">IF(AND($C19="Goal",FS$8&gt;=$G19,FS$8&lt;=$G19+$H19-1),2,IF(AND($C19="Milestone",FS$8&gt;=$G19,FS$8&lt;=$G19+$H19-1),1,""))</f>
        <v/>
      </c>
      <c r="FT19" s="69" t="str">
        <f ca="1">IF(AND($C19="Goal",FT$8&gt;=$G19,FT$8&lt;=$G19+$H19-1),2,IF(AND($C19="Milestone",FT$8&gt;=$G19,FT$8&lt;=$G19+$H19-1),1,""))</f>
        <v/>
      </c>
      <c r="FU19" s="69" t="str">
        <f ca="1">IF(AND($C19="Goal",FU$8&gt;=$G19,FU$8&lt;=$G19+$H19-1),2,IF(AND($C19="Milestone",FU$8&gt;=$G19,FU$8&lt;=$G19+$H19-1),1,""))</f>
        <v/>
      </c>
      <c r="FV19" s="69" t="str">
        <f ca="1">IF(AND($C19="Goal",FV$8&gt;=$G19,FV$8&lt;=$G19+$H19-1),2,IF(AND($C19="Milestone",FV$8&gt;=$G19,FV$8&lt;=$G19+$H19-1),1,""))</f>
        <v/>
      </c>
      <c r="FW19" s="69" t="str">
        <f ca="1">IF(AND($C19="Goal",FW$8&gt;=$G19,FW$8&lt;=$G19+$H19-1),2,IF(AND($C19="Milestone",FW$8&gt;=$G19,FW$8&lt;=$G19+$H19-1),1,""))</f>
        <v/>
      </c>
      <c r="FX19" s="69" t="str">
        <f ca="1">IF(AND($C19="Goal",FX$8&gt;=$G19,FX$8&lt;=$G19+$H19-1),2,IF(AND($C19="Milestone",FX$8&gt;=$G19,FX$8&lt;=$G19+$H19-1),1,""))</f>
        <v/>
      </c>
      <c r="FY19" s="69" t="str">
        <f ca="1">IF(AND($C19="Goal",FY$8&gt;=$G19,FY$8&lt;=$G19+$H19-1),2,IF(AND($C19="Milestone",FY$8&gt;=$G19,FY$8&lt;=$G19+$H19-1),1,""))</f>
        <v/>
      </c>
      <c r="FZ19" s="69" t="str">
        <f ca="1">IF(AND($C19="Goal",FZ$8&gt;=$G19,FZ$8&lt;=$G19+$H19-1),2,IF(AND($C19="Milestone",FZ$8&gt;=$G19,FZ$8&lt;=$G19+$H19-1),1,""))</f>
        <v/>
      </c>
      <c r="GA19" s="69" t="str">
        <f ca="1">IF(AND($C19="Goal",GA$8&gt;=$G19,GA$8&lt;=$G19+$H19-1),2,IF(AND($C19="Milestone",GA$8&gt;=$G19,GA$8&lt;=$G19+$H19-1),1,""))</f>
        <v/>
      </c>
      <c r="GB19" s="69" t="str">
        <f ca="1">IF(AND($C19="Goal",GB$8&gt;=$G19,GB$8&lt;=$G19+$H19-1),2,IF(AND($C19="Milestone",GB$8&gt;=$G19,GB$8&lt;=$G19+$H19-1),1,""))</f>
        <v/>
      </c>
      <c r="GC19" s="69" t="str">
        <f ca="1">IF(AND($C19="Goal",GC$8&gt;=$G19,GC$8&lt;=$G19+$H19-1),2,IF(AND($C19="Milestone",GC$8&gt;=$G19,GC$8&lt;=$G19+$H19-1),1,""))</f>
        <v/>
      </c>
      <c r="GD19" s="69" t="str">
        <f ca="1">IF(AND($C19="Goal",GD$8&gt;=$G19,GD$8&lt;=$G19+$H19-1),2,IF(AND($C19="Milestone",GD$8&gt;=$G19,GD$8&lt;=$G19+$H19-1),1,""))</f>
        <v/>
      </c>
      <c r="GE19" s="69" t="str">
        <f ca="1">IF(AND($C19="Goal",GE$8&gt;=$G19,GE$8&lt;=$G19+$H19-1),2,IF(AND($C19="Milestone",GE$8&gt;=$G19,GE$8&lt;=$G19+$H19-1),1,""))</f>
        <v/>
      </c>
      <c r="GF19" s="69" t="str">
        <f ca="1">IF(AND($C19="Goal",GF$8&gt;=$G19,GF$8&lt;=$G19+$H19-1),2,IF(AND($C19="Milestone",GF$8&gt;=$G19,GF$8&lt;=$G19+$H19-1),1,""))</f>
        <v/>
      </c>
      <c r="GG19" s="69" t="str">
        <f ca="1">IF(AND($C19="Goal",GG$8&gt;=$G19,GG$8&lt;=$G19+$H19-1),2,IF(AND($C19="Milestone",GG$8&gt;=$G19,GG$8&lt;=$G19+$H19-1),1,""))</f>
        <v/>
      </c>
      <c r="GH19" s="69" t="str">
        <f ca="1">IF(AND($C19="Goal",GH$8&gt;=$G19,GH$8&lt;=$G19+$H19-1),2,IF(AND($C19="Milestone",GH$8&gt;=$G19,GH$8&lt;=$G19+$H19-1),1,""))</f>
        <v/>
      </c>
      <c r="GI19" s="69" t="str">
        <f ca="1">IF(AND($C19="Goal",GI$8&gt;=$G19,GI$8&lt;=$G19+$H19-1),2,IF(AND($C19="Milestone",GI$8&gt;=$G19,GI$8&lt;=$G19+$H19-1),1,""))</f>
        <v/>
      </c>
      <c r="GJ19" s="69" t="str">
        <f ca="1">IF(AND($C19="Goal",GJ$8&gt;=$G19,GJ$8&lt;=$G19+$H19-1),2,IF(AND($C19="Milestone",GJ$8&gt;=$G19,GJ$8&lt;=$G19+$H19-1),1,""))</f>
        <v/>
      </c>
      <c r="GK19" s="69" t="str">
        <f ca="1">IF(AND($C19="Goal",GK$8&gt;=$G19,GK$8&lt;=$G19+$H19-1),2,IF(AND($C19="Milestone",GK$8&gt;=$G19,GK$8&lt;=$G19+$H19-1),1,""))</f>
        <v/>
      </c>
      <c r="GL19" s="69" t="str">
        <f ca="1">IF(AND($C19="Goal",GL$8&gt;=$G19,GL$8&lt;=$G19+$H19-1),2,IF(AND($C19="Milestone",GL$8&gt;=$G19,GL$8&lt;=$G19+$H19-1),1,""))</f>
        <v/>
      </c>
      <c r="GM19" s="69" t="str">
        <f ca="1">IF(AND($C19="Goal",GM$8&gt;=$G19,GM$8&lt;=$G19+$H19-1),2,IF(AND($C19="Milestone",GM$8&gt;=$G19,GM$8&lt;=$G19+$H19-1),1,""))</f>
        <v/>
      </c>
      <c r="GN19" s="69" t="str">
        <f ca="1">IF(AND($C19="Goal",GN$8&gt;=$G19,GN$8&lt;=$G19+$H19-1),2,IF(AND($C19="Milestone",GN$8&gt;=$G19,GN$8&lt;=$G19+$H19-1),1,""))</f>
        <v/>
      </c>
      <c r="GO19" s="69" t="str">
        <f ca="1">IF(AND($C19="Goal",GO$8&gt;=$G19,GO$8&lt;=$G19+$H19-1),2,IF(AND($C19="Milestone",GO$8&gt;=$G19,GO$8&lt;=$G19+$H19-1),1,""))</f>
        <v/>
      </c>
      <c r="GP19" s="69" t="str">
        <f ca="1">IF(AND($C19="Goal",GP$8&gt;=$G19,GP$8&lt;=$G19+$H19-1),2,IF(AND($C19="Milestone",GP$8&gt;=$G19,GP$8&lt;=$G19+$H19-1),1,""))</f>
        <v/>
      </c>
      <c r="GQ19" s="69" t="str">
        <f ca="1">IF(AND($C19="Goal",GQ$8&gt;=$G19,GQ$8&lt;=$G19+$H19-1),2,IF(AND($C19="Milestone",GQ$8&gt;=$G19,GQ$8&lt;=$G19+$H19-1),1,""))</f>
        <v/>
      </c>
      <c r="GR19" s="69" t="str">
        <f ca="1">IF(AND($C19="Goal",GR$8&gt;=$G19,GR$8&lt;=$G19+$H19-1),2,IF(AND($C19="Milestone",GR$8&gt;=$G19,GR$8&lt;=$G19+$H19-1),1,""))</f>
        <v/>
      </c>
      <c r="GS19" s="69" t="str">
        <f ca="1">IF(AND($C19="Goal",GS$8&gt;=$G19,GS$8&lt;=$G19+$H19-1),2,IF(AND($C19="Milestone",GS$8&gt;=$G19,GS$8&lt;=$G19+$H19-1),1,""))</f>
        <v/>
      </c>
      <c r="GT19" s="69" t="str">
        <f ca="1">IF(AND($C19="Goal",GT$8&gt;=$G19,GT$8&lt;=$G19+$H19-1),2,IF(AND($C19="Milestone",GT$8&gt;=$G19,GT$8&lt;=$G19+$H19-1),1,""))</f>
        <v/>
      </c>
      <c r="GU19" s="69" t="str">
        <f ca="1">IF(AND($C19="Goal",GU$8&gt;=$G19,GU$8&lt;=$G19+$H19-1),2,IF(AND($C19="Milestone",GU$8&gt;=$G19,GU$8&lt;=$G19+$H19-1),1,""))</f>
        <v/>
      </c>
      <c r="GV19" s="69" t="str">
        <f ca="1">IF(AND($C19="Goal",GV$8&gt;=$G19,GV$8&lt;=$G19+$H19-1),2,IF(AND($C19="Milestone",GV$8&gt;=$G19,GV$8&lt;=$G19+$H19-1),1,""))</f>
        <v/>
      </c>
      <c r="GW19" s="69" t="str">
        <f ca="1">IF(AND($C19="Goal",GW$8&gt;=$G19,GW$8&lt;=$G19+$H19-1),2,IF(AND($C19="Milestone",GW$8&gt;=$G19,GW$8&lt;=$G19+$H19-1),1,""))</f>
        <v/>
      </c>
      <c r="GX19" s="69" t="str">
        <f ca="1">IF(AND($C19="Goal",GX$8&gt;=$G19,GX$8&lt;=$G19+$H19-1),2,IF(AND($C19="Milestone",GX$8&gt;=$G19,GX$8&lt;=$G19+$H19-1),1,""))</f>
        <v/>
      </c>
      <c r="GY19" s="69" t="str">
        <f ca="1">IF(AND($C19="Goal",GY$8&gt;=$G19,GY$8&lt;=$G19+$H19-1),2,IF(AND($C19="Milestone",GY$8&gt;=$G19,GY$8&lt;=$G19+$H19-1),1,""))</f>
        <v/>
      </c>
      <c r="GZ19" s="69" t="str">
        <f ca="1">IF(AND($C19="Goal",GZ$8&gt;=$G19,GZ$8&lt;=$G19+$H19-1),2,IF(AND($C19="Milestone",GZ$8&gt;=$G19,GZ$8&lt;=$G19+$H19-1),1,""))</f>
        <v/>
      </c>
      <c r="HA19" s="69" t="str">
        <f ca="1">IF(AND($C19="Goal",HA$8&gt;=$G19,HA$8&lt;=$G19+$H19-1),2,IF(AND($C19="Milestone",HA$8&gt;=$G19,HA$8&lt;=$G19+$H19-1),1,""))</f>
        <v/>
      </c>
      <c r="HB19" s="69" t="str">
        <f ca="1">IF(AND($C19="Goal",HB$8&gt;=$G19,HB$8&lt;=$G19+$H19-1),2,IF(AND($C19="Milestone",HB$8&gt;=$G19,HB$8&lt;=$G19+$H19-1),1,""))</f>
        <v/>
      </c>
      <c r="HC19" s="69" t="str">
        <f ca="1">IF(AND($C19="Goal",HC$8&gt;=$G19,HC$8&lt;=$G19+$H19-1),2,IF(AND($C19="Milestone",HC$8&gt;=$G19,HC$8&lt;=$G19+$H19-1),1,""))</f>
        <v/>
      </c>
      <c r="HD19" s="69" t="str">
        <f ca="1">IF(AND($C19="Goal",HD$8&gt;=$G19,HD$8&lt;=$G19+$H19-1),2,IF(AND($C19="Milestone",HD$8&gt;=$G19,HD$8&lt;=$G19+$H19-1),1,""))</f>
        <v/>
      </c>
      <c r="HE19" s="69" t="str">
        <f ca="1">IF(AND($C19="Goal",HE$8&gt;=$G19,HE$8&lt;=$G19+$H19-1),2,IF(AND($C19="Milestone",HE$8&gt;=$G19,HE$8&lt;=$G19+$H19-1),1,""))</f>
        <v/>
      </c>
      <c r="HF19" s="69" t="str">
        <f ca="1">IF(AND($C19="Goal",HF$8&gt;=$G19,HF$8&lt;=$G19+$H19-1),2,IF(AND($C19="Milestone",HF$8&gt;=$G19,HF$8&lt;=$G19+$H19-1),1,""))</f>
        <v/>
      </c>
      <c r="HG19" s="69" t="str">
        <f ca="1">IF(AND($C19="Goal",HG$8&gt;=$G19,HG$8&lt;=$G19+$H19-1),2,IF(AND($C19="Milestone",HG$8&gt;=$G19,HG$8&lt;=$G19+$H19-1),1,""))</f>
        <v/>
      </c>
      <c r="HH19" s="69" t="str">
        <f ca="1">IF(AND($C19="Goal",HH$8&gt;=$G19,HH$8&lt;=$G19+$H19-1),2,IF(AND($C19="Milestone",HH$8&gt;=$G19,HH$8&lt;=$G19+$H19-1),1,""))</f>
        <v/>
      </c>
      <c r="HI19" s="69" t="str">
        <f ca="1">IF(AND($C19="Goal",HI$8&gt;=$G19,HI$8&lt;=$G19+$H19-1),2,IF(AND($C19="Milestone",HI$8&gt;=$G19,HI$8&lt;=$G19+$H19-1),1,""))</f>
        <v/>
      </c>
      <c r="HJ19" s="69" t="str">
        <f ca="1">IF(AND($C19="Goal",HJ$8&gt;=$G19,HJ$8&lt;=$G19+$H19-1),2,IF(AND($C19="Milestone",HJ$8&gt;=$G19,HJ$8&lt;=$G19+$H19-1),1,""))</f>
        <v/>
      </c>
      <c r="HK19" s="69" t="str">
        <f ca="1">IF(AND($C19="Goal",HK$8&gt;=$G19,HK$8&lt;=$G19+$H19-1),2,IF(AND($C19="Milestone",HK$8&gt;=$G19,HK$8&lt;=$G19+$H19-1),1,""))</f>
        <v/>
      </c>
      <c r="HL19" s="69" t="str">
        <f ca="1">IF(AND($C19="Goal",HL$8&gt;=$G19,HL$8&lt;=$G19+$H19-1),2,IF(AND($C19="Milestone",HL$8&gt;=$G19,HL$8&lt;=$G19+$H19-1),1,""))</f>
        <v/>
      </c>
      <c r="HM19" s="69" t="str">
        <f ca="1">IF(AND($C19="Goal",HM$8&gt;=$G19,HM$8&lt;=$G19+$H19-1),2,IF(AND($C19="Milestone",HM$8&gt;=$G19,HM$8&lt;=$G19+$H19-1),1,""))</f>
        <v/>
      </c>
      <c r="HN19" s="69" t="str">
        <f ca="1">IF(AND($C19="Goal",HN$8&gt;=$G19,HN$8&lt;=$G19+$H19-1),2,IF(AND($C19="Milestone",HN$8&gt;=$G19,HN$8&lt;=$G19+$H19-1),1,""))</f>
        <v/>
      </c>
      <c r="HO19" s="69" t="str">
        <f ca="1">IF(AND($C19="Goal",HO$8&gt;=$G19,HO$8&lt;=$G19+$H19-1),2,IF(AND($C19="Milestone",HO$8&gt;=$G19,HO$8&lt;=$G19+$H19-1),1,""))</f>
        <v/>
      </c>
      <c r="HP19" s="69" t="str">
        <f ca="1">IF(AND($C19="Goal",HP$8&gt;=$G19,HP$8&lt;=$G19+$H19-1),2,IF(AND($C19="Milestone",HP$8&gt;=$G19,HP$8&lt;=$G19+$H19-1),1,""))</f>
        <v/>
      </c>
      <c r="HQ19" s="69" t="str">
        <f ca="1">IF(AND($C19="Goal",HQ$8&gt;=$G19,HQ$8&lt;=$G19+$H19-1),2,IF(AND($C19="Milestone",HQ$8&gt;=$G19,HQ$8&lt;=$G19+$H19-1),1,""))</f>
        <v/>
      </c>
      <c r="HR19" s="69" t="str">
        <f ca="1">IF(AND($C19="Goal",HR$8&gt;=$G19,HR$8&lt;=$G19+$H19-1),2,IF(AND($C19="Milestone",HR$8&gt;=$G19,HR$8&lt;=$G19+$H19-1),1,""))</f>
        <v/>
      </c>
      <c r="HS19" s="69" t="str">
        <f ca="1">IF(AND($C19="Goal",HS$8&gt;=$G19,HS$8&lt;=$G19+$H19-1),2,IF(AND($C19="Milestone",HS$8&gt;=$G19,HS$8&lt;=$G19+$H19-1),1,""))</f>
        <v/>
      </c>
      <c r="HT19" s="69" t="str">
        <f ca="1">IF(AND($C19="Goal",HT$8&gt;=$G19,HT$8&lt;=$G19+$H19-1),2,IF(AND($C19="Milestone",HT$8&gt;=$G19,HT$8&lt;=$G19+$H19-1),1,""))</f>
        <v/>
      </c>
      <c r="HU19" s="69" t="str">
        <f ca="1">IF(AND($C19="Goal",HU$8&gt;=$G19,HU$8&lt;=$G19+$H19-1),2,IF(AND($C19="Milestone",HU$8&gt;=$G19,HU$8&lt;=$G19+$H19-1),1,""))</f>
        <v/>
      </c>
      <c r="HV19" s="69" t="str">
        <f ca="1">IF(AND($C19="Goal",HV$8&gt;=$G19,HV$8&lt;=$G19+$H19-1),2,IF(AND($C19="Milestone",HV$8&gt;=$G19,HV$8&lt;=$G19+$H19-1),1,""))</f>
        <v/>
      </c>
      <c r="HW19" s="69" t="str">
        <f ca="1">IF(AND($C19="Goal",HW$8&gt;=$G19,HW$8&lt;=$G19+$H19-1),2,IF(AND($C19="Milestone",HW$8&gt;=$G19,HW$8&lt;=$G19+$H19-1),1,""))</f>
        <v/>
      </c>
      <c r="HX19" s="69" t="str">
        <f ca="1">IF(AND($C19="Goal",HX$8&gt;=$G19,HX$8&lt;=$G19+$H19-1),2,IF(AND($C19="Milestone",HX$8&gt;=$G19,HX$8&lt;=$G19+$H19-1),1,""))</f>
        <v/>
      </c>
      <c r="HY19" s="69" t="str">
        <f ca="1">IF(AND($C19="Goal",HY$8&gt;=$G19,HY$8&lt;=$G19+$H19-1),2,IF(AND($C19="Milestone",HY$8&gt;=$G19,HY$8&lt;=$G19+$H19-1),1,""))</f>
        <v/>
      </c>
      <c r="HZ19" s="69" t="str">
        <f ca="1">IF(AND($C19="Goal",HZ$8&gt;=$G19,HZ$8&lt;=$G19+$H19-1),2,IF(AND($C19="Milestone",HZ$8&gt;=$G19,HZ$8&lt;=$G19+$H19-1),1,""))</f>
        <v/>
      </c>
      <c r="IA19" s="69" t="str">
        <f ca="1">IF(AND($C19="Goal",IA$8&gt;=$G19,IA$8&lt;=$G19+$H19-1),2,IF(AND($C19="Milestone",IA$8&gt;=$G19,IA$8&lt;=$G19+$H19-1),1,""))</f>
        <v/>
      </c>
      <c r="IB19" s="69" t="str">
        <f ca="1">IF(AND($C19="Goal",IB$8&gt;=$G19,IB$8&lt;=$G19+$H19-1),2,IF(AND($C19="Milestone",IB$8&gt;=$G19,IB$8&lt;=$G19+$H19-1),1,""))</f>
        <v/>
      </c>
      <c r="IC19" s="69" t="str">
        <f ca="1">IF(AND($C19="Goal",IC$8&gt;=$G19,IC$8&lt;=$G19+$H19-1),2,IF(AND($C19="Milestone",IC$8&gt;=$G19,IC$8&lt;=$G19+$H19-1),1,""))</f>
        <v/>
      </c>
      <c r="ID19" s="69" t="str">
        <f ca="1">IF(AND($C19="Goal",ID$8&gt;=$G19,ID$8&lt;=$G19+$H19-1),2,IF(AND($C19="Milestone",ID$8&gt;=$G19,ID$8&lt;=$G19+$H19-1),1,""))</f>
        <v/>
      </c>
      <c r="IE19" s="69" t="str">
        <f ca="1">IF(AND($C19="Goal",IE$8&gt;=$G19,IE$8&lt;=$G19+$H19-1),2,IF(AND($C19="Milestone",IE$8&gt;=$G19,IE$8&lt;=$G19+$H19-1),1,""))</f>
        <v/>
      </c>
      <c r="IF19" s="69" t="str">
        <f ca="1">IF(AND($C19="Goal",IF$8&gt;=$G19,IF$8&lt;=$G19+$H19-1),2,IF(AND($C19="Milestone",IF$8&gt;=$G19,IF$8&lt;=$G19+$H19-1),1,""))</f>
        <v/>
      </c>
      <c r="IG19" s="69" t="str">
        <f ca="1">IF(AND($C19="Goal",IG$8&gt;=$G19,IG$8&lt;=$G19+$H19-1),2,IF(AND($C19="Milestone",IG$8&gt;=$G19,IG$8&lt;=$G19+$H19-1),1,""))</f>
        <v/>
      </c>
      <c r="IH19" s="69" t="str">
        <f ca="1">IF(AND($C19="Goal",IH$8&gt;=$G19,IH$8&lt;=$G19+$H19-1),2,IF(AND($C19="Milestone",IH$8&gt;=$G19,IH$8&lt;=$G19+$H19-1),1,""))</f>
        <v/>
      </c>
      <c r="II19" s="69" t="str">
        <f ca="1">IF(AND($C19="Goal",II$8&gt;=$G19,II$8&lt;=$G19+$H19-1),2,IF(AND($C19="Milestone",II$8&gt;=$G19,II$8&lt;=$G19+$H19-1),1,""))</f>
        <v/>
      </c>
      <c r="IJ19" s="69" t="str">
        <f ca="1">IF(AND($C19="Goal",IJ$8&gt;=$G19,IJ$8&lt;=$G19+$H19-1),2,IF(AND($C19="Milestone",IJ$8&gt;=$G19,IJ$8&lt;=$G19+$H19-1),1,""))</f>
        <v/>
      </c>
      <c r="IK19" s="69" t="str">
        <f ca="1">IF(AND($C19="Goal",IK$8&gt;=$G19,IK$8&lt;=$G19+$H19-1),2,IF(AND($C19="Milestone",IK$8&gt;=$G19,IK$8&lt;=$G19+$H19-1),1,""))</f>
        <v/>
      </c>
      <c r="IL19" s="69" t="str">
        <f ca="1">IF(AND($C19="Goal",IL$8&gt;=$G19,IL$8&lt;=$G19+$H19-1),2,IF(AND($C19="Milestone",IL$8&gt;=$G19,IL$8&lt;=$G19+$H19-1),1,""))</f>
        <v/>
      </c>
      <c r="IM19" s="69" t="str">
        <f ca="1">IF(AND($C19="Goal",IM$8&gt;=$G19,IM$8&lt;=$G19+$H19-1),2,IF(AND($C19="Milestone",IM$8&gt;=$G19,IM$8&lt;=$G19+$H19-1),1,""))</f>
        <v/>
      </c>
      <c r="IN19" s="69" t="str">
        <f ca="1">IF(AND($C19="Goal",IN$8&gt;=$G19,IN$8&lt;=$G19+$H19-1),2,IF(AND($C19="Milestone",IN$8&gt;=$G19,IN$8&lt;=$G19+$H19-1),1,""))</f>
        <v/>
      </c>
      <c r="IO19" s="69" t="str">
        <f ca="1">IF(AND($C19="Goal",IO$8&gt;=$G19,IO$8&lt;=$G19+$H19-1),2,IF(AND($C19="Milestone",IO$8&gt;=$G19,IO$8&lt;=$G19+$H19-1),1,""))</f>
        <v/>
      </c>
      <c r="IP19" s="69" t="str">
        <f ca="1">IF(AND($C19="Goal",IP$8&gt;=$G19,IP$8&lt;=$G19+$H19-1),2,IF(AND($C19="Milestone",IP$8&gt;=$G19,IP$8&lt;=$G19+$H19-1),1,""))</f>
        <v/>
      </c>
      <c r="IQ19" s="69" t="str">
        <f ca="1">IF(AND($C19="Goal",IQ$8&gt;=$G19,IQ$8&lt;=$G19+$H19-1),2,IF(AND($C19="Milestone",IQ$8&gt;=$G19,IQ$8&lt;=$G19+$H19-1),1,""))</f>
        <v/>
      </c>
      <c r="IR19" s="69" t="str">
        <f ca="1">IF(AND($C19="Goal",IR$8&gt;=$G19,IR$8&lt;=$G19+$H19-1),2,IF(AND($C19="Milestone",IR$8&gt;=$G19,IR$8&lt;=$G19+$H19-1),1,""))</f>
        <v/>
      </c>
      <c r="IS19" s="69" t="str">
        <f ca="1">IF(AND($C19="Goal",IS$8&gt;=$G19,IS$8&lt;=$G19+$H19-1),2,IF(AND($C19="Milestone",IS$8&gt;=$G19,IS$8&lt;=$G19+$H19-1),1,""))</f>
        <v/>
      </c>
      <c r="IT19" s="69" t="str">
        <f ca="1">IF(AND($C19="Goal",IT$8&gt;=$G19,IT$8&lt;=$G19+$H19-1),2,IF(AND($C19="Milestone",IT$8&gt;=$G19,IT$8&lt;=$G19+$H19-1),1,""))</f>
        <v/>
      </c>
      <c r="IU19" s="69" t="str">
        <f ca="1">IF(AND($C19="Goal",IU$8&gt;=$G19,IU$8&lt;=$G19+$H19-1),2,IF(AND($C19="Milestone",IU$8&gt;=$G19,IU$8&lt;=$G19+$H19-1),1,""))</f>
        <v/>
      </c>
      <c r="IV19" s="69" t="str">
        <f ca="1">IF(AND($C19="Goal",IV$8&gt;=$G19,IV$8&lt;=$G19+$H19-1),2,IF(AND($C19="Milestone",IV$8&gt;=$G19,IV$8&lt;=$G19+$H19-1),1,""))</f>
        <v/>
      </c>
      <c r="IW19" s="69" t="str">
        <f ca="1">IF(AND($C19="Goal",IW$8&gt;=$G19,IW$8&lt;=$G19+$H19-1),2,IF(AND($C19="Milestone",IW$8&gt;=$G19,IW$8&lt;=$G19+$H19-1),1,""))</f>
        <v/>
      </c>
      <c r="IX19" s="69" t="str">
        <f ca="1">IF(AND($C19="Goal",IX$8&gt;=$G19,IX$8&lt;=$G19+$H19-1),2,IF(AND($C19="Milestone",IX$8&gt;=$G19,IX$8&lt;=$G19+$H19-1),1,""))</f>
        <v/>
      </c>
      <c r="IY19" s="69" t="str">
        <f ca="1">IF(AND($C19="Goal",IY$8&gt;=$G19,IY$8&lt;=$G19+$H19-1),2,IF(AND($C19="Milestone",IY$8&gt;=$G19,IY$8&lt;=$G19+$H19-1),1,""))</f>
        <v/>
      </c>
      <c r="IZ19" s="69" t="str">
        <f ca="1">IF(AND($C19="Goal",IZ$8&gt;=$G19,IZ$8&lt;=$G19+$H19-1),2,IF(AND($C19="Milestone",IZ$8&gt;=$G19,IZ$8&lt;=$G19+$H19-1),1,""))</f>
        <v/>
      </c>
      <c r="JA19" s="69" t="str">
        <f ca="1">IF(AND($C19="Goal",JA$8&gt;=$G19,JA$8&lt;=$G19+$H19-1),2,IF(AND($C19="Milestone",JA$8&gt;=$G19,JA$8&lt;=$G19+$H19-1),1,""))</f>
        <v/>
      </c>
      <c r="JB19" s="69" t="str">
        <f ca="1">IF(AND($C19="Goal",JB$8&gt;=$G19,JB$8&lt;=$G19+$H19-1),2,IF(AND($C19="Milestone",JB$8&gt;=$G19,JB$8&lt;=$G19+$H19-1),1,""))</f>
        <v/>
      </c>
      <c r="JC19" s="69" t="str">
        <f ca="1">IF(AND($C19="Goal",JC$8&gt;=$G19,JC$8&lt;=$G19+$H19-1),2,IF(AND($C19="Milestone",JC$8&gt;=$G19,JC$8&lt;=$G19+$H19-1),1,""))</f>
        <v/>
      </c>
      <c r="JD19" s="69" t="str">
        <f ca="1">IF(AND($C19="Goal",JD$8&gt;=$G19,JD$8&lt;=$G19+$H19-1),2,IF(AND($C19="Milestone",JD$8&gt;=$G19,JD$8&lt;=$G19+$H19-1),1,""))</f>
        <v/>
      </c>
      <c r="JE19" s="69" t="str">
        <f ca="1">IF(AND($C19="Goal",JE$8&gt;=$G19,JE$8&lt;=$G19+$H19-1),2,IF(AND($C19="Milestone",JE$8&gt;=$G19,JE$8&lt;=$G19+$H19-1),1,""))</f>
        <v/>
      </c>
      <c r="JF19" s="69" t="str">
        <f ca="1">IF(AND($C19="Goal",JF$8&gt;=$G19,JF$8&lt;=$G19+$H19-1),2,IF(AND($C19="Milestone",JF$8&gt;=$G19,JF$8&lt;=$G19+$H19-1),1,""))</f>
        <v/>
      </c>
      <c r="JG19" s="69" t="str">
        <f ca="1">IF(AND($C19="Goal",JG$8&gt;=$G19,JG$8&lt;=$G19+$H19-1),2,IF(AND($C19="Milestone",JG$8&gt;=$G19,JG$8&lt;=$G19+$H19-1),1,""))</f>
        <v/>
      </c>
      <c r="JH19" s="69" t="str">
        <f ca="1">IF(AND($C19="Goal",JH$8&gt;=$G19,JH$8&lt;=$G19+$H19-1),2,IF(AND($C19="Milestone",JH$8&gt;=$G19,JH$8&lt;=$G19+$H19-1),1,""))</f>
        <v/>
      </c>
      <c r="JI19" s="69" t="str">
        <f ca="1">IF(AND($C19="Goal",JI$8&gt;=$G19,JI$8&lt;=$G19+$H19-1),2,IF(AND($C19="Milestone",JI$8&gt;=$G19,JI$8&lt;=$G19+$H19-1),1,""))</f>
        <v/>
      </c>
      <c r="JJ19" s="69" t="str">
        <f ca="1">IF(AND($C19="Goal",JJ$8&gt;=$G19,JJ$8&lt;=$G19+$H19-1),2,IF(AND($C19="Milestone",JJ$8&gt;=$G19,JJ$8&lt;=$G19+$H19-1),1,""))</f>
        <v/>
      </c>
      <c r="JK19" s="69" t="str">
        <f ca="1">IF(AND($C19="Goal",JK$8&gt;=$G19,JK$8&lt;=$G19+$H19-1),2,IF(AND($C19="Milestone",JK$8&gt;=$G19,JK$8&lt;=$G19+$H19-1),1,""))</f>
        <v/>
      </c>
      <c r="JL19" s="69" t="str">
        <f ca="1">IF(AND($C19="Goal",JL$8&gt;=$G19,JL$8&lt;=$G19+$H19-1),2,IF(AND($C19="Milestone",JL$8&gt;=$G19,JL$8&lt;=$G19+$H19-1),1,""))</f>
        <v/>
      </c>
      <c r="JM19" s="69" t="str">
        <f ca="1">IF(AND($C19="Goal",JM$8&gt;=$G19,JM$8&lt;=$G19+$H19-1),2,IF(AND($C19="Milestone",JM$8&gt;=$G19,JM$8&lt;=$G19+$H19-1),1,""))</f>
        <v/>
      </c>
      <c r="JN19" s="69" t="str">
        <f ca="1">IF(AND($C19="Goal",JN$8&gt;=$G19,JN$8&lt;=$G19+$H19-1),2,IF(AND($C19="Milestone",JN$8&gt;=$G19,JN$8&lt;=$G19+$H19-1),1,""))</f>
        <v/>
      </c>
      <c r="JO19" s="69" t="str">
        <f ca="1">IF(AND($C19="Goal",JO$8&gt;=$G19,JO$8&lt;=$G19+$H19-1),2,IF(AND($C19="Milestone",JO$8&gt;=$G19,JO$8&lt;=$G19+$H19-1),1,""))</f>
        <v/>
      </c>
      <c r="JP19" s="69" t="str">
        <f ca="1">IF(AND($C19="Goal",JP$8&gt;=$G19,JP$8&lt;=$G19+$H19-1),2,IF(AND($C19="Milestone",JP$8&gt;=$G19,JP$8&lt;=$G19+$H19-1),1,""))</f>
        <v/>
      </c>
      <c r="JQ19" s="69" t="str">
        <f ca="1">IF(AND($C19="Goal",JQ$8&gt;=$G19,JQ$8&lt;=$G19+$H19-1),2,IF(AND($C19="Milestone",JQ$8&gt;=$G19,JQ$8&lt;=$G19+$H19-1),1,""))</f>
        <v/>
      </c>
      <c r="JR19" s="69" t="str">
        <f ca="1">IF(AND($C19="Goal",JR$8&gt;=$G19,JR$8&lt;=$G19+$H19-1),2,IF(AND($C19="Milestone",JR$8&gt;=$G19,JR$8&lt;=$G19+$H19-1),1,""))</f>
        <v/>
      </c>
      <c r="JS19" s="69" t="str">
        <f ca="1">IF(AND($C19="Goal",JS$8&gt;=$G19,JS$8&lt;=$G19+$H19-1),2,IF(AND($C19="Milestone",JS$8&gt;=$G19,JS$8&lt;=$G19+$H19-1),1,""))</f>
        <v/>
      </c>
      <c r="JT19" s="69" t="str">
        <f ca="1">IF(AND($C19="Goal",JT$8&gt;=$G19,JT$8&lt;=$G19+$H19-1),2,IF(AND($C19="Milestone",JT$8&gt;=$G19,JT$8&lt;=$G19+$H19-1),1,""))</f>
        <v/>
      </c>
      <c r="JU19" s="69" t="str">
        <f ca="1">IF(AND($C19="Goal",JU$8&gt;=$G19,JU$8&lt;=$G19+$H19-1),2,IF(AND($C19="Milestone",JU$8&gt;=$G19,JU$8&lt;=$G19+$H19-1),1,""))</f>
        <v/>
      </c>
      <c r="JV19" s="69" t="str">
        <f ca="1">IF(AND($C19="Goal",JV$8&gt;=$G19,JV$8&lt;=$G19+$H19-1),2,IF(AND($C19="Milestone",JV$8&gt;=$G19,JV$8&lt;=$G19+$H19-1),1,""))</f>
        <v/>
      </c>
      <c r="JW19" s="69" t="str">
        <f ca="1">IF(AND($C19="Goal",JW$8&gt;=$G19,JW$8&lt;=$G19+$H19-1),2,IF(AND($C19="Milestone",JW$8&gt;=$G19,JW$8&lt;=$G19+$H19-1),1,""))</f>
        <v/>
      </c>
      <c r="JX19" s="69" t="str">
        <f ca="1">IF(AND($C19="Goal",JX$8&gt;=$G19,JX$8&lt;=$G19+$H19-1),2,IF(AND($C19="Milestone",JX$8&gt;=$G19,JX$8&lt;=$G19+$H19-1),1,""))</f>
        <v/>
      </c>
      <c r="JY19" s="69" t="str">
        <f ca="1">IF(AND($C19="Goal",JY$8&gt;=$G19,JY$8&lt;=$G19+$H19-1),2,IF(AND($C19="Milestone",JY$8&gt;=$G19,JY$8&lt;=$G19+$H19-1),1,""))</f>
        <v/>
      </c>
      <c r="JZ19" s="69" t="str">
        <f ca="1">IF(AND($C19="Goal",JZ$8&gt;=$G19,JZ$8&lt;=$G19+$H19-1),2,IF(AND($C19="Milestone",JZ$8&gt;=$G19,JZ$8&lt;=$G19+$H19-1),1,""))</f>
        <v/>
      </c>
      <c r="KA19" s="69" t="str">
        <f ca="1">IF(AND($C19="Goal",KA$8&gt;=$G19,KA$8&lt;=$G19+$H19-1),2,IF(AND($C19="Milestone",KA$8&gt;=$G19,KA$8&lt;=$G19+$H19-1),1,""))</f>
        <v/>
      </c>
      <c r="KB19" s="69" t="str">
        <f ca="1">IF(AND($C19="Goal",KB$8&gt;=$G19,KB$8&lt;=$G19+$H19-1),2,IF(AND($C19="Milestone",KB$8&gt;=$G19,KB$8&lt;=$G19+$H19-1),1,""))</f>
        <v/>
      </c>
      <c r="KC19" s="69" t="str">
        <f ca="1">IF(AND($C19="Goal",KC$8&gt;=$G19,KC$8&lt;=$G19+$H19-1),2,IF(AND($C19="Milestone",KC$8&gt;=$G19,KC$8&lt;=$G19+$H19-1),1,""))</f>
        <v/>
      </c>
      <c r="KD19" s="69" t="str">
        <f ca="1">IF(AND($C19="Goal",KD$8&gt;=$G19,KD$8&lt;=$G19+$H19-1),2,IF(AND($C19="Milestone",KD$8&gt;=$G19,KD$8&lt;=$G19+$H19-1),1,""))</f>
        <v/>
      </c>
      <c r="KE19" s="69" t="str">
        <f ca="1">IF(AND($C19="Goal",KE$8&gt;=$G19,KE$8&lt;=$G19+$H19-1),2,IF(AND($C19="Milestone",KE$8&gt;=$G19,KE$8&lt;=$G19+$H19-1),1,""))</f>
        <v/>
      </c>
      <c r="KF19" s="69" t="str">
        <f ca="1">IF(AND($C19="Goal",KF$8&gt;=$G19,KF$8&lt;=$G19+$H19-1),2,IF(AND($C19="Milestone",KF$8&gt;=$G19,KF$8&lt;=$G19+$H19-1),1,""))</f>
        <v/>
      </c>
      <c r="KG19" s="69" t="str">
        <f ca="1">IF(AND($C19="Goal",KG$8&gt;=$G19,KG$8&lt;=$G19+$H19-1),2,IF(AND($C19="Milestone",KG$8&gt;=$G19,KG$8&lt;=$G19+$H19-1),1,""))</f>
        <v/>
      </c>
      <c r="KH19" s="69" t="str">
        <f ca="1">IF(AND($C19="Goal",KH$8&gt;=$G19,KH$8&lt;=$G19+$H19-1),2,IF(AND($C19="Milestone",KH$8&gt;=$G19,KH$8&lt;=$G19+$H19-1),1,""))</f>
        <v/>
      </c>
      <c r="KI19" s="69" t="str">
        <f ca="1">IF(AND($C19="Goal",KI$8&gt;=$G19,KI$8&lt;=$G19+$H19-1),2,IF(AND($C19="Milestone",KI$8&gt;=$G19,KI$8&lt;=$G19+$H19-1),1,""))</f>
        <v/>
      </c>
      <c r="KJ19" s="69" t="str">
        <f ca="1">IF(AND($C19="Goal",KJ$8&gt;=$G19,KJ$8&lt;=$G19+$H19-1),2,IF(AND($C19="Milestone",KJ$8&gt;=$G19,KJ$8&lt;=$G19+$H19-1),1,""))</f>
        <v/>
      </c>
      <c r="KK19" s="69" t="str">
        <f ca="1">IF(AND($C19="Goal",KK$8&gt;=$G19,KK$8&lt;=$G19+$H19-1),2,IF(AND($C19="Milestone",KK$8&gt;=$G19,KK$8&lt;=$G19+$H19-1),1,""))</f>
        <v/>
      </c>
      <c r="KL19" s="69" t="str">
        <f ca="1">IF(AND($C19="Goal",KL$8&gt;=$G19,KL$8&lt;=$G19+$H19-1),2,IF(AND($C19="Milestone",KL$8&gt;=$G19,KL$8&lt;=$G19+$H19-1),1,""))</f>
        <v/>
      </c>
      <c r="KM19" s="69" t="str">
        <f ca="1">IF(AND($C19="Goal",KM$8&gt;=$G19,KM$8&lt;=$G19+$H19-1),2,IF(AND($C19="Milestone",KM$8&gt;=$G19,KM$8&lt;=$G19+$H19-1),1,""))</f>
        <v/>
      </c>
      <c r="KN19" s="69" t="str">
        <f ca="1">IF(AND($C19="Goal",KN$8&gt;=$G19,KN$8&lt;=$G19+$H19-1),2,IF(AND($C19="Milestone",KN$8&gt;=$G19,KN$8&lt;=$G19+$H19-1),1,""))</f>
        <v/>
      </c>
      <c r="KO19" s="69" t="str">
        <f ca="1">IF(AND($C19="Goal",KO$8&gt;=$G19,KO$8&lt;=$G19+$H19-1),2,IF(AND($C19="Milestone",KO$8&gt;=$G19,KO$8&lt;=$G19+$H19-1),1,""))</f>
        <v/>
      </c>
      <c r="KP19" s="69" t="str">
        <f ca="1">IF(AND($C19="Goal",KP$8&gt;=$G19,KP$8&lt;=$G19+$H19-1),2,IF(AND($C19="Milestone",KP$8&gt;=$G19,KP$8&lt;=$G19+$H19-1),1,""))</f>
        <v/>
      </c>
      <c r="KQ19" s="69" t="str">
        <f ca="1">IF(AND($C19="Goal",KQ$8&gt;=$G19,KQ$8&lt;=$G19+$H19-1),2,IF(AND($C19="Milestone",KQ$8&gt;=$G19,KQ$8&lt;=$G19+$H19-1),1,""))</f>
        <v/>
      </c>
      <c r="KR19" s="69" t="str">
        <f ca="1">IF(AND($C19="Goal",KR$8&gt;=$G19,KR$8&lt;=$G19+$H19-1),2,IF(AND($C19="Milestone",KR$8&gt;=$G19,KR$8&lt;=$G19+$H19-1),1,""))</f>
        <v/>
      </c>
      <c r="KS19" s="69" t="str">
        <f ca="1">IF(AND($C19="Goal",KS$8&gt;=$G19,KS$8&lt;=$G19+$H19-1),2,IF(AND($C19="Milestone",KS$8&gt;=$G19,KS$8&lt;=$G19+$H19-1),1,""))</f>
        <v/>
      </c>
      <c r="KT19" s="69" t="str">
        <f ca="1">IF(AND($C19="Goal",KT$8&gt;=$G19,KT$8&lt;=$G19+$H19-1),2,IF(AND($C19="Milestone",KT$8&gt;=$G19,KT$8&lt;=$G19+$H19-1),1,""))</f>
        <v/>
      </c>
      <c r="KU19" s="69" t="str">
        <f ca="1">IF(AND($C19="Goal",KU$8&gt;=$G19,KU$8&lt;=$G19+$H19-1),2,IF(AND($C19="Milestone",KU$8&gt;=$G19,KU$8&lt;=$G19+$H19-1),1,""))</f>
        <v/>
      </c>
      <c r="KV19" s="69" t="str">
        <f ca="1">IF(AND($C19="Goal",KV$8&gt;=$G19,KV$8&lt;=$G19+$H19-1),2,IF(AND($C19="Milestone",KV$8&gt;=$G19,KV$8&lt;=$G19+$H19-1),1,""))</f>
        <v/>
      </c>
      <c r="KW19" s="69" t="str">
        <f ca="1">IF(AND($C19="Goal",KW$8&gt;=$G19,KW$8&lt;=$G19+$H19-1),2,IF(AND($C19="Milestone",KW$8&gt;=$G19,KW$8&lt;=$G19+$H19-1),1,""))</f>
        <v/>
      </c>
      <c r="KX19" s="69" t="str">
        <f ca="1">IF(AND($C19="Goal",KX$8&gt;=$G19,KX$8&lt;=$G19+$H19-1),2,IF(AND($C19="Milestone",KX$8&gt;=$G19,KX$8&lt;=$G19+$H19-1),1,""))</f>
        <v/>
      </c>
      <c r="KY19" s="69" t="str">
        <f ca="1">IF(AND($C19="Goal",KY$8&gt;=$G19,KY$8&lt;=$G19+$H19-1),2,IF(AND($C19="Milestone",KY$8&gt;=$G19,KY$8&lt;=$G19+$H19-1),1,""))</f>
        <v/>
      </c>
      <c r="KZ19" s="69" t="str">
        <f ca="1">IF(AND($C19="Goal",KZ$8&gt;=$G19,KZ$8&lt;=$G19+$H19-1),2,IF(AND($C19="Milestone",KZ$8&gt;=$G19,KZ$8&lt;=$G19+$H19-1),1,""))</f>
        <v/>
      </c>
      <c r="LA19" s="69" t="str">
        <f ca="1">IF(AND($C19="Goal",LA$8&gt;=$G19,LA$8&lt;=$G19+$H19-1),2,IF(AND($C19="Milestone",LA$8&gt;=$G19,LA$8&lt;=$G19+$H19-1),1,""))</f>
        <v/>
      </c>
      <c r="LB19" s="69" t="str">
        <f ca="1">IF(AND($C19="Goal",LB$8&gt;=$G19,LB$8&lt;=$G19+$H19-1),2,IF(AND($C19="Milestone",LB$8&gt;=$G19,LB$8&lt;=$G19+$H19-1),1,""))</f>
        <v/>
      </c>
      <c r="LC19" s="69" t="str">
        <f ca="1">IF(AND($C19="Goal",LC$8&gt;=$G19,LC$8&lt;=$G19+$H19-1),2,IF(AND($C19="Milestone",LC$8&gt;=$G19,LC$8&lt;=$G19+$H19-1),1,""))</f>
        <v/>
      </c>
      <c r="LD19" s="69" t="str">
        <f ca="1">IF(AND($C19="Goal",LD$8&gt;=$G19,LD$8&lt;=$G19+$H19-1),2,IF(AND($C19="Milestone",LD$8&gt;=$G19,LD$8&lt;=$G19+$H19-1),1,""))</f>
        <v/>
      </c>
      <c r="LE19" s="69" t="str">
        <f ca="1">IF(AND($C19="Goal",LE$8&gt;=$G19,LE$8&lt;=$G19+$H19-1),2,IF(AND($C19="Milestone",LE$8&gt;=$G19,LE$8&lt;=$G19+$H19-1),1,""))</f>
        <v/>
      </c>
      <c r="LF19" s="69" t="str">
        <f ca="1">IF(AND($C19="Goal",LF$8&gt;=$G19,LF$8&lt;=$G19+$H19-1),2,IF(AND($C19="Milestone",LF$8&gt;=$G19,LF$8&lt;=$G19+$H19-1),1,""))</f>
        <v/>
      </c>
      <c r="LG19" s="69" t="str">
        <f ca="1">IF(AND($C19="Goal",LG$8&gt;=$G19,LG$8&lt;=$G19+$H19-1),2,IF(AND($C19="Milestone",LG$8&gt;=$G19,LG$8&lt;=$G19+$H19-1),1,""))</f>
        <v/>
      </c>
      <c r="LH19" s="69" t="str">
        <f ca="1">IF(AND($C19="Goal",LH$8&gt;=$G19,LH$8&lt;=$G19+$H19-1),2,IF(AND($C19="Milestone",LH$8&gt;=$G19,LH$8&lt;=$G19+$H19-1),1,""))</f>
        <v/>
      </c>
      <c r="LI19" s="69" t="str">
        <f ca="1">IF(AND($C19="Goal",LI$8&gt;=$G19,LI$8&lt;=$G19+$H19-1),2,IF(AND($C19="Milestone",LI$8&gt;=$G19,LI$8&lt;=$G19+$H19-1),1,""))</f>
        <v/>
      </c>
      <c r="LJ19" s="69" t="str">
        <f ca="1">IF(AND($C19="Goal",LJ$8&gt;=$G19,LJ$8&lt;=$G19+$H19-1),2,IF(AND($C19="Milestone",LJ$8&gt;=$G19,LJ$8&lt;=$G19+$H19-1),1,""))</f>
        <v/>
      </c>
      <c r="LK19" s="69" t="str">
        <f ca="1">IF(AND($C19="Goal",LK$8&gt;=$G19,LK$8&lt;=$G19+$H19-1),2,IF(AND($C19="Milestone",LK$8&gt;=$G19,LK$8&lt;=$G19+$H19-1),1,""))</f>
        <v/>
      </c>
      <c r="LL19" s="69" t="str">
        <f ca="1">IF(AND($C19="Goal",LL$8&gt;=$G19,LL$8&lt;=$G19+$H19-1),2,IF(AND($C19="Milestone",LL$8&gt;=$G19,LL$8&lt;=$G19+$H19-1),1,""))</f>
        <v/>
      </c>
      <c r="LM19" s="69" t="str">
        <f ca="1">IF(AND($C19="Goal",LM$8&gt;=$G19,LM$8&lt;=$G19+$H19-1),2,IF(AND($C19="Milestone",LM$8&gt;=$G19,LM$8&lt;=$G19+$H19-1),1,""))</f>
        <v/>
      </c>
      <c r="LN19" s="69" t="str">
        <f ca="1">IF(AND($C19="Goal",LN$8&gt;=$G19,LN$8&lt;=$G19+$H19-1),2,IF(AND($C19="Milestone",LN$8&gt;=$G19,LN$8&lt;=$G19+$H19-1),1,""))</f>
        <v/>
      </c>
      <c r="LO19" s="69" t="str">
        <f ca="1">IF(AND($C19="Goal",LO$8&gt;=$G19,LO$8&lt;=$G19+$H19-1),2,IF(AND($C19="Milestone",LO$8&gt;=$G19,LO$8&lt;=$G19+$H19-1),1,""))</f>
        <v/>
      </c>
      <c r="LP19" s="69" t="str">
        <f ca="1">IF(AND($C19="Goal",LP$8&gt;=$G19,LP$8&lt;=$G19+$H19-1),2,IF(AND($C19="Milestone",LP$8&gt;=$G19,LP$8&lt;=$G19+$H19-1),1,""))</f>
        <v/>
      </c>
      <c r="LQ19" s="69" t="str">
        <f ca="1">IF(AND($C19="Goal",LQ$8&gt;=$G19,LQ$8&lt;=$G19+$H19-1),2,IF(AND($C19="Milestone",LQ$8&gt;=$G19,LQ$8&lt;=$G19+$H19-1),1,""))</f>
        <v/>
      </c>
      <c r="LR19" s="69" t="str">
        <f ca="1">IF(AND($C19="Goal",LR$8&gt;=$G19,LR$8&lt;=$G19+$H19-1),2,IF(AND($C19="Milestone",LR$8&gt;=$G19,LR$8&lt;=$G19+$H19-1),1,""))</f>
        <v/>
      </c>
      <c r="LS19" s="69" t="str">
        <f ca="1">IF(AND($C19="Goal",LS$8&gt;=$G19,LS$8&lt;=$G19+$H19-1),2,IF(AND($C19="Milestone",LS$8&gt;=$G19,LS$8&lt;=$G19+$H19-1),1,""))</f>
        <v/>
      </c>
      <c r="LT19" s="69" t="str">
        <f ca="1">IF(AND($C19="Goal",LT$8&gt;=$G19,LT$8&lt;=$G19+$H19-1),2,IF(AND($C19="Milestone",LT$8&gt;=$G19,LT$8&lt;=$G19+$H19-1),1,""))</f>
        <v/>
      </c>
      <c r="LU19" s="69" t="str">
        <f ca="1">IF(AND($C19="Goal",LU$8&gt;=$G19,LU$8&lt;=$G19+$H19-1),2,IF(AND($C19="Milestone",LU$8&gt;=$G19,LU$8&lt;=$G19+$H19-1),1,""))</f>
        <v/>
      </c>
      <c r="LV19" s="69" t="str">
        <f ca="1">IF(AND($C19="Goal",LV$8&gt;=$G19,LV$8&lt;=$G19+$H19-1),2,IF(AND($C19="Milestone",LV$8&gt;=$G19,LV$8&lt;=$G19+$H19-1),1,""))</f>
        <v/>
      </c>
      <c r="LW19" s="69" t="str">
        <f ca="1">IF(AND($C19="Goal",LW$8&gt;=$G19,LW$8&lt;=$G19+$H19-1),2,IF(AND($C19="Milestone",LW$8&gt;=$G19,LW$8&lt;=$G19+$H19-1),1,""))</f>
        <v/>
      </c>
      <c r="LX19" s="69" t="str">
        <f ca="1">IF(AND($C19="Goal",LX$8&gt;=$G19,LX$8&lt;=$G19+$H19-1),2,IF(AND($C19="Milestone",LX$8&gt;=$G19,LX$8&lt;=$G19+$H19-1),1,""))</f>
        <v/>
      </c>
    </row>
    <row r="20" spans="1:336" s="1" customFormat="1" ht="27.5" customHeight="1" x14ac:dyDescent="0.25">
      <c r="A20" s="6"/>
      <c r="B20" s="47" t="s">
        <v>23</v>
      </c>
      <c r="C20" s="58"/>
      <c r="D20" s="58" t="str">
        <f ca="1">IF(G20="","",
IF(G20+Milestones4352[[#This Row],[Days]]="","",
IF(OR(F20=1,F20=100%),"Complete",
CHOOSE(
  1
  + --(((1-IF(F20&gt;1,F20/100,F20))*POWER(2.718281828,(60-MAX(0,G20+Milestones4352[[#This Row],[Days]]-TODAY()))/12))&gt;=0.6)
  + --(((1-IF(F20&gt;1,F20/100,F20))*POWER(2.718281828,(60-MAX(0,G20+Milestones4352[[#This Row],[Days]]-TODAY()))/12))&gt;=1.2)
  + --(((1-IF(F20&gt;1,F20/100,F20))*POWER(2.718281828,(60-MAX(0,G20+Milestones4352[[#This Row],[Days]]-TODAY()))/12))&gt;=2),
  "On track","Low risk","Medium risk","High risk"
))))</f>
        <v>High risk</v>
      </c>
      <c r="E20" s="58"/>
      <c r="F20" s="56">
        <v>0</v>
      </c>
      <c r="G20" s="70">
        <f t="shared" si="209"/>
        <v>45990</v>
      </c>
      <c r="H20" s="57">
        <v>5</v>
      </c>
      <c r="I20" s="57">
        <f t="shared" si="207"/>
        <v>4</v>
      </c>
      <c r="J20" s="12">
        <f ca="1">IF(OR(Milestones4352[[#This Row],[Start]]="",Milestones4352[[#This Row],[Days]]=""),"",(Milestones4352[[#This Row],[Start]]+Milestones4352[[#This Row],[Days]])-TODAY())</f>
        <v>46</v>
      </c>
      <c r="K20" s="9"/>
      <c r="L20" s="69" t="str">
        <f ca="1">IF(AND($C20="Goal",L$8&gt;=$G20,L$8&lt;=$G20+$H20-1),2,IF(AND($C20="Milestone",L$8&gt;=$G20,L$8&lt;=$G20+$H20-1),1,""))</f>
        <v/>
      </c>
      <c r="M20" s="69" t="str">
        <f ca="1">IF(AND($C20="Goal",M$8&gt;=$G20,M$8&lt;=$G20+$H20-1),2,IF(AND($C20="Milestone",M$8&gt;=$G20,M$8&lt;=$G20+$H20-1),1,""))</f>
        <v/>
      </c>
      <c r="N20" s="69" t="str">
        <f ca="1">IF(AND($C20="Goal",N$8&gt;=$G20,N$8&lt;=$G20+$H20-1),2,IF(AND($C20="Milestone",N$8&gt;=$G20,N$8&lt;=$G20+$H20-1),1,""))</f>
        <v/>
      </c>
      <c r="O20" s="69" t="str">
        <f ca="1">IF(AND($C20="Goal",O$8&gt;=$G20,O$8&lt;=$G20+$H20-1),2,IF(AND($C20="Milestone",O$8&gt;=$G20,O$8&lt;=$G20+$H20-1),1,""))</f>
        <v/>
      </c>
      <c r="P20" s="69" t="str">
        <f ca="1">IF(AND($C20="Goal",P$8&gt;=$G20,P$8&lt;=$G20+$H20-1),2,IF(AND($C20="Milestone",P$8&gt;=$G20,P$8&lt;=$G20+$H20-1),1,""))</f>
        <v/>
      </c>
      <c r="Q20" s="69" t="str">
        <f ca="1">IF(AND($C20="Goal",Q$8&gt;=$G20,Q$8&lt;=$G20+$H20-1),2,IF(AND($C20="Milestone",Q$8&gt;=$G20,Q$8&lt;=$G20+$H20-1),1,""))</f>
        <v/>
      </c>
      <c r="R20" s="69" t="str">
        <f ca="1">IF(AND($C20="Goal",R$8&gt;=$G20,R$8&lt;=$G20+$H20-1),2,IF(AND($C20="Milestone",R$8&gt;=$G20,R$8&lt;=$G20+$H20-1),1,""))</f>
        <v/>
      </c>
      <c r="S20" s="69" t="str">
        <f ca="1">IF(AND($C20="Goal",S$8&gt;=$G20,S$8&lt;=$G20+$H20-1),2,IF(AND($C20="Milestone",S$8&gt;=$G20,S$8&lt;=$G20+$H20-1),1,""))</f>
        <v/>
      </c>
      <c r="T20" s="69" t="str">
        <f ca="1">IF(AND($C20="Goal",T$8&gt;=$G20,T$8&lt;=$G20+$H20-1),2,IF(AND($C20="Milestone",T$8&gt;=$G20,T$8&lt;=$G20+$H20-1),1,""))</f>
        <v/>
      </c>
      <c r="U20" s="69" t="str">
        <f ca="1">IF(AND($C20="Goal",U$8&gt;=$G20,U$8&lt;=$G20+$H20-1),2,IF(AND($C20="Milestone",U$8&gt;=$G20,U$8&lt;=$G20+$H20-1),1,""))</f>
        <v/>
      </c>
      <c r="V20" s="69" t="str">
        <f ca="1">IF(AND($C20="Goal",V$8&gt;=$G20,V$8&lt;=$G20+$H20-1),2,IF(AND($C20="Milestone",V$8&gt;=$G20,V$8&lt;=$G20+$H20-1),1,""))</f>
        <v/>
      </c>
      <c r="W20" s="69" t="str">
        <f ca="1">IF(AND($C20="Goal",W$8&gt;=$G20,W$8&lt;=$G20+$H20-1),2,IF(AND($C20="Milestone",W$8&gt;=$G20,W$8&lt;=$G20+$H20-1),1,""))</f>
        <v/>
      </c>
      <c r="X20" s="69" t="str">
        <f ca="1">IF(AND($C20="Goal",X$8&gt;=$G20,X$8&lt;=$G20+$H20-1),2,IF(AND($C20="Milestone",X$8&gt;=$G20,X$8&lt;=$G20+$H20-1),1,""))</f>
        <v/>
      </c>
      <c r="Y20" s="69" t="str">
        <f ca="1">IF(AND($C20="Goal",Y$8&gt;=$G20,Y$8&lt;=$G20+$H20-1),2,IF(AND($C20="Milestone",Y$8&gt;=$G20,Y$8&lt;=$G20+$H20-1),1,""))</f>
        <v/>
      </c>
      <c r="Z20" s="69" t="str">
        <f ca="1">IF(AND($C20="Goal",Z$8&gt;=$G20,Z$8&lt;=$G20+$H20-1),2,IF(AND($C20="Milestone",Z$8&gt;=$G20,Z$8&lt;=$G20+$H20-1),1,""))</f>
        <v/>
      </c>
      <c r="AA20" s="69" t="str">
        <f ca="1">IF(AND($C20="Goal",AA$8&gt;=$G20,AA$8&lt;=$G20+$H20-1),2,IF(AND($C20="Milestone",AA$8&gt;=$G20,AA$8&lt;=$G20+$H20-1),1,""))</f>
        <v/>
      </c>
      <c r="AB20" s="69" t="str">
        <f ca="1">IF(AND($C20="Goal",AB$8&gt;=$G20,AB$8&lt;=$G20+$H20-1),2,IF(AND($C20="Milestone",AB$8&gt;=$G20,AB$8&lt;=$G20+$H20-1),1,""))</f>
        <v/>
      </c>
      <c r="AC20" s="69" t="str">
        <f ca="1">IF(AND($C20="Goal",AC$8&gt;=$G20,AC$8&lt;=$G20+$H20-1),2,IF(AND($C20="Milestone",AC$8&gt;=$G20,AC$8&lt;=$G20+$H20-1),1,""))</f>
        <v/>
      </c>
      <c r="AD20" s="69" t="str">
        <f ca="1">IF(AND($C20="Goal",AD$8&gt;=$G20,AD$8&lt;=$G20+$H20-1),2,IF(AND($C20="Milestone",AD$8&gt;=$G20,AD$8&lt;=$G20+$H20-1),1,""))</f>
        <v/>
      </c>
      <c r="AE20" s="69" t="str">
        <f ca="1">IF(AND($C20="Goal",AE$8&gt;=$G20,AE$8&lt;=$G20+$H20-1),2,IF(AND($C20="Milestone",AE$8&gt;=$G20,AE$8&lt;=$G20+$H20-1),1,""))</f>
        <v/>
      </c>
      <c r="AF20" s="69" t="str">
        <f ca="1">IF(AND($C20="Goal",AF$8&gt;=$G20,AF$8&lt;=$G20+$H20-1),2,IF(AND($C20="Milestone",AF$8&gt;=$G20,AF$8&lt;=$G20+$H20-1),1,""))</f>
        <v/>
      </c>
      <c r="AG20" s="69" t="str">
        <f ca="1">IF(AND($C20="Goal",AG$8&gt;=$G20,AG$8&lt;=$G20+$H20-1),2,IF(AND($C20="Milestone",AG$8&gt;=$G20,AG$8&lt;=$G20+$H20-1),1,""))</f>
        <v/>
      </c>
      <c r="AH20" s="69" t="str">
        <f ca="1">IF(AND($C20="Goal",AH$8&gt;=$G20,AH$8&lt;=$G20+$H20-1),2,IF(AND($C20="Milestone",AH$8&gt;=$G20,AH$8&lt;=$G20+$H20-1),1,""))</f>
        <v/>
      </c>
      <c r="AI20" s="69" t="str">
        <f ca="1">IF(AND($C20="Goal",AI$8&gt;=$G20,AI$8&lt;=$G20+$H20-1),2,IF(AND($C20="Milestone",AI$8&gt;=$G20,AI$8&lt;=$G20+$H20-1),1,""))</f>
        <v/>
      </c>
      <c r="AJ20" s="69" t="str">
        <f ca="1">IF(AND($C20="Goal",AJ$8&gt;=$G20,AJ$8&lt;=$G20+$H20-1),2,IF(AND($C20="Milestone",AJ$8&gt;=$G20,AJ$8&lt;=$G20+$H20-1),1,""))</f>
        <v/>
      </c>
      <c r="AK20" s="69" t="str">
        <f ca="1">IF(AND($C20="Goal",AK$8&gt;=$G20,AK$8&lt;=$G20+$H20-1),2,IF(AND($C20="Milestone",AK$8&gt;=$G20,AK$8&lt;=$G20+$H20-1),1,""))</f>
        <v/>
      </c>
      <c r="AL20" s="69" t="str">
        <f ca="1">IF(AND($C20="Goal",AL$8&gt;=$G20,AL$8&lt;=$G20+$H20-1),2,IF(AND($C20="Milestone",AL$8&gt;=$G20,AL$8&lt;=$G20+$H20-1),1,""))</f>
        <v/>
      </c>
      <c r="AM20" s="69" t="str">
        <f ca="1">IF(AND($C20="Goal",AM$8&gt;=$G20,AM$8&lt;=$G20+$H20-1),2,IF(AND($C20="Milestone",AM$8&gt;=$G20,AM$8&lt;=$G20+$H20-1),1,""))</f>
        <v/>
      </c>
      <c r="AN20" s="69" t="str">
        <f ca="1">IF(AND($C20="Goal",AN$8&gt;=$G20,AN$8&lt;=$G20+$H20-1),2,IF(AND($C20="Milestone",AN$8&gt;=$G20,AN$8&lt;=$G20+$H20-1),1,""))</f>
        <v/>
      </c>
      <c r="AO20" s="69" t="str">
        <f ca="1">IF(AND($C20="Goal",AO$8&gt;=$G20,AO$8&lt;=$G20+$H20-1),2,IF(AND($C20="Milestone",AO$8&gt;=$G20,AO$8&lt;=$G20+$H20-1),1,""))</f>
        <v/>
      </c>
      <c r="AP20" s="69" t="str">
        <f ca="1">IF(AND($C20="Goal",AP$8&gt;=$G20,AP$8&lt;=$G20+$H20-1),2,IF(AND($C20="Milestone",AP$8&gt;=$G20,AP$8&lt;=$G20+$H20-1),1,""))</f>
        <v/>
      </c>
      <c r="AQ20" s="69" t="str">
        <f ca="1">IF(AND($C20="Goal",AQ$8&gt;=$G20,AQ$8&lt;=$G20+$H20-1),2,IF(AND($C20="Milestone",AQ$8&gt;=$G20,AQ$8&lt;=$G20+$H20-1),1,""))</f>
        <v/>
      </c>
      <c r="AR20" s="69" t="str">
        <f ca="1">IF(AND($C20="Goal",AR$8&gt;=$G20,AR$8&lt;=$G20+$H20-1),2,IF(AND($C20="Milestone",AR$8&gt;=$G20,AR$8&lt;=$G20+$H20-1),1,""))</f>
        <v/>
      </c>
      <c r="AS20" s="69" t="str">
        <f ca="1">IF(AND($C20="Goal",AS$8&gt;=$G20,AS$8&lt;=$G20+$H20-1),2,IF(AND($C20="Milestone",AS$8&gt;=$G20,AS$8&lt;=$G20+$H20-1),1,""))</f>
        <v/>
      </c>
      <c r="AT20" s="69" t="str">
        <f ca="1">IF(AND($C20="Goal",AT$8&gt;=$G20,AT$8&lt;=$G20+$H20-1),2,IF(AND($C20="Milestone",AT$8&gt;=$G20,AT$8&lt;=$G20+$H20-1),1,""))</f>
        <v/>
      </c>
      <c r="AU20" s="69" t="str">
        <f ca="1">IF(AND($C20="Goal",AU$8&gt;=$G20,AU$8&lt;=$G20+$H20-1),2,IF(AND($C20="Milestone",AU$8&gt;=$G20,AU$8&lt;=$G20+$H20-1),1,""))</f>
        <v/>
      </c>
      <c r="AV20" s="69" t="str">
        <f ca="1">IF(AND($C20="Goal",AV$8&gt;=$G20,AV$8&lt;=$G20+$H20-1),2,IF(AND($C20="Milestone",AV$8&gt;=$G20,AV$8&lt;=$G20+$H20-1),1,""))</f>
        <v/>
      </c>
      <c r="AW20" s="69" t="str">
        <f ca="1">IF(AND($C20="Goal",AW$8&gt;=$G20,AW$8&lt;=$G20+$H20-1),2,IF(AND($C20="Milestone",AW$8&gt;=$G20,AW$8&lt;=$G20+$H20-1),1,""))</f>
        <v/>
      </c>
      <c r="AX20" s="69" t="str">
        <f ca="1">IF(AND($C20="Goal",AX$8&gt;=$G20,AX$8&lt;=$G20+$H20-1),2,IF(AND($C20="Milestone",AX$8&gt;=$G20,AX$8&lt;=$G20+$H20-1),1,""))</f>
        <v/>
      </c>
      <c r="AY20" s="69" t="str">
        <f ca="1">IF(AND($C20="Goal",AY$8&gt;=$G20,AY$8&lt;=$G20+$H20-1),2,IF(AND($C20="Milestone",AY$8&gt;=$G20,AY$8&lt;=$G20+$H20-1),1,""))</f>
        <v/>
      </c>
      <c r="AZ20" s="69" t="str">
        <f ca="1">IF(AND($C20="Goal",AZ$8&gt;=$G20,AZ$8&lt;=$G20+$H20-1),2,IF(AND($C20="Milestone",AZ$8&gt;=$G20,AZ$8&lt;=$G20+$H20-1),1,""))</f>
        <v/>
      </c>
      <c r="BA20" s="69" t="str">
        <f ca="1">IF(AND($C20="Goal",BA$8&gt;=$G20,BA$8&lt;=$G20+$H20-1),2,IF(AND($C20="Milestone",BA$8&gt;=$G20,BA$8&lt;=$G20+$H20-1),1,""))</f>
        <v/>
      </c>
      <c r="BB20" s="69" t="str">
        <f ca="1">IF(AND($C20="Goal",BB$8&gt;=$G20,BB$8&lt;=$G20+$H20-1),2,IF(AND($C20="Milestone",BB$8&gt;=$G20,BB$8&lt;=$G20+$H20-1),1,""))</f>
        <v/>
      </c>
      <c r="BC20" s="69" t="str">
        <f ca="1">IF(AND($C20="Goal",BC$8&gt;=$G20,BC$8&lt;=$G20+$H20-1),2,IF(AND($C20="Milestone",BC$8&gt;=$G20,BC$8&lt;=$G20+$H20-1),1,""))</f>
        <v/>
      </c>
      <c r="BD20" s="69" t="str">
        <f ca="1">IF(AND($C20="Goal",BD$8&gt;=$G20,BD$8&lt;=$G20+$H20-1),2,IF(AND($C20="Milestone",BD$8&gt;=$G20,BD$8&lt;=$G20+$H20-1),1,""))</f>
        <v/>
      </c>
      <c r="BE20" s="69" t="str">
        <f ca="1">IF(AND($C20="Goal",BE$8&gt;=$G20,BE$8&lt;=$G20+$H20-1),2,IF(AND($C20="Milestone",BE$8&gt;=$G20,BE$8&lt;=$G20+$H20-1),1,""))</f>
        <v/>
      </c>
      <c r="BF20" s="69" t="str">
        <f ca="1">IF(AND($C20="Goal",BF$8&gt;=$G20,BF$8&lt;=$G20+$H20-1),2,IF(AND($C20="Milestone",BF$8&gt;=$G20,BF$8&lt;=$G20+$H20-1),1,""))</f>
        <v/>
      </c>
      <c r="BG20" s="69" t="str">
        <f ca="1">IF(AND($C20="Goal",BG$8&gt;=$G20,BG$8&lt;=$G20+$H20-1),2,IF(AND($C20="Milestone",BG$8&gt;=$G20,BG$8&lt;=$G20+$H20-1),1,""))</f>
        <v/>
      </c>
      <c r="BH20" s="69" t="str">
        <f ca="1">IF(AND($C20="Goal",BH$8&gt;=$G20,BH$8&lt;=$G20+$H20-1),2,IF(AND($C20="Milestone",BH$8&gt;=$G20,BH$8&lt;=$G20+$H20-1),1,""))</f>
        <v/>
      </c>
      <c r="BI20" s="69" t="str">
        <f ca="1">IF(AND($C20="Goal",BI$8&gt;=$G20,BI$8&lt;=$G20+$H20-1),2,IF(AND($C20="Milestone",BI$8&gt;=$G20,BI$8&lt;=$G20+$H20-1),1,""))</f>
        <v/>
      </c>
      <c r="BJ20" s="69" t="str">
        <f ca="1">IF(AND($C20="Goal",BJ$8&gt;=$G20,BJ$8&lt;=$G20+$H20-1),2,IF(AND($C20="Milestone",BJ$8&gt;=$G20,BJ$8&lt;=$G20+$H20-1),1,""))</f>
        <v/>
      </c>
      <c r="BK20" s="69" t="str">
        <f ca="1">IF(AND($C20="Goal",BK$8&gt;=$G20,BK$8&lt;=$G20+$H20-1),2,IF(AND($C20="Milestone",BK$8&gt;=$G20,BK$8&lt;=$G20+$H20-1),1,""))</f>
        <v/>
      </c>
      <c r="BL20" s="69" t="str">
        <f ca="1">IF(AND($C20="Goal",BL$8&gt;=$G20,BL$8&lt;=$G20+$H20-1),2,IF(AND($C20="Milestone",BL$8&gt;=$G20,BL$8&lt;=$G20+$H20-1),1,""))</f>
        <v/>
      </c>
      <c r="BM20" s="69" t="str">
        <f ca="1">IF(AND($C20="Goal",BM$8&gt;=$G20,BM$8&lt;=$G20+$H20-1),2,IF(AND($C20="Milestone",BM$8&gt;=$G20,BM$8&lt;=$G20+$H20-1),1,""))</f>
        <v/>
      </c>
      <c r="BN20" s="69" t="str">
        <f ca="1">IF(AND($C20="Goal",BN$8&gt;=$G20,BN$8&lt;=$G20+$H20-1),2,IF(AND($C20="Milestone",BN$8&gt;=$G20,BN$8&lt;=$G20+$H20-1),1,""))</f>
        <v/>
      </c>
      <c r="BO20" s="69" t="str">
        <f ca="1">IF(AND($C20="Goal",BO$8&gt;=$G20,BO$8&lt;=$G20+$H20-1),2,IF(AND($C20="Milestone",BO$8&gt;=$G20,BO$8&lt;=$G20+$H20-1),1,""))</f>
        <v/>
      </c>
      <c r="BP20" s="69" t="str">
        <f ca="1">IF(AND($C20="Goal",BP$8&gt;=$G20,BP$8&lt;=$G20+$H20-1),2,IF(AND($C20="Milestone",BP$8&gt;=$G20,BP$8&lt;=$G20+$H20-1),1,""))</f>
        <v/>
      </c>
      <c r="BQ20" s="69" t="str">
        <f ca="1">IF(AND($C20="Goal",BQ$8&gt;=$G20,BQ$8&lt;=$G20+$H20-1),2,IF(AND($C20="Milestone",BQ$8&gt;=$G20,BQ$8&lt;=$G20+$H20-1),1,""))</f>
        <v/>
      </c>
      <c r="BR20" s="69" t="str">
        <f ca="1">IF(AND($C20="Goal",BR$8&gt;=$G20,BR$8&lt;=$G20+$H20-1),2,IF(AND($C20="Milestone",BR$8&gt;=$G20,BR$8&lt;=$G20+$H20-1),1,""))</f>
        <v/>
      </c>
      <c r="BS20" s="69" t="str">
        <f ca="1">IF(AND($C20="Goal",BS$8&gt;=$G20,BS$8&lt;=$G20+$H20-1),2,IF(AND($C20="Milestone",BS$8&gt;=$G20,BS$8&lt;=$G20+$H20-1),1,""))</f>
        <v/>
      </c>
      <c r="BT20" s="69" t="str">
        <f ca="1">IF(AND($C20="Goal",BT$8&gt;=$G20,BT$8&lt;=$G20+$H20-1),2,IF(AND($C20="Milestone",BT$8&gt;=$G20,BT$8&lt;=$G20+$H20-1),1,""))</f>
        <v/>
      </c>
      <c r="BU20" s="69" t="str">
        <f ca="1">IF(AND($C20="Goal",BU$8&gt;=$G20,BU$8&lt;=$G20+$H20-1),2,IF(AND($C20="Milestone",BU$8&gt;=$G20,BU$8&lt;=$G20+$H20-1),1,""))</f>
        <v/>
      </c>
      <c r="BV20" s="69" t="str">
        <f ca="1">IF(AND($C20="Goal",BV$8&gt;=$G20,BV$8&lt;=$G20+$H20-1),2,IF(AND($C20="Milestone",BV$8&gt;=$G20,BV$8&lt;=$G20+$H20-1),1,""))</f>
        <v/>
      </c>
      <c r="BW20" s="69" t="str">
        <f ca="1">IF(AND($C20="Goal",BW$8&gt;=$G20,BW$8&lt;=$G20+$H20-1),2,IF(AND($C20="Milestone",BW$8&gt;=$G20,BW$8&lt;=$G20+$H20-1),1,""))</f>
        <v/>
      </c>
      <c r="BX20" s="69" t="str">
        <f ca="1">IF(AND($C20="Goal",BX$8&gt;=$G20,BX$8&lt;=$G20+$H20-1),2,IF(AND($C20="Milestone",BX$8&gt;=$G20,BX$8&lt;=$G20+$H20-1),1,""))</f>
        <v/>
      </c>
      <c r="BY20" s="69" t="str">
        <f ca="1">IF(AND($C20="Goal",BY$8&gt;=$G20,BY$8&lt;=$G20+$H20-1),2,IF(AND($C20="Milestone",BY$8&gt;=$G20,BY$8&lt;=$G20+$H20-1),1,""))</f>
        <v/>
      </c>
      <c r="BZ20" s="69" t="str">
        <f ca="1">IF(AND($C20="Goal",BZ$8&gt;=$G20,BZ$8&lt;=$G20+$H20-1),2,IF(AND($C20="Milestone",BZ$8&gt;=$G20,BZ$8&lt;=$G20+$H20-1),1,""))</f>
        <v/>
      </c>
      <c r="CA20" s="69" t="str">
        <f ca="1">IF(AND($C20="Goal",CA$8&gt;=$G20,CA$8&lt;=$G20+$H20-1),2,IF(AND($C20="Milestone",CA$8&gt;=$G20,CA$8&lt;=$G20+$H20-1),1,""))</f>
        <v/>
      </c>
      <c r="CB20" s="69" t="str">
        <f ca="1">IF(AND($C20="Goal",CB$8&gt;=$G20,CB$8&lt;=$G20+$H20-1),2,IF(AND($C20="Milestone",CB$8&gt;=$G20,CB$8&lt;=$G20+$H20-1),1,""))</f>
        <v/>
      </c>
      <c r="CC20" s="69" t="str">
        <f ca="1">IF(AND($C20="Goal",CC$8&gt;=$G20,CC$8&lt;=$G20+$H20-1),2,IF(AND($C20="Milestone",CC$8&gt;=$G20,CC$8&lt;=$G20+$H20-1),1,""))</f>
        <v/>
      </c>
      <c r="CD20" s="69" t="str">
        <f ca="1">IF(AND($C20="Goal",CD$8&gt;=$G20,CD$8&lt;=$G20+$H20-1),2,IF(AND($C20="Milestone",CD$8&gt;=$G20,CD$8&lt;=$G20+$H20-1),1,""))</f>
        <v/>
      </c>
      <c r="CE20" s="69" t="str">
        <f ca="1">IF(AND($C20="Goal",CE$8&gt;=$G20,CE$8&lt;=$G20+$H20-1),2,IF(AND($C20="Milestone",CE$8&gt;=$G20,CE$8&lt;=$G20+$H20-1),1,""))</f>
        <v/>
      </c>
      <c r="CF20" s="69" t="str">
        <f ca="1">IF(AND($C20="Goal",CF$8&gt;=$G20,CF$8&lt;=$G20+$H20-1),2,IF(AND($C20="Milestone",CF$8&gt;=$G20,CF$8&lt;=$G20+$H20-1),1,""))</f>
        <v/>
      </c>
      <c r="CG20" s="69" t="str">
        <f ca="1">IF(AND($C20="Goal",CG$8&gt;=$G20,CG$8&lt;=$G20+$H20-1),2,IF(AND($C20="Milestone",CG$8&gt;=$G20,CG$8&lt;=$G20+$H20-1),1,""))</f>
        <v/>
      </c>
      <c r="CH20" s="69" t="str">
        <f ca="1">IF(AND($C20="Goal",CH$8&gt;=$G20,CH$8&lt;=$G20+$H20-1),2,IF(AND($C20="Milestone",CH$8&gt;=$G20,CH$8&lt;=$G20+$H20-1),1,""))</f>
        <v/>
      </c>
      <c r="CI20" s="69" t="str">
        <f ca="1">IF(AND($C20="Goal",CI$8&gt;=$G20,CI$8&lt;=$G20+$H20-1),2,IF(AND($C20="Milestone",CI$8&gt;=$G20,CI$8&lt;=$G20+$H20-1),1,""))</f>
        <v/>
      </c>
      <c r="CJ20" s="69" t="str">
        <f ca="1">IF(AND($C20="Goal",CJ$8&gt;=$G20,CJ$8&lt;=$G20+$H20-1),2,IF(AND($C20="Milestone",CJ$8&gt;=$G20,CJ$8&lt;=$G20+$H20-1),1,""))</f>
        <v/>
      </c>
      <c r="CK20" s="69" t="str">
        <f ca="1">IF(AND($C20="Goal",CK$8&gt;=$G20,CK$8&lt;=$G20+$H20-1),2,IF(AND($C20="Milestone",CK$8&gt;=$G20,CK$8&lt;=$G20+$H20-1),1,""))</f>
        <v/>
      </c>
      <c r="CL20" s="69" t="str">
        <f ca="1">IF(AND($C20="Goal",CL$8&gt;=$G20,CL$8&lt;=$G20+$H20-1),2,IF(AND($C20="Milestone",CL$8&gt;=$G20,CL$8&lt;=$G20+$H20-1),1,""))</f>
        <v/>
      </c>
      <c r="CM20" s="69" t="str">
        <f ca="1">IF(AND($C20="Goal",CM$8&gt;=$G20,CM$8&lt;=$G20+$H20-1),2,IF(AND($C20="Milestone",CM$8&gt;=$G20,CM$8&lt;=$G20+$H20-1),1,""))</f>
        <v/>
      </c>
      <c r="CN20" s="69" t="str">
        <f ca="1">IF(AND($C20="Goal",CN$8&gt;=$G20,CN$8&lt;=$G20+$H20-1),2,IF(AND($C20="Milestone",CN$8&gt;=$G20,CN$8&lt;=$G20+$H20-1),1,""))</f>
        <v/>
      </c>
      <c r="CO20" s="69" t="str">
        <f ca="1">IF(AND($C20="Goal",CO$8&gt;=$G20,CO$8&lt;=$G20+$H20-1),2,IF(AND($C20="Milestone",CO$8&gt;=$G20,CO$8&lt;=$G20+$H20-1),1,""))</f>
        <v/>
      </c>
      <c r="CP20" s="69" t="str">
        <f ca="1">IF(AND($C20="Goal",CP$8&gt;=$G20,CP$8&lt;=$G20+$H20-1),2,IF(AND($C20="Milestone",CP$8&gt;=$G20,CP$8&lt;=$G20+$H20-1),1,""))</f>
        <v/>
      </c>
      <c r="CQ20" s="69" t="str">
        <f ca="1">IF(AND($C20="Goal",CQ$8&gt;=$G20,CQ$8&lt;=$G20+$H20-1),2,IF(AND($C20="Milestone",CQ$8&gt;=$G20,CQ$8&lt;=$G20+$H20-1),1,""))</f>
        <v/>
      </c>
      <c r="CR20" s="69" t="str">
        <f ca="1">IF(AND($C20="Goal",CR$8&gt;=$G20,CR$8&lt;=$G20+$H20-1),2,IF(AND($C20="Milestone",CR$8&gt;=$G20,CR$8&lt;=$G20+$H20-1),1,""))</f>
        <v/>
      </c>
      <c r="CS20" s="69" t="str">
        <f ca="1">IF(AND($C20="Goal",CS$8&gt;=$G20,CS$8&lt;=$G20+$H20-1),2,IF(AND($C20="Milestone",CS$8&gt;=$G20,CS$8&lt;=$G20+$H20-1),1,""))</f>
        <v/>
      </c>
      <c r="CT20" s="69" t="str">
        <f ca="1">IF(AND($C20="Goal",CT$8&gt;=$G20,CT$8&lt;=$G20+$H20-1),2,IF(AND($C20="Milestone",CT$8&gt;=$G20,CT$8&lt;=$G20+$H20-1),1,""))</f>
        <v/>
      </c>
      <c r="CU20" s="69" t="str">
        <f ca="1">IF(AND($C20="Goal",CU$8&gt;=$G20,CU$8&lt;=$G20+$H20-1),2,IF(AND($C20="Milestone",CU$8&gt;=$G20,CU$8&lt;=$G20+$H20-1),1,""))</f>
        <v/>
      </c>
      <c r="CV20" s="69" t="str">
        <f ca="1">IF(AND($C20="Goal",CV$8&gt;=$G20,CV$8&lt;=$G20+$H20-1),2,IF(AND($C20="Milestone",CV$8&gt;=$G20,CV$8&lt;=$G20+$H20-1),1,""))</f>
        <v/>
      </c>
      <c r="CW20" s="69" t="str">
        <f ca="1">IF(AND($C20="Goal",CW$8&gt;=$G20,CW$8&lt;=$G20+$H20-1),2,IF(AND($C20="Milestone",CW$8&gt;=$G20,CW$8&lt;=$G20+$H20-1),1,""))</f>
        <v/>
      </c>
      <c r="CX20" s="69" t="str">
        <f ca="1">IF(AND($C20="Goal",CX$8&gt;=$G20,CX$8&lt;=$G20+$H20-1),2,IF(AND($C20="Milestone",CX$8&gt;=$G20,CX$8&lt;=$G20+$H20-1),1,""))</f>
        <v/>
      </c>
      <c r="CY20" s="69" t="str">
        <f ca="1">IF(AND($C20="Goal",CY$8&gt;=$G20,CY$8&lt;=$G20+$H20-1),2,IF(AND($C20="Milestone",CY$8&gt;=$G20,CY$8&lt;=$G20+$H20-1),1,""))</f>
        <v/>
      </c>
      <c r="CZ20" s="69" t="str">
        <f ca="1">IF(AND($C20="Goal",CZ$8&gt;=$G20,CZ$8&lt;=$G20+$H20-1),2,IF(AND($C20="Milestone",CZ$8&gt;=$G20,CZ$8&lt;=$G20+$H20-1),1,""))</f>
        <v/>
      </c>
      <c r="DA20" s="69" t="str">
        <f ca="1">IF(AND($C20="Goal",DA$8&gt;=$G20,DA$8&lt;=$G20+$H20-1),2,IF(AND($C20="Milestone",DA$8&gt;=$G20,DA$8&lt;=$G20+$H20-1),1,""))</f>
        <v/>
      </c>
      <c r="DB20" s="69" t="str">
        <f ca="1">IF(AND($C20="Goal",DB$8&gt;=$G20,DB$8&lt;=$G20+$H20-1),2,IF(AND($C20="Milestone",DB$8&gt;=$G20,DB$8&lt;=$G20+$H20-1),1,""))</f>
        <v/>
      </c>
      <c r="DC20" s="69" t="str">
        <f ca="1">IF(AND($C20="Goal",DC$8&gt;=$G20,DC$8&lt;=$G20+$H20-1),2,IF(AND($C20="Milestone",DC$8&gt;=$G20,DC$8&lt;=$G20+$H20-1),1,""))</f>
        <v/>
      </c>
      <c r="DD20" s="69" t="str">
        <f ca="1">IF(AND($C20="Goal",DD$8&gt;=$G20,DD$8&lt;=$G20+$H20-1),2,IF(AND($C20="Milestone",DD$8&gt;=$G20,DD$8&lt;=$G20+$H20-1),1,""))</f>
        <v/>
      </c>
      <c r="DE20" s="69" t="str">
        <f ca="1">IF(AND($C20="Goal",DE$8&gt;=$G20,DE$8&lt;=$G20+$H20-1),2,IF(AND($C20="Milestone",DE$8&gt;=$G20,DE$8&lt;=$G20+$H20-1),1,""))</f>
        <v/>
      </c>
      <c r="DF20" s="69" t="str">
        <f ca="1">IF(AND($C20="Goal",DF$8&gt;=$G20,DF$8&lt;=$G20+$H20-1),2,IF(AND($C20="Milestone",DF$8&gt;=$G20,DF$8&lt;=$G20+$H20-1),1,""))</f>
        <v/>
      </c>
      <c r="DG20" s="69" t="str">
        <f ca="1">IF(AND($C20="Goal",DG$8&gt;=$G20,DG$8&lt;=$G20+$H20-1),2,IF(AND($C20="Milestone",DG$8&gt;=$G20,DG$8&lt;=$G20+$H20-1),1,""))</f>
        <v/>
      </c>
      <c r="DH20" s="69" t="str">
        <f ca="1">IF(AND($C20="Goal",DH$8&gt;=$G20,DH$8&lt;=$G20+$H20-1),2,IF(AND($C20="Milestone",DH$8&gt;=$G20,DH$8&lt;=$G20+$H20-1),1,""))</f>
        <v/>
      </c>
      <c r="DI20" s="69" t="str">
        <f ca="1">IF(AND($C20="Goal",DI$8&gt;=$G20,DI$8&lt;=$G20+$H20-1),2,IF(AND($C20="Milestone",DI$8&gt;=$G20,DI$8&lt;=$G20+$H20-1),1,""))</f>
        <v/>
      </c>
      <c r="DJ20" s="69" t="str">
        <f ca="1">IF(AND($C20="Goal",DJ$8&gt;=$G20,DJ$8&lt;=$G20+$H20-1),2,IF(AND($C20="Milestone",DJ$8&gt;=$G20,DJ$8&lt;=$G20+$H20-1),1,""))</f>
        <v/>
      </c>
      <c r="DK20" s="69" t="str">
        <f ca="1">IF(AND($C20="Goal",DK$8&gt;=$G20,DK$8&lt;=$G20+$H20-1),2,IF(AND($C20="Milestone",DK$8&gt;=$G20,DK$8&lt;=$G20+$H20-1),1,""))</f>
        <v/>
      </c>
      <c r="DL20" s="69" t="str">
        <f ca="1">IF(AND($C20="Goal",DL$8&gt;=$G20,DL$8&lt;=$G20+$H20-1),2,IF(AND($C20="Milestone",DL$8&gt;=$G20,DL$8&lt;=$G20+$H20-1),1,""))</f>
        <v/>
      </c>
      <c r="DM20" s="69" t="str">
        <f ca="1">IF(AND($C20="Goal",DM$8&gt;=$G20,DM$8&lt;=$G20+$H20-1),2,IF(AND($C20="Milestone",DM$8&gt;=$G20,DM$8&lt;=$G20+$H20-1),1,""))</f>
        <v/>
      </c>
      <c r="DN20" s="69" t="str">
        <f ca="1">IF(AND($C20="Goal",DN$8&gt;=$G20,DN$8&lt;=$G20+$H20-1),2,IF(AND($C20="Milestone",DN$8&gt;=$G20,DN$8&lt;=$G20+$H20-1),1,""))</f>
        <v/>
      </c>
      <c r="DO20" s="69" t="str">
        <f ca="1">IF(AND($C20="Goal",DO$8&gt;=$G20,DO$8&lt;=$G20+$H20-1),2,IF(AND($C20="Milestone",DO$8&gt;=$G20,DO$8&lt;=$G20+$H20-1),1,""))</f>
        <v/>
      </c>
      <c r="DP20" s="69" t="str">
        <f ca="1">IF(AND($C20="Goal",DP$8&gt;=$G20,DP$8&lt;=$G20+$H20-1),2,IF(AND($C20="Milestone",DP$8&gt;=$G20,DP$8&lt;=$G20+$H20-1),1,""))</f>
        <v/>
      </c>
      <c r="DQ20" s="69" t="str">
        <f ca="1">IF(AND($C20="Goal",DQ$8&gt;=$G20,DQ$8&lt;=$G20+$H20-1),2,IF(AND($C20="Milestone",DQ$8&gt;=$G20,DQ$8&lt;=$G20+$H20-1),1,""))</f>
        <v/>
      </c>
      <c r="DR20" s="69" t="str">
        <f ca="1">IF(AND($C20="Goal",DR$8&gt;=$G20,DR$8&lt;=$G20+$H20-1),2,IF(AND($C20="Milestone",DR$8&gt;=$G20,DR$8&lt;=$G20+$H20-1),1,""))</f>
        <v/>
      </c>
      <c r="DS20" s="69" t="str">
        <f ca="1">IF(AND($C20="Goal",DS$8&gt;=$G20,DS$8&lt;=$G20+$H20-1),2,IF(AND($C20="Milestone",DS$8&gt;=$G20,DS$8&lt;=$G20+$H20-1),1,""))</f>
        <v/>
      </c>
      <c r="DT20" s="69" t="str">
        <f ca="1">IF(AND($C20="Goal",DT$8&gt;=$G20,DT$8&lt;=$G20+$H20-1),2,IF(AND($C20="Milestone",DT$8&gt;=$G20,DT$8&lt;=$G20+$H20-1),1,""))</f>
        <v/>
      </c>
      <c r="DU20" s="69" t="str">
        <f ca="1">IF(AND($C20="Goal",DU$8&gt;=$G20,DU$8&lt;=$G20+$H20-1),2,IF(AND($C20="Milestone",DU$8&gt;=$G20,DU$8&lt;=$G20+$H20-1),1,""))</f>
        <v/>
      </c>
      <c r="DV20" s="69" t="str">
        <f ca="1">IF(AND($C20="Goal",DV$8&gt;=$G20,DV$8&lt;=$G20+$H20-1),2,IF(AND($C20="Milestone",DV$8&gt;=$G20,DV$8&lt;=$G20+$H20-1),1,""))</f>
        <v/>
      </c>
      <c r="DW20" s="69" t="str">
        <f ca="1">IF(AND($C20="Goal",DW$8&gt;=$G20,DW$8&lt;=$G20+$H20-1),2,IF(AND($C20="Milestone",DW$8&gt;=$G20,DW$8&lt;=$G20+$H20-1),1,""))</f>
        <v/>
      </c>
      <c r="DX20" s="69" t="str">
        <f ca="1">IF(AND($C20="Goal",DX$8&gt;=$G20,DX$8&lt;=$G20+$H20-1),2,IF(AND($C20="Milestone",DX$8&gt;=$G20,DX$8&lt;=$G20+$H20-1),1,""))</f>
        <v/>
      </c>
      <c r="DY20" s="69" t="str">
        <f ca="1">IF(AND($C20="Goal",DY$8&gt;=$G20,DY$8&lt;=$G20+$H20-1),2,IF(AND($C20="Milestone",DY$8&gt;=$G20,DY$8&lt;=$G20+$H20-1),1,""))</f>
        <v/>
      </c>
      <c r="DZ20" s="69" t="str">
        <f ca="1">IF(AND($C20="Goal",DZ$8&gt;=$G20,DZ$8&lt;=$G20+$H20-1),2,IF(AND($C20="Milestone",DZ$8&gt;=$G20,DZ$8&lt;=$G20+$H20-1),1,""))</f>
        <v/>
      </c>
      <c r="EA20" s="69" t="str">
        <f ca="1">IF(AND($C20="Goal",EA$8&gt;=$G20,EA$8&lt;=$G20+$H20-1),2,IF(AND($C20="Milestone",EA$8&gt;=$G20,EA$8&lt;=$G20+$H20-1),1,""))</f>
        <v/>
      </c>
      <c r="EB20" s="69" t="str">
        <f ca="1">IF(AND($C20="Goal",EB$8&gt;=$G20,EB$8&lt;=$G20+$H20-1),2,IF(AND($C20="Milestone",EB$8&gt;=$G20,EB$8&lt;=$G20+$H20-1),1,""))</f>
        <v/>
      </c>
      <c r="EC20" s="69" t="str">
        <f ca="1">IF(AND($C20="Goal",EC$8&gt;=$G20,EC$8&lt;=$G20+$H20-1),2,IF(AND($C20="Milestone",EC$8&gt;=$G20,EC$8&lt;=$G20+$H20-1),1,""))</f>
        <v/>
      </c>
      <c r="ED20" s="69" t="str">
        <f ca="1">IF(AND($C20="Goal",ED$8&gt;=$G20,ED$8&lt;=$G20+$H20-1),2,IF(AND($C20="Milestone",ED$8&gt;=$G20,ED$8&lt;=$G20+$H20-1),1,""))</f>
        <v/>
      </c>
      <c r="EE20" s="69" t="str">
        <f ca="1">IF(AND($C20="Goal",EE$8&gt;=$G20,EE$8&lt;=$G20+$H20-1),2,IF(AND($C20="Milestone",EE$8&gt;=$G20,EE$8&lt;=$G20+$H20-1),1,""))</f>
        <v/>
      </c>
      <c r="EF20" s="69" t="str">
        <f ca="1">IF(AND($C20="Goal",EF$8&gt;=$G20,EF$8&lt;=$G20+$H20-1),2,IF(AND($C20="Milestone",EF$8&gt;=$G20,EF$8&lt;=$G20+$H20-1),1,""))</f>
        <v/>
      </c>
      <c r="EG20" s="69" t="str">
        <f ca="1">IF(AND($C20="Goal",EG$8&gt;=$G20,EG$8&lt;=$G20+$H20-1),2,IF(AND($C20="Milestone",EG$8&gt;=$G20,EG$8&lt;=$G20+$H20-1),1,""))</f>
        <v/>
      </c>
      <c r="EH20" s="69" t="str">
        <f ca="1">IF(AND($C20="Goal",EH$8&gt;=$G20,EH$8&lt;=$G20+$H20-1),2,IF(AND($C20="Milestone",EH$8&gt;=$G20,EH$8&lt;=$G20+$H20-1),1,""))</f>
        <v/>
      </c>
      <c r="EI20" s="69" t="str">
        <f ca="1">IF(AND($C20="Goal",EI$8&gt;=$G20,EI$8&lt;=$G20+$H20-1),2,IF(AND($C20="Milestone",EI$8&gt;=$G20,EI$8&lt;=$G20+$H20-1),1,""))</f>
        <v/>
      </c>
      <c r="EJ20" s="69" t="str">
        <f ca="1">IF(AND($C20="Goal",EJ$8&gt;=$G20,EJ$8&lt;=$G20+$H20-1),2,IF(AND($C20="Milestone",EJ$8&gt;=$G20,EJ$8&lt;=$G20+$H20-1),1,""))</f>
        <v/>
      </c>
      <c r="EK20" s="69" t="str">
        <f ca="1">IF(AND($C20="Goal",EK$8&gt;=$G20,EK$8&lt;=$G20+$H20-1),2,IF(AND($C20="Milestone",EK$8&gt;=$G20,EK$8&lt;=$G20+$H20-1),1,""))</f>
        <v/>
      </c>
      <c r="EL20" s="69" t="str">
        <f ca="1">IF(AND($C20="Goal",EL$8&gt;=$G20,EL$8&lt;=$G20+$H20-1),2,IF(AND($C20="Milestone",EL$8&gt;=$G20,EL$8&lt;=$G20+$H20-1),1,""))</f>
        <v/>
      </c>
      <c r="EM20" s="69" t="str">
        <f ca="1">IF(AND($C20="Goal",EM$8&gt;=$G20,EM$8&lt;=$G20+$H20-1),2,IF(AND($C20="Milestone",EM$8&gt;=$G20,EM$8&lt;=$G20+$H20-1),1,""))</f>
        <v/>
      </c>
      <c r="EN20" s="69" t="str">
        <f ca="1">IF(AND($C20="Goal",EN$8&gt;=$G20,EN$8&lt;=$G20+$H20-1),2,IF(AND($C20="Milestone",EN$8&gt;=$G20,EN$8&lt;=$G20+$H20-1),1,""))</f>
        <v/>
      </c>
      <c r="EO20" s="69" t="str">
        <f ca="1">IF(AND($C20="Goal",EO$8&gt;=$G20,EO$8&lt;=$G20+$H20-1),2,IF(AND($C20="Milestone",EO$8&gt;=$G20,EO$8&lt;=$G20+$H20-1),1,""))</f>
        <v/>
      </c>
      <c r="EP20" s="69" t="str">
        <f ca="1">IF(AND($C20="Goal",EP$8&gt;=$G20,EP$8&lt;=$G20+$H20-1),2,IF(AND($C20="Milestone",EP$8&gt;=$G20,EP$8&lt;=$G20+$H20-1),1,""))</f>
        <v/>
      </c>
      <c r="EQ20" s="69" t="str">
        <f ca="1">IF(AND($C20="Goal",EQ$8&gt;=$G20,EQ$8&lt;=$G20+$H20-1),2,IF(AND($C20="Milestone",EQ$8&gt;=$G20,EQ$8&lt;=$G20+$H20-1),1,""))</f>
        <v/>
      </c>
      <c r="ER20" s="69" t="str">
        <f ca="1">IF(AND($C20="Goal",ER$8&gt;=$G20,ER$8&lt;=$G20+$H20-1),2,IF(AND($C20="Milestone",ER$8&gt;=$G20,ER$8&lt;=$G20+$H20-1),1,""))</f>
        <v/>
      </c>
      <c r="ES20" s="69" t="str">
        <f ca="1">IF(AND($C20="Goal",ES$8&gt;=$G20,ES$8&lt;=$G20+$H20-1),2,IF(AND($C20="Milestone",ES$8&gt;=$G20,ES$8&lt;=$G20+$H20-1),1,""))</f>
        <v/>
      </c>
      <c r="ET20" s="69" t="str">
        <f ca="1">IF(AND($C20="Goal",ET$8&gt;=$G20,ET$8&lt;=$G20+$H20-1),2,IF(AND($C20="Milestone",ET$8&gt;=$G20,ET$8&lt;=$G20+$H20-1),1,""))</f>
        <v/>
      </c>
      <c r="EU20" s="69" t="str">
        <f ca="1">IF(AND($C20="Goal",EU$8&gt;=$G20,EU$8&lt;=$G20+$H20-1),2,IF(AND($C20="Milestone",EU$8&gt;=$G20,EU$8&lt;=$G20+$H20-1),1,""))</f>
        <v/>
      </c>
      <c r="EV20" s="69" t="str">
        <f ca="1">IF(AND($C20="Goal",EV$8&gt;=$G20,EV$8&lt;=$G20+$H20-1),2,IF(AND($C20="Milestone",EV$8&gt;=$G20,EV$8&lt;=$G20+$H20-1),1,""))</f>
        <v/>
      </c>
      <c r="EW20" s="69" t="str">
        <f ca="1">IF(AND($C20="Goal",EW$8&gt;=$G20,EW$8&lt;=$G20+$H20-1),2,IF(AND($C20="Milestone",EW$8&gt;=$G20,EW$8&lt;=$G20+$H20-1),1,""))</f>
        <v/>
      </c>
      <c r="EX20" s="69" t="str">
        <f ca="1">IF(AND($C20="Goal",EX$8&gt;=$G20,EX$8&lt;=$G20+$H20-1),2,IF(AND($C20="Milestone",EX$8&gt;=$G20,EX$8&lt;=$G20+$H20-1),1,""))</f>
        <v/>
      </c>
      <c r="EY20" s="69" t="str">
        <f ca="1">IF(AND($C20="Goal",EY$8&gt;=$G20,EY$8&lt;=$G20+$H20-1),2,IF(AND($C20="Milestone",EY$8&gt;=$G20,EY$8&lt;=$G20+$H20-1),1,""))</f>
        <v/>
      </c>
      <c r="EZ20" s="69" t="str">
        <f ca="1">IF(AND($C20="Goal",EZ$8&gt;=$G20,EZ$8&lt;=$G20+$H20-1),2,IF(AND($C20="Milestone",EZ$8&gt;=$G20,EZ$8&lt;=$G20+$H20-1),1,""))</f>
        <v/>
      </c>
      <c r="FA20" s="69" t="str">
        <f ca="1">IF(AND($C20="Goal",FA$8&gt;=$G20,FA$8&lt;=$G20+$H20-1),2,IF(AND($C20="Milestone",FA$8&gt;=$G20,FA$8&lt;=$G20+$H20-1),1,""))</f>
        <v/>
      </c>
      <c r="FB20" s="69" t="str">
        <f ca="1">IF(AND($C20="Goal",FB$8&gt;=$G20,FB$8&lt;=$G20+$H20-1),2,IF(AND($C20="Milestone",FB$8&gt;=$G20,FB$8&lt;=$G20+$H20-1),1,""))</f>
        <v/>
      </c>
      <c r="FC20" s="69" t="str">
        <f ca="1">IF(AND($C20="Goal",FC$8&gt;=$G20,FC$8&lt;=$G20+$H20-1),2,IF(AND($C20="Milestone",FC$8&gt;=$G20,FC$8&lt;=$G20+$H20-1),1,""))</f>
        <v/>
      </c>
      <c r="FD20" s="69" t="str">
        <f ca="1">IF(AND($C20="Goal",FD$8&gt;=$G20,FD$8&lt;=$G20+$H20-1),2,IF(AND($C20="Milestone",FD$8&gt;=$G20,FD$8&lt;=$G20+$H20-1),1,""))</f>
        <v/>
      </c>
      <c r="FE20" s="69" t="str">
        <f ca="1">IF(AND($C20="Goal",FE$8&gt;=$G20,FE$8&lt;=$G20+$H20-1),2,IF(AND($C20="Milestone",FE$8&gt;=$G20,FE$8&lt;=$G20+$H20-1),1,""))</f>
        <v/>
      </c>
      <c r="FF20" s="69" t="str">
        <f ca="1">IF(AND($C20="Goal",FF$8&gt;=$G20,FF$8&lt;=$G20+$H20-1),2,IF(AND($C20="Milestone",FF$8&gt;=$G20,FF$8&lt;=$G20+$H20-1),1,""))</f>
        <v/>
      </c>
      <c r="FG20" s="69" t="str">
        <f ca="1">IF(AND($C20="Goal",FG$8&gt;=$G20,FG$8&lt;=$G20+$H20-1),2,IF(AND($C20="Milestone",FG$8&gt;=$G20,FG$8&lt;=$G20+$H20-1),1,""))</f>
        <v/>
      </c>
      <c r="FH20" s="69" t="str">
        <f ca="1">IF(AND($C20="Goal",FH$8&gt;=$G20,FH$8&lt;=$G20+$H20-1),2,IF(AND($C20="Milestone",FH$8&gt;=$G20,FH$8&lt;=$G20+$H20-1),1,""))</f>
        <v/>
      </c>
      <c r="FI20" s="69" t="str">
        <f ca="1">IF(AND($C20="Goal",FI$8&gt;=$G20,FI$8&lt;=$G20+$H20-1),2,IF(AND($C20="Milestone",FI$8&gt;=$G20,FI$8&lt;=$G20+$H20-1),1,""))</f>
        <v/>
      </c>
      <c r="FJ20" s="69" t="str">
        <f ca="1">IF(AND($C20="Goal",FJ$8&gt;=$G20,FJ$8&lt;=$G20+$H20-1),2,IF(AND($C20="Milestone",FJ$8&gt;=$G20,FJ$8&lt;=$G20+$H20-1),1,""))</f>
        <v/>
      </c>
      <c r="FK20" s="69" t="str">
        <f ca="1">IF(AND($C20="Goal",FK$8&gt;=$G20,FK$8&lt;=$G20+$H20-1),2,IF(AND($C20="Milestone",FK$8&gt;=$G20,FK$8&lt;=$G20+$H20-1),1,""))</f>
        <v/>
      </c>
      <c r="FL20" s="69" t="str">
        <f ca="1">IF(AND($C20="Goal",FL$8&gt;=$G20,FL$8&lt;=$G20+$H20-1),2,IF(AND($C20="Milestone",FL$8&gt;=$G20,FL$8&lt;=$G20+$H20-1),1,""))</f>
        <v/>
      </c>
      <c r="FM20" s="69" t="str">
        <f ca="1">IF(AND($C20="Goal",FM$8&gt;=$G20,FM$8&lt;=$G20+$H20-1),2,IF(AND($C20="Milestone",FM$8&gt;=$G20,FM$8&lt;=$G20+$H20-1),1,""))</f>
        <v/>
      </c>
      <c r="FN20" s="69" t="str">
        <f ca="1">IF(AND($C20="Goal",FN$8&gt;=$G20,FN$8&lt;=$G20+$H20-1),2,IF(AND($C20="Milestone",FN$8&gt;=$G20,FN$8&lt;=$G20+$H20-1),1,""))</f>
        <v/>
      </c>
      <c r="FO20" s="69" t="str">
        <f ca="1">IF(AND($C20="Goal",FO$8&gt;=$G20,FO$8&lt;=$G20+$H20-1),2,IF(AND($C20="Milestone",FO$8&gt;=$G20,FO$8&lt;=$G20+$H20-1),1,""))</f>
        <v/>
      </c>
      <c r="FP20" s="69" t="str">
        <f ca="1">IF(AND($C20="Goal",FP$8&gt;=$G20,FP$8&lt;=$G20+$H20-1),2,IF(AND($C20="Milestone",FP$8&gt;=$G20,FP$8&lt;=$G20+$H20-1),1,""))</f>
        <v/>
      </c>
      <c r="FQ20" s="69" t="str">
        <f ca="1">IF(AND($C20="Goal",FQ$8&gt;=$G20,FQ$8&lt;=$G20+$H20-1),2,IF(AND($C20="Milestone",FQ$8&gt;=$G20,FQ$8&lt;=$G20+$H20-1),1,""))</f>
        <v/>
      </c>
      <c r="FR20" s="69" t="str">
        <f ca="1">IF(AND($C20="Goal",FR$8&gt;=$G20,FR$8&lt;=$G20+$H20-1),2,IF(AND($C20="Milestone",FR$8&gt;=$G20,FR$8&lt;=$G20+$H20-1),1,""))</f>
        <v/>
      </c>
      <c r="FS20" s="69" t="str">
        <f ca="1">IF(AND($C20="Goal",FS$8&gt;=$G20,FS$8&lt;=$G20+$H20-1),2,IF(AND($C20="Milestone",FS$8&gt;=$G20,FS$8&lt;=$G20+$H20-1),1,""))</f>
        <v/>
      </c>
      <c r="FT20" s="69" t="str">
        <f ca="1">IF(AND($C20="Goal",FT$8&gt;=$G20,FT$8&lt;=$G20+$H20-1),2,IF(AND($C20="Milestone",FT$8&gt;=$G20,FT$8&lt;=$G20+$H20-1),1,""))</f>
        <v/>
      </c>
      <c r="FU20" s="69" t="str">
        <f ca="1">IF(AND($C20="Goal",FU$8&gt;=$G20,FU$8&lt;=$G20+$H20-1),2,IF(AND($C20="Milestone",FU$8&gt;=$G20,FU$8&lt;=$G20+$H20-1),1,""))</f>
        <v/>
      </c>
      <c r="FV20" s="69" t="str">
        <f ca="1">IF(AND($C20="Goal",FV$8&gt;=$G20,FV$8&lt;=$G20+$H20-1),2,IF(AND($C20="Milestone",FV$8&gt;=$G20,FV$8&lt;=$G20+$H20-1),1,""))</f>
        <v/>
      </c>
      <c r="FW20" s="69" t="str">
        <f ca="1">IF(AND($C20="Goal",FW$8&gt;=$G20,FW$8&lt;=$G20+$H20-1),2,IF(AND($C20="Milestone",FW$8&gt;=$G20,FW$8&lt;=$G20+$H20-1),1,""))</f>
        <v/>
      </c>
      <c r="FX20" s="69" t="str">
        <f ca="1">IF(AND($C20="Goal",FX$8&gt;=$G20,FX$8&lt;=$G20+$H20-1),2,IF(AND($C20="Milestone",FX$8&gt;=$G20,FX$8&lt;=$G20+$H20-1),1,""))</f>
        <v/>
      </c>
      <c r="FY20" s="69" t="str">
        <f ca="1">IF(AND($C20="Goal",FY$8&gt;=$G20,FY$8&lt;=$G20+$H20-1),2,IF(AND($C20="Milestone",FY$8&gt;=$G20,FY$8&lt;=$G20+$H20-1),1,""))</f>
        <v/>
      </c>
      <c r="FZ20" s="69" t="str">
        <f ca="1">IF(AND($C20="Goal",FZ$8&gt;=$G20,FZ$8&lt;=$G20+$H20-1),2,IF(AND($C20="Milestone",FZ$8&gt;=$G20,FZ$8&lt;=$G20+$H20-1),1,""))</f>
        <v/>
      </c>
      <c r="GA20" s="69" t="str">
        <f ca="1">IF(AND($C20="Goal",GA$8&gt;=$G20,GA$8&lt;=$G20+$H20-1),2,IF(AND($C20="Milestone",GA$8&gt;=$G20,GA$8&lt;=$G20+$H20-1),1,""))</f>
        <v/>
      </c>
      <c r="GB20" s="69" t="str">
        <f ca="1">IF(AND($C20="Goal",GB$8&gt;=$G20,GB$8&lt;=$G20+$H20-1),2,IF(AND($C20="Milestone",GB$8&gt;=$G20,GB$8&lt;=$G20+$H20-1),1,""))</f>
        <v/>
      </c>
      <c r="GC20" s="69" t="str">
        <f ca="1">IF(AND($C20="Goal",GC$8&gt;=$G20,GC$8&lt;=$G20+$H20-1),2,IF(AND($C20="Milestone",GC$8&gt;=$G20,GC$8&lt;=$G20+$H20-1),1,""))</f>
        <v/>
      </c>
      <c r="GD20" s="69" t="str">
        <f ca="1">IF(AND($C20="Goal",GD$8&gt;=$G20,GD$8&lt;=$G20+$H20-1),2,IF(AND($C20="Milestone",GD$8&gt;=$G20,GD$8&lt;=$G20+$H20-1),1,""))</f>
        <v/>
      </c>
      <c r="GE20" s="69" t="str">
        <f ca="1">IF(AND($C20="Goal",GE$8&gt;=$G20,GE$8&lt;=$G20+$H20-1),2,IF(AND($C20="Milestone",GE$8&gt;=$G20,GE$8&lt;=$G20+$H20-1),1,""))</f>
        <v/>
      </c>
      <c r="GF20" s="69" t="str">
        <f ca="1">IF(AND($C20="Goal",GF$8&gt;=$G20,GF$8&lt;=$G20+$H20-1),2,IF(AND($C20="Milestone",GF$8&gt;=$G20,GF$8&lt;=$G20+$H20-1),1,""))</f>
        <v/>
      </c>
      <c r="GG20" s="69" t="str">
        <f ca="1">IF(AND($C20="Goal",GG$8&gt;=$G20,GG$8&lt;=$G20+$H20-1),2,IF(AND($C20="Milestone",GG$8&gt;=$G20,GG$8&lt;=$G20+$H20-1),1,""))</f>
        <v/>
      </c>
      <c r="GH20" s="69" t="str">
        <f ca="1">IF(AND($C20="Goal",GH$8&gt;=$G20,GH$8&lt;=$G20+$H20-1),2,IF(AND($C20="Milestone",GH$8&gt;=$G20,GH$8&lt;=$G20+$H20-1),1,""))</f>
        <v/>
      </c>
      <c r="GI20" s="69" t="str">
        <f ca="1">IF(AND($C20="Goal",GI$8&gt;=$G20,GI$8&lt;=$G20+$H20-1),2,IF(AND($C20="Milestone",GI$8&gt;=$G20,GI$8&lt;=$G20+$H20-1),1,""))</f>
        <v/>
      </c>
      <c r="GJ20" s="69" t="str">
        <f ca="1">IF(AND($C20="Goal",GJ$8&gt;=$G20,GJ$8&lt;=$G20+$H20-1),2,IF(AND($C20="Milestone",GJ$8&gt;=$G20,GJ$8&lt;=$G20+$H20-1),1,""))</f>
        <v/>
      </c>
      <c r="GK20" s="69" t="str">
        <f ca="1">IF(AND($C20="Goal",GK$8&gt;=$G20,GK$8&lt;=$G20+$H20-1),2,IF(AND($C20="Milestone",GK$8&gt;=$G20,GK$8&lt;=$G20+$H20-1),1,""))</f>
        <v/>
      </c>
      <c r="GL20" s="69" t="str">
        <f ca="1">IF(AND($C20="Goal",GL$8&gt;=$G20,GL$8&lt;=$G20+$H20-1),2,IF(AND($C20="Milestone",GL$8&gt;=$G20,GL$8&lt;=$G20+$H20-1),1,""))</f>
        <v/>
      </c>
      <c r="GM20" s="69" t="str">
        <f ca="1">IF(AND($C20="Goal",GM$8&gt;=$G20,GM$8&lt;=$G20+$H20-1),2,IF(AND($C20="Milestone",GM$8&gt;=$G20,GM$8&lt;=$G20+$H20-1),1,""))</f>
        <v/>
      </c>
      <c r="GN20" s="69" t="str">
        <f ca="1">IF(AND($C20="Goal",GN$8&gt;=$G20,GN$8&lt;=$G20+$H20-1),2,IF(AND($C20="Milestone",GN$8&gt;=$G20,GN$8&lt;=$G20+$H20-1),1,""))</f>
        <v/>
      </c>
      <c r="GO20" s="69" t="str">
        <f ca="1">IF(AND($C20="Goal",GO$8&gt;=$G20,GO$8&lt;=$G20+$H20-1),2,IF(AND($C20="Milestone",GO$8&gt;=$G20,GO$8&lt;=$G20+$H20-1),1,""))</f>
        <v/>
      </c>
      <c r="GP20" s="69" t="str">
        <f ca="1">IF(AND($C20="Goal",GP$8&gt;=$G20,GP$8&lt;=$G20+$H20-1),2,IF(AND($C20="Milestone",GP$8&gt;=$G20,GP$8&lt;=$G20+$H20-1),1,""))</f>
        <v/>
      </c>
      <c r="GQ20" s="69" t="str">
        <f ca="1">IF(AND($C20="Goal",GQ$8&gt;=$G20,GQ$8&lt;=$G20+$H20-1),2,IF(AND($C20="Milestone",GQ$8&gt;=$G20,GQ$8&lt;=$G20+$H20-1),1,""))</f>
        <v/>
      </c>
      <c r="GR20" s="69" t="str">
        <f ca="1">IF(AND($C20="Goal",GR$8&gt;=$G20,GR$8&lt;=$G20+$H20-1),2,IF(AND($C20="Milestone",GR$8&gt;=$G20,GR$8&lt;=$G20+$H20-1),1,""))</f>
        <v/>
      </c>
      <c r="GS20" s="69" t="str">
        <f ca="1">IF(AND($C20="Goal",GS$8&gt;=$G20,GS$8&lt;=$G20+$H20-1),2,IF(AND($C20="Milestone",GS$8&gt;=$G20,GS$8&lt;=$G20+$H20-1),1,""))</f>
        <v/>
      </c>
      <c r="GT20" s="69" t="str">
        <f ca="1">IF(AND($C20="Goal",GT$8&gt;=$G20,GT$8&lt;=$G20+$H20-1),2,IF(AND($C20="Milestone",GT$8&gt;=$G20,GT$8&lt;=$G20+$H20-1),1,""))</f>
        <v/>
      </c>
      <c r="GU20" s="69" t="str">
        <f ca="1">IF(AND($C20="Goal",GU$8&gt;=$G20,GU$8&lt;=$G20+$H20-1),2,IF(AND($C20="Milestone",GU$8&gt;=$G20,GU$8&lt;=$G20+$H20-1),1,""))</f>
        <v/>
      </c>
      <c r="GV20" s="69" t="str">
        <f ca="1">IF(AND($C20="Goal",GV$8&gt;=$G20,GV$8&lt;=$G20+$H20-1),2,IF(AND($C20="Milestone",GV$8&gt;=$G20,GV$8&lt;=$G20+$H20-1),1,""))</f>
        <v/>
      </c>
      <c r="GW20" s="69" t="str">
        <f ca="1">IF(AND($C20="Goal",GW$8&gt;=$G20,GW$8&lt;=$G20+$H20-1),2,IF(AND($C20="Milestone",GW$8&gt;=$G20,GW$8&lt;=$G20+$H20-1),1,""))</f>
        <v/>
      </c>
      <c r="GX20" s="69" t="str">
        <f ca="1">IF(AND($C20="Goal",GX$8&gt;=$G20,GX$8&lt;=$G20+$H20-1),2,IF(AND($C20="Milestone",GX$8&gt;=$G20,GX$8&lt;=$G20+$H20-1),1,""))</f>
        <v/>
      </c>
      <c r="GY20" s="69" t="str">
        <f ca="1">IF(AND($C20="Goal",GY$8&gt;=$G20,GY$8&lt;=$G20+$H20-1),2,IF(AND($C20="Milestone",GY$8&gt;=$G20,GY$8&lt;=$G20+$H20-1),1,""))</f>
        <v/>
      </c>
      <c r="GZ20" s="69" t="str">
        <f ca="1">IF(AND($C20="Goal",GZ$8&gt;=$G20,GZ$8&lt;=$G20+$H20-1),2,IF(AND($C20="Milestone",GZ$8&gt;=$G20,GZ$8&lt;=$G20+$H20-1),1,""))</f>
        <v/>
      </c>
      <c r="HA20" s="69" t="str">
        <f ca="1">IF(AND($C20="Goal",HA$8&gt;=$G20,HA$8&lt;=$G20+$H20-1),2,IF(AND($C20="Milestone",HA$8&gt;=$G20,HA$8&lt;=$G20+$H20-1),1,""))</f>
        <v/>
      </c>
      <c r="HB20" s="69" t="str">
        <f ca="1">IF(AND($C20="Goal",HB$8&gt;=$G20,HB$8&lt;=$G20+$H20-1),2,IF(AND($C20="Milestone",HB$8&gt;=$G20,HB$8&lt;=$G20+$H20-1),1,""))</f>
        <v/>
      </c>
      <c r="HC20" s="69" t="str">
        <f ca="1">IF(AND($C20="Goal",HC$8&gt;=$G20,HC$8&lt;=$G20+$H20-1),2,IF(AND($C20="Milestone",HC$8&gt;=$G20,HC$8&lt;=$G20+$H20-1),1,""))</f>
        <v/>
      </c>
      <c r="HD20" s="69" t="str">
        <f ca="1">IF(AND($C20="Goal",HD$8&gt;=$G20,HD$8&lt;=$G20+$H20-1),2,IF(AND($C20="Milestone",HD$8&gt;=$G20,HD$8&lt;=$G20+$H20-1),1,""))</f>
        <v/>
      </c>
      <c r="HE20" s="69" t="str">
        <f ca="1">IF(AND($C20="Goal",HE$8&gt;=$G20,HE$8&lt;=$G20+$H20-1),2,IF(AND($C20="Milestone",HE$8&gt;=$G20,HE$8&lt;=$G20+$H20-1),1,""))</f>
        <v/>
      </c>
      <c r="HF20" s="69" t="str">
        <f ca="1">IF(AND($C20="Goal",HF$8&gt;=$G20,HF$8&lt;=$G20+$H20-1),2,IF(AND($C20="Milestone",HF$8&gt;=$G20,HF$8&lt;=$G20+$H20-1),1,""))</f>
        <v/>
      </c>
      <c r="HG20" s="69" t="str">
        <f ca="1">IF(AND($C20="Goal",HG$8&gt;=$G20,HG$8&lt;=$G20+$H20-1),2,IF(AND($C20="Milestone",HG$8&gt;=$G20,HG$8&lt;=$G20+$H20-1),1,""))</f>
        <v/>
      </c>
      <c r="HH20" s="69" t="str">
        <f ca="1">IF(AND($C20="Goal",HH$8&gt;=$G20,HH$8&lt;=$G20+$H20-1),2,IF(AND($C20="Milestone",HH$8&gt;=$G20,HH$8&lt;=$G20+$H20-1),1,""))</f>
        <v/>
      </c>
      <c r="HI20" s="69" t="str">
        <f ca="1">IF(AND($C20="Goal",HI$8&gt;=$G20,HI$8&lt;=$G20+$H20-1),2,IF(AND($C20="Milestone",HI$8&gt;=$G20,HI$8&lt;=$G20+$H20-1),1,""))</f>
        <v/>
      </c>
      <c r="HJ20" s="69" t="str">
        <f ca="1">IF(AND($C20="Goal",HJ$8&gt;=$G20,HJ$8&lt;=$G20+$H20-1),2,IF(AND($C20="Milestone",HJ$8&gt;=$G20,HJ$8&lt;=$G20+$H20-1),1,""))</f>
        <v/>
      </c>
      <c r="HK20" s="69" t="str">
        <f ca="1">IF(AND($C20="Goal",HK$8&gt;=$G20,HK$8&lt;=$G20+$H20-1),2,IF(AND($C20="Milestone",HK$8&gt;=$G20,HK$8&lt;=$G20+$H20-1),1,""))</f>
        <v/>
      </c>
      <c r="HL20" s="69" t="str">
        <f ca="1">IF(AND($C20="Goal",HL$8&gt;=$G20,HL$8&lt;=$G20+$H20-1),2,IF(AND($C20="Milestone",HL$8&gt;=$G20,HL$8&lt;=$G20+$H20-1),1,""))</f>
        <v/>
      </c>
      <c r="HM20" s="69" t="str">
        <f ca="1">IF(AND($C20="Goal",HM$8&gt;=$G20,HM$8&lt;=$G20+$H20-1),2,IF(AND($C20="Milestone",HM$8&gt;=$G20,HM$8&lt;=$G20+$H20-1),1,""))</f>
        <v/>
      </c>
      <c r="HN20" s="69" t="str">
        <f ca="1">IF(AND($C20="Goal",HN$8&gt;=$G20,HN$8&lt;=$G20+$H20-1),2,IF(AND($C20="Milestone",HN$8&gt;=$G20,HN$8&lt;=$G20+$H20-1),1,""))</f>
        <v/>
      </c>
      <c r="HO20" s="69" t="str">
        <f ca="1">IF(AND($C20="Goal",HO$8&gt;=$G20,HO$8&lt;=$G20+$H20-1),2,IF(AND($C20="Milestone",HO$8&gt;=$G20,HO$8&lt;=$G20+$H20-1),1,""))</f>
        <v/>
      </c>
      <c r="HP20" s="69" t="str">
        <f ca="1">IF(AND($C20="Goal",HP$8&gt;=$G20,HP$8&lt;=$G20+$H20-1),2,IF(AND($C20="Milestone",HP$8&gt;=$G20,HP$8&lt;=$G20+$H20-1),1,""))</f>
        <v/>
      </c>
      <c r="HQ20" s="69" t="str">
        <f ca="1">IF(AND($C20="Goal",HQ$8&gt;=$G20,HQ$8&lt;=$G20+$H20-1),2,IF(AND($C20="Milestone",HQ$8&gt;=$G20,HQ$8&lt;=$G20+$H20-1),1,""))</f>
        <v/>
      </c>
      <c r="HR20" s="69" t="str">
        <f ca="1">IF(AND($C20="Goal",HR$8&gt;=$G20,HR$8&lt;=$G20+$H20-1),2,IF(AND($C20="Milestone",HR$8&gt;=$G20,HR$8&lt;=$G20+$H20-1),1,""))</f>
        <v/>
      </c>
      <c r="HS20" s="69" t="str">
        <f ca="1">IF(AND($C20="Goal",HS$8&gt;=$G20,HS$8&lt;=$G20+$H20-1),2,IF(AND($C20="Milestone",HS$8&gt;=$G20,HS$8&lt;=$G20+$H20-1),1,""))</f>
        <v/>
      </c>
      <c r="HT20" s="69" t="str">
        <f ca="1">IF(AND($C20="Goal",HT$8&gt;=$G20,HT$8&lt;=$G20+$H20-1),2,IF(AND($C20="Milestone",HT$8&gt;=$G20,HT$8&lt;=$G20+$H20-1),1,""))</f>
        <v/>
      </c>
      <c r="HU20" s="69" t="str">
        <f ca="1">IF(AND($C20="Goal",HU$8&gt;=$G20,HU$8&lt;=$G20+$H20-1),2,IF(AND($C20="Milestone",HU$8&gt;=$G20,HU$8&lt;=$G20+$H20-1),1,""))</f>
        <v/>
      </c>
      <c r="HV20" s="69" t="str">
        <f ca="1">IF(AND($C20="Goal",HV$8&gt;=$G20,HV$8&lt;=$G20+$H20-1),2,IF(AND($C20="Milestone",HV$8&gt;=$G20,HV$8&lt;=$G20+$H20-1),1,""))</f>
        <v/>
      </c>
      <c r="HW20" s="69" t="str">
        <f ca="1">IF(AND($C20="Goal",HW$8&gt;=$G20,HW$8&lt;=$G20+$H20-1),2,IF(AND($C20="Milestone",HW$8&gt;=$G20,HW$8&lt;=$G20+$H20-1),1,""))</f>
        <v/>
      </c>
      <c r="HX20" s="69" t="str">
        <f ca="1">IF(AND($C20="Goal",HX$8&gt;=$G20,HX$8&lt;=$G20+$H20-1),2,IF(AND($C20="Milestone",HX$8&gt;=$G20,HX$8&lt;=$G20+$H20-1),1,""))</f>
        <v/>
      </c>
      <c r="HY20" s="69" t="str">
        <f ca="1">IF(AND($C20="Goal",HY$8&gt;=$G20,HY$8&lt;=$G20+$H20-1),2,IF(AND($C20="Milestone",HY$8&gt;=$G20,HY$8&lt;=$G20+$H20-1),1,""))</f>
        <v/>
      </c>
      <c r="HZ20" s="69" t="str">
        <f ca="1">IF(AND($C20="Goal",HZ$8&gt;=$G20,HZ$8&lt;=$G20+$H20-1),2,IF(AND($C20="Milestone",HZ$8&gt;=$G20,HZ$8&lt;=$G20+$H20-1),1,""))</f>
        <v/>
      </c>
      <c r="IA20" s="69" t="str">
        <f ca="1">IF(AND($C20="Goal",IA$8&gt;=$G20,IA$8&lt;=$G20+$H20-1),2,IF(AND($C20="Milestone",IA$8&gt;=$G20,IA$8&lt;=$G20+$H20-1),1,""))</f>
        <v/>
      </c>
      <c r="IB20" s="69" t="str">
        <f ca="1">IF(AND($C20="Goal",IB$8&gt;=$G20,IB$8&lt;=$G20+$H20-1),2,IF(AND($C20="Milestone",IB$8&gt;=$G20,IB$8&lt;=$G20+$H20-1),1,""))</f>
        <v/>
      </c>
      <c r="IC20" s="69" t="str">
        <f ca="1">IF(AND($C20="Goal",IC$8&gt;=$G20,IC$8&lt;=$G20+$H20-1),2,IF(AND($C20="Milestone",IC$8&gt;=$G20,IC$8&lt;=$G20+$H20-1),1,""))</f>
        <v/>
      </c>
      <c r="ID20" s="69" t="str">
        <f ca="1">IF(AND($C20="Goal",ID$8&gt;=$G20,ID$8&lt;=$G20+$H20-1),2,IF(AND($C20="Milestone",ID$8&gt;=$G20,ID$8&lt;=$G20+$H20-1),1,""))</f>
        <v/>
      </c>
      <c r="IE20" s="69" t="str">
        <f ca="1">IF(AND($C20="Goal",IE$8&gt;=$G20,IE$8&lt;=$G20+$H20-1),2,IF(AND($C20="Milestone",IE$8&gt;=$G20,IE$8&lt;=$G20+$H20-1),1,""))</f>
        <v/>
      </c>
      <c r="IF20" s="69" t="str">
        <f ca="1">IF(AND($C20="Goal",IF$8&gt;=$G20,IF$8&lt;=$G20+$H20-1),2,IF(AND($C20="Milestone",IF$8&gt;=$G20,IF$8&lt;=$G20+$H20-1),1,""))</f>
        <v/>
      </c>
      <c r="IG20" s="69" t="str">
        <f ca="1">IF(AND($C20="Goal",IG$8&gt;=$G20,IG$8&lt;=$G20+$H20-1),2,IF(AND($C20="Milestone",IG$8&gt;=$G20,IG$8&lt;=$G20+$H20-1),1,""))</f>
        <v/>
      </c>
      <c r="IH20" s="69" t="str">
        <f ca="1">IF(AND($C20="Goal",IH$8&gt;=$G20,IH$8&lt;=$G20+$H20-1),2,IF(AND($C20="Milestone",IH$8&gt;=$G20,IH$8&lt;=$G20+$H20-1),1,""))</f>
        <v/>
      </c>
      <c r="II20" s="69" t="str">
        <f ca="1">IF(AND($C20="Goal",II$8&gt;=$G20,II$8&lt;=$G20+$H20-1),2,IF(AND($C20="Milestone",II$8&gt;=$G20,II$8&lt;=$G20+$H20-1),1,""))</f>
        <v/>
      </c>
      <c r="IJ20" s="69" t="str">
        <f ca="1">IF(AND($C20="Goal",IJ$8&gt;=$G20,IJ$8&lt;=$G20+$H20-1),2,IF(AND($C20="Milestone",IJ$8&gt;=$G20,IJ$8&lt;=$G20+$H20-1),1,""))</f>
        <v/>
      </c>
      <c r="IK20" s="69" t="str">
        <f ca="1">IF(AND($C20="Goal",IK$8&gt;=$G20,IK$8&lt;=$G20+$H20-1),2,IF(AND($C20="Milestone",IK$8&gt;=$G20,IK$8&lt;=$G20+$H20-1),1,""))</f>
        <v/>
      </c>
      <c r="IL20" s="69" t="str">
        <f ca="1">IF(AND($C20="Goal",IL$8&gt;=$G20,IL$8&lt;=$G20+$H20-1),2,IF(AND($C20="Milestone",IL$8&gt;=$G20,IL$8&lt;=$G20+$H20-1),1,""))</f>
        <v/>
      </c>
      <c r="IM20" s="69" t="str">
        <f ca="1">IF(AND($C20="Goal",IM$8&gt;=$G20,IM$8&lt;=$G20+$H20-1),2,IF(AND($C20="Milestone",IM$8&gt;=$G20,IM$8&lt;=$G20+$H20-1),1,""))</f>
        <v/>
      </c>
      <c r="IN20" s="69" t="str">
        <f ca="1">IF(AND($C20="Goal",IN$8&gt;=$G20,IN$8&lt;=$G20+$H20-1),2,IF(AND($C20="Milestone",IN$8&gt;=$G20,IN$8&lt;=$G20+$H20-1),1,""))</f>
        <v/>
      </c>
      <c r="IO20" s="69" t="str">
        <f ca="1">IF(AND($C20="Goal",IO$8&gt;=$G20,IO$8&lt;=$G20+$H20-1),2,IF(AND($C20="Milestone",IO$8&gt;=$G20,IO$8&lt;=$G20+$H20-1),1,""))</f>
        <v/>
      </c>
      <c r="IP20" s="69" t="str">
        <f ca="1">IF(AND($C20="Goal",IP$8&gt;=$G20,IP$8&lt;=$G20+$H20-1),2,IF(AND($C20="Milestone",IP$8&gt;=$G20,IP$8&lt;=$G20+$H20-1),1,""))</f>
        <v/>
      </c>
      <c r="IQ20" s="69" t="str">
        <f ca="1">IF(AND($C20="Goal",IQ$8&gt;=$G20,IQ$8&lt;=$G20+$H20-1),2,IF(AND($C20="Milestone",IQ$8&gt;=$G20,IQ$8&lt;=$G20+$H20-1),1,""))</f>
        <v/>
      </c>
      <c r="IR20" s="69" t="str">
        <f ca="1">IF(AND($C20="Goal",IR$8&gt;=$G20,IR$8&lt;=$G20+$H20-1),2,IF(AND($C20="Milestone",IR$8&gt;=$G20,IR$8&lt;=$G20+$H20-1),1,""))</f>
        <v/>
      </c>
      <c r="IS20" s="69" t="str">
        <f ca="1">IF(AND($C20="Goal",IS$8&gt;=$G20,IS$8&lt;=$G20+$H20-1),2,IF(AND($C20="Milestone",IS$8&gt;=$G20,IS$8&lt;=$G20+$H20-1),1,""))</f>
        <v/>
      </c>
      <c r="IT20" s="69" t="str">
        <f ca="1">IF(AND($C20="Goal",IT$8&gt;=$G20,IT$8&lt;=$G20+$H20-1),2,IF(AND($C20="Milestone",IT$8&gt;=$G20,IT$8&lt;=$G20+$H20-1),1,""))</f>
        <v/>
      </c>
      <c r="IU20" s="69" t="str">
        <f ca="1">IF(AND($C20="Goal",IU$8&gt;=$G20,IU$8&lt;=$G20+$H20-1),2,IF(AND($C20="Milestone",IU$8&gt;=$G20,IU$8&lt;=$G20+$H20-1),1,""))</f>
        <v/>
      </c>
      <c r="IV20" s="69" t="str">
        <f ca="1">IF(AND($C20="Goal",IV$8&gt;=$G20,IV$8&lt;=$G20+$H20-1),2,IF(AND($C20="Milestone",IV$8&gt;=$G20,IV$8&lt;=$G20+$H20-1),1,""))</f>
        <v/>
      </c>
      <c r="IW20" s="69" t="str">
        <f ca="1">IF(AND($C20="Goal",IW$8&gt;=$G20,IW$8&lt;=$G20+$H20-1),2,IF(AND($C20="Milestone",IW$8&gt;=$G20,IW$8&lt;=$G20+$H20-1),1,""))</f>
        <v/>
      </c>
      <c r="IX20" s="69" t="str">
        <f ca="1">IF(AND($C20="Goal",IX$8&gt;=$G20,IX$8&lt;=$G20+$H20-1),2,IF(AND($C20="Milestone",IX$8&gt;=$G20,IX$8&lt;=$G20+$H20-1),1,""))</f>
        <v/>
      </c>
      <c r="IY20" s="69" t="str">
        <f ca="1">IF(AND($C20="Goal",IY$8&gt;=$G20,IY$8&lt;=$G20+$H20-1),2,IF(AND($C20="Milestone",IY$8&gt;=$G20,IY$8&lt;=$G20+$H20-1),1,""))</f>
        <v/>
      </c>
      <c r="IZ20" s="69" t="str">
        <f ca="1">IF(AND($C20="Goal",IZ$8&gt;=$G20,IZ$8&lt;=$G20+$H20-1),2,IF(AND($C20="Milestone",IZ$8&gt;=$G20,IZ$8&lt;=$G20+$H20-1),1,""))</f>
        <v/>
      </c>
      <c r="JA20" s="69" t="str">
        <f ca="1">IF(AND($C20="Goal",JA$8&gt;=$G20,JA$8&lt;=$G20+$H20-1),2,IF(AND($C20="Milestone",JA$8&gt;=$G20,JA$8&lt;=$G20+$H20-1),1,""))</f>
        <v/>
      </c>
      <c r="JB20" s="69" t="str">
        <f ca="1">IF(AND($C20="Goal",JB$8&gt;=$G20,JB$8&lt;=$G20+$H20-1),2,IF(AND($C20="Milestone",JB$8&gt;=$G20,JB$8&lt;=$G20+$H20-1),1,""))</f>
        <v/>
      </c>
      <c r="JC20" s="69" t="str">
        <f ca="1">IF(AND($C20="Goal",JC$8&gt;=$G20,JC$8&lt;=$G20+$H20-1),2,IF(AND($C20="Milestone",JC$8&gt;=$G20,JC$8&lt;=$G20+$H20-1),1,""))</f>
        <v/>
      </c>
      <c r="JD20" s="69" t="str">
        <f ca="1">IF(AND($C20="Goal",JD$8&gt;=$G20,JD$8&lt;=$G20+$H20-1),2,IF(AND($C20="Milestone",JD$8&gt;=$G20,JD$8&lt;=$G20+$H20-1),1,""))</f>
        <v/>
      </c>
      <c r="JE20" s="69" t="str">
        <f ca="1">IF(AND($C20="Goal",JE$8&gt;=$G20,JE$8&lt;=$G20+$H20-1),2,IF(AND($C20="Milestone",JE$8&gt;=$G20,JE$8&lt;=$G20+$H20-1),1,""))</f>
        <v/>
      </c>
      <c r="JF20" s="69" t="str">
        <f ca="1">IF(AND($C20="Goal",JF$8&gt;=$G20,JF$8&lt;=$G20+$H20-1),2,IF(AND($C20="Milestone",JF$8&gt;=$G20,JF$8&lt;=$G20+$H20-1),1,""))</f>
        <v/>
      </c>
      <c r="JG20" s="69" t="str">
        <f ca="1">IF(AND($C20="Goal",JG$8&gt;=$G20,JG$8&lt;=$G20+$H20-1),2,IF(AND($C20="Milestone",JG$8&gt;=$G20,JG$8&lt;=$G20+$H20-1),1,""))</f>
        <v/>
      </c>
      <c r="JH20" s="69" t="str">
        <f ca="1">IF(AND($C20="Goal",JH$8&gt;=$G20,JH$8&lt;=$G20+$H20-1),2,IF(AND($C20="Milestone",JH$8&gt;=$G20,JH$8&lt;=$G20+$H20-1),1,""))</f>
        <v/>
      </c>
      <c r="JI20" s="69" t="str">
        <f ca="1">IF(AND($C20="Goal",JI$8&gt;=$G20,JI$8&lt;=$G20+$H20-1),2,IF(AND($C20="Milestone",JI$8&gt;=$G20,JI$8&lt;=$G20+$H20-1),1,""))</f>
        <v/>
      </c>
      <c r="JJ20" s="69" t="str">
        <f ca="1">IF(AND($C20="Goal",JJ$8&gt;=$G20,JJ$8&lt;=$G20+$H20-1),2,IF(AND($C20="Milestone",JJ$8&gt;=$G20,JJ$8&lt;=$G20+$H20-1),1,""))</f>
        <v/>
      </c>
      <c r="JK20" s="69" t="str">
        <f ca="1">IF(AND($C20="Goal",JK$8&gt;=$G20,JK$8&lt;=$G20+$H20-1),2,IF(AND($C20="Milestone",JK$8&gt;=$G20,JK$8&lt;=$G20+$H20-1),1,""))</f>
        <v/>
      </c>
      <c r="JL20" s="69" t="str">
        <f ca="1">IF(AND($C20="Goal",JL$8&gt;=$G20,JL$8&lt;=$G20+$H20-1),2,IF(AND($C20="Milestone",JL$8&gt;=$G20,JL$8&lt;=$G20+$H20-1),1,""))</f>
        <v/>
      </c>
      <c r="JM20" s="69" t="str">
        <f ca="1">IF(AND($C20="Goal",JM$8&gt;=$G20,JM$8&lt;=$G20+$H20-1),2,IF(AND($C20="Milestone",JM$8&gt;=$G20,JM$8&lt;=$G20+$H20-1),1,""))</f>
        <v/>
      </c>
      <c r="JN20" s="69" t="str">
        <f ca="1">IF(AND($C20="Goal",JN$8&gt;=$G20,JN$8&lt;=$G20+$H20-1),2,IF(AND($C20="Milestone",JN$8&gt;=$G20,JN$8&lt;=$G20+$H20-1),1,""))</f>
        <v/>
      </c>
      <c r="JO20" s="69" t="str">
        <f ca="1">IF(AND($C20="Goal",JO$8&gt;=$G20,JO$8&lt;=$G20+$H20-1),2,IF(AND($C20="Milestone",JO$8&gt;=$G20,JO$8&lt;=$G20+$H20-1),1,""))</f>
        <v/>
      </c>
      <c r="JP20" s="69" t="str">
        <f ca="1">IF(AND($C20="Goal",JP$8&gt;=$G20,JP$8&lt;=$G20+$H20-1),2,IF(AND($C20="Milestone",JP$8&gt;=$G20,JP$8&lt;=$G20+$H20-1),1,""))</f>
        <v/>
      </c>
      <c r="JQ20" s="69" t="str">
        <f ca="1">IF(AND($C20="Goal",JQ$8&gt;=$G20,JQ$8&lt;=$G20+$H20-1),2,IF(AND($C20="Milestone",JQ$8&gt;=$G20,JQ$8&lt;=$G20+$H20-1),1,""))</f>
        <v/>
      </c>
      <c r="JR20" s="69" t="str">
        <f ca="1">IF(AND($C20="Goal",JR$8&gt;=$G20,JR$8&lt;=$G20+$H20-1),2,IF(AND($C20="Milestone",JR$8&gt;=$G20,JR$8&lt;=$G20+$H20-1),1,""))</f>
        <v/>
      </c>
      <c r="JS20" s="69" t="str">
        <f ca="1">IF(AND($C20="Goal",JS$8&gt;=$G20,JS$8&lt;=$G20+$H20-1),2,IF(AND($C20="Milestone",JS$8&gt;=$G20,JS$8&lt;=$G20+$H20-1),1,""))</f>
        <v/>
      </c>
      <c r="JT20" s="69" t="str">
        <f ca="1">IF(AND($C20="Goal",JT$8&gt;=$G20,JT$8&lt;=$G20+$H20-1),2,IF(AND($C20="Milestone",JT$8&gt;=$G20,JT$8&lt;=$G20+$H20-1),1,""))</f>
        <v/>
      </c>
      <c r="JU20" s="69" t="str">
        <f ca="1">IF(AND($C20="Goal",JU$8&gt;=$G20,JU$8&lt;=$G20+$H20-1),2,IF(AND($C20="Milestone",JU$8&gt;=$G20,JU$8&lt;=$G20+$H20-1),1,""))</f>
        <v/>
      </c>
      <c r="JV20" s="69" t="str">
        <f ca="1">IF(AND($C20="Goal",JV$8&gt;=$G20,JV$8&lt;=$G20+$H20-1),2,IF(AND($C20="Milestone",JV$8&gt;=$G20,JV$8&lt;=$G20+$H20-1),1,""))</f>
        <v/>
      </c>
      <c r="JW20" s="69" t="str">
        <f ca="1">IF(AND($C20="Goal",JW$8&gt;=$G20,JW$8&lt;=$G20+$H20-1),2,IF(AND($C20="Milestone",JW$8&gt;=$G20,JW$8&lt;=$G20+$H20-1),1,""))</f>
        <v/>
      </c>
      <c r="JX20" s="69" t="str">
        <f ca="1">IF(AND($C20="Goal",JX$8&gt;=$G20,JX$8&lt;=$G20+$H20-1),2,IF(AND($C20="Milestone",JX$8&gt;=$G20,JX$8&lt;=$G20+$H20-1),1,""))</f>
        <v/>
      </c>
      <c r="JY20" s="69" t="str">
        <f ca="1">IF(AND($C20="Goal",JY$8&gt;=$G20,JY$8&lt;=$G20+$H20-1),2,IF(AND($C20="Milestone",JY$8&gt;=$G20,JY$8&lt;=$G20+$H20-1),1,""))</f>
        <v/>
      </c>
      <c r="JZ20" s="69" t="str">
        <f ca="1">IF(AND($C20="Goal",JZ$8&gt;=$G20,JZ$8&lt;=$G20+$H20-1),2,IF(AND($C20="Milestone",JZ$8&gt;=$G20,JZ$8&lt;=$G20+$H20-1),1,""))</f>
        <v/>
      </c>
      <c r="KA20" s="69" t="str">
        <f ca="1">IF(AND($C20="Goal",KA$8&gt;=$G20,KA$8&lt;=$G20+$H20-1),2,IF(AND($C20="Milestone",KA$8&gt;=$G20,KA$8&lt;=$G20+$H20-1),1,""))</f>
        <v/>
      </c>
      <c r="KB20" s="69" t="str">
        <f ca="1">IF(AND($C20="Goal",KB$8&gt;=$G20,KB$8&lt;=$G20+$H20-1),2,IF(AND($C20="Milestone",KB$8&gt;=$G20,KB$8&lt;=$G20+$H20-1),1,""))</f>
        <v/>
      </c>
      <c r="KC20" s="69" t="str">
        <f ca="1">IF(AND($C20="Goal",KC$8&gt;=$G20,KC$8&lt;=$G20+$H20-1),2,IF(AND($C20="Milestone",KC$8&gt;=$G20,KC$8&lt;=$G20+$H20-1),1,""))</f>
        <v/>
      </c>
      <c r="KD20" s="69" t="str">
        <f ca="1">IF(AND($C20="Goal",KD$8&gt;=$G20,KD$8&lt;=$G20+$H20-1),2,IF(AND($C20="Milestone",KD$8&gt;=$G20,KD$8&lt;=$G20+$H20-1),1,""))</f>
        <v/>
      </c>
      <c r="KE20" s="69" t="str">
        <f ca="1">IF(AND($C20="Goal",KE$8&gt;=$G20,KE$8&lt;=$G20+$H20-1),2,IF(AND($C20="Milestone",KE$8&gt;=$G20,KE$8&lt;=$G20+$H20-1),1,""))</f>
        <v/>
      </c>
      <c r="KF20" s="69" t="str">
        <f ca="1">IF(AND($C20="Goal",KF$8&gt;=$G20,KF$8&lt;=$G20+$H20-1),2,IF(AND($C20="Milestone",KF$8&gt;=$G20,KF$8&lt;=$G20+$H20-1),1,""))</f>
        <v/>
      </c>
      <c r="KG20" s="69" t="str">
        <f ca="1">IF(AND($C20="Goal",KG$8&gt;=$G20,KG$8&lt;=$G20+$H20-1),2,IF(AND($C20="Milestone",KG$8&gt;=$G20,KG$8&lt;=$G20+$H20-1),1,""))</f>
        <v/>
      </c>
      <c r="KH20" s="69" t="str">
        <f ca="1">IF(AND($C20="Goal",KH$8&gt;=$G20,KH$8&lt;=$G20+$H20-1),2,IF(AND($C20="Milestone",KH$8&gt;=$G20,KH$8&lt;=$G20+$H20-1),1,""))</f>
        <v/>
      </c>
      <c r="KI20" s="69" t="str">
        <f ca="1">IF(AND($C20="Goal",KI$8&gt;=$G20,KI$8&lt;=$G20+$H20-1),2,IF(AND($C20="Milestone",KI$8&gt;=$G20,KI$8&lt;=$G20+$H20-1),1,""))</f>
        <v/>
      </c>
      <c r="KJ20" s="69" t="str">
        <f ca="1">IF(AND($C20="Goal",KJ$8&gt;=$G20,KJ$8&lt;=$G20+$H20-1),2,IF(AND($C20="Milestone",KJ$8&gt;=$G20,KJ$8&lt;=$G20+$H20-1),1,""))</f>
        <v/>
      </c>
      <c r="KK20" s="69" t="str">
        <f ca="1">IF(AND($C20="Goal",KK$8&gt;=$G20,KK$8&lt;=$G20+$H20-1),2,IF(AND($C20="Milestone",KK$8&gt;=$G20,KK$8&lt;=$G20+$H20-1),1,""))</f>
        <v/>
      </c>
      <c r="KL20" s="69" t="str">
        <f ca="1">IF(AND($C20="Goal",KL$8&gt;=$G20,KL$8&lt;=$G20+$H20-1),2,IF(AND($C20="Milestone",KL$8&gt;=$G20,KL$8&lt;=$G20+$H20-1),1,""))</f>
        <v/>
      </c>
      <c r="KM20" s="69" t="str">
        <f ca="1">IF(AND($C20="Goal",KM$8&gt;=$G20,KM$8&lt;=$G20+$H20-1),2,IF(AND($C20="Milestone",KM$8&gt;=$G20,KM$8&lt;=$G20+$H20-1),1,""))</f>
        <v/>
      </c>
      <c r="KN20" s="69" t="str">
        <f ca="1">IF(AND($C20="Goal",KN$8&gt;=$G20,KN$8&lt;=$G20+$H20-1),2,IF(AND($C20="Milestone",KN$8&gt;=$G20,KN$8&lt;=$G20+$H20-1),1,""))</f>
        <v/>
      </c>
      <c r="KO20" s="69" t="str">
        <f ca="1">IF(AND($C20="Goal",KO$8&gt;=$G20,KO$8&lt;=$G20+$H20-1),2,IF(AND($C20="Milestone",KO$8&gt;=$G20,KO$8&lt;=$G20+$H20-1),1,""))</f>
        <v/>
      </c>
      <c r="KP20" s="69" t="str">
        <f ca="1">IF(AND($C20="Goal",KP$8&gt;=$G20,KP$8&lt;=$G20+$H20-1),2,IF(AND($C20="Milestone",KP$8&gt;=$G20,KP$8&lt;=$G20+$H20-1),1,""))</f>
        <v/>
      </c>
      <c r="KQ20" s="69" t="str">
        <f ca="1">IF(AND($C20="Goal",KQ$8&gt;=$G20,KQ$8&lt;=$G20+$H20-1),2,IF(AND($C20="Milestone",KQ$8&gt;=$G20,KQ$8&lt;=$G20+$H20-1),1,""))</f>
        <v/>
      </c>
      <c r="KR20" s="69" t="str">
        <f ca="1">IF(AND($C20="Goal",KR$8&gt;=$G20,KR$8&lt;=$G20+$H20-1),2,IF(AND($C20="Milestone",KR$8&gt;=$G20,KR$8&lt;=$G20+$H20-1),1,""))</f>
        <v/>
      </c>
      <c r="KS20" s="69" t="str">
        <f ca="1">IF(AND($C20="Goal",KS$8&gt;=$G20,KS$8&lt;=$G20+$H20-1),2,IF(AND($C20="Milestone",KS$8&gt;=$G20,KS$8&lt;=$G20+$H20-1),1,""))</f>
        <v/>
      </c>
      <c r="KT20" s="69" t="str">
        <f ca="1">IF(AND($C20="Goal",KT$8&gt;=$G20,KT$8&lt;=$G20+$H20-1),2,IF(AND($C20="Milestone",KT$8&gt;=$G20,KT$8&lt;=$G20+$H20-1),1,""))</f>
        <v/>
      </c>
      <c r="KU20" s="69" t="str">
        <f ca="1">IF(AND($C20="Goal",KU$8&gt;=$G20,KU$8&lt;=$G20+$H20-1),2,IF(AND($C20="Milestone",KU$8&gt;=$G20,KU$8&lt;=$G20+$H20-1),1,""))</f>
        <v/>
      </c>
      <c r="KV20" s="69" t="str">
        <f ca="1">IF(AND($C20="Goal",KV$8&gt;=$G20,KV$8&lt;=$G20+$H20-1),2,IF(AND($C20="Milestone",KV$8&gt;=$G20,KV$8&lt;=$G20+$H20-1),1,""))</f>
        <v/>
      </c>
      <c r="KW20" s="69" t="str">
        <f ca="1">IF(AND($C20="Goal",KW$8&gt;=$G20,KW$8&lt;=$G20+$H20-1),2,IF(AND($C20="Milestone",KW$8&gt;=$G20,KW$8&lt;=$G20+$H20-1),1,""))</f>
        <v/>
      </c>
      <c r="KX20" s="69" t="str">
        <f ca="1">IF(AND($C20="Goal",KX$8&gt;=$G20,KX$8&lt;=$G20+$H20-1),2,IF(AND($C20="Milestone",KX$8&gt;=$G20,KX$8&lt;=$G20+$H20-1),1,""))</f>
        <v/>
      </c>
      <c r="KY20" s="69" t="str">
        <f ca="1">IF(AND($C20="Goal",KY$8&gt;=$G20,KY$8&lt;=$G20+$H20-1),2,IF(AND($C20="Milestone",KY$8&gt;=$G20,KY$8&lt;=$G20+$H20-1),1,""))</f>
        <v/>
      </c>
      <c r="KZ20" s="69" t="str">
        <f ca="1">IF(AND($C20="Goal",KZ$8&gt;=$G20,KZ$8&lt;=$G20+$H20-1),2,IF(AND($C20="Milestone",KZ$8&gt;=$G20,KZ$8&lt;=$G20+$H20-1),1,""))</f>
        <v/>
      </c>
      <c r="LA20" s="69" t="str">
        <f ca="1">IF(AND($C20="Goal",LA$8&gt;=$G20,LA$8&lt;=$G20+$H20-1),2,IF(AND($C20="Milestone",LA$8&gt;=$G20,LA$8&lt;=$G20+$H20-1),1,""))</f>
        <v/>
      </c>
      <c r="LB20" s="69" t="str">
        <f ca="1">IF(AND($C20="Goal",LB$8&gt;=$G20,LB$8&lt;=$G20+$H20-1),2,IF(AND($C20="Milestone",LB$8&gt;=$G20,LB$8&lt;=$G20+$H20-1),1,""))</f>
        <v/>
      </c>
      <c r="LC20" s="69" t="str">
        <f ca="1">IF(AND($C20="Goal",LC$8&gt;=$G20,LC$8&lt;=$G20+$H20-1),2,IF(AND($C20="Milestone",LC$8&gt;=$G20,LC$8&lt;=$G20+$H20-1),1,""))</f>
        <v/>
      </c>
      <c r="LD20" s="69" t="str">
        <f ca="1">IF(AND($C20="Goal",LD$8&gt;=$G20,LD$8&lt;=$G20+$H20-1),2,IF(AND($C20="Milestone",LD$8&gt;=$G20,LD$8&lt;=$G20+$H20-1),1,""))</f>
        <v/>
      </c>
      <c r="LE20" s="69" t="str">
        <f ca="1">IF(AND($C20="Goal",LE$8&gt;=$G20,LE$8&lt;=$G20+$H20-1),2,IF(AND($C20="Milestone",LE$8&gt;=$G20,LE$8&lt;=$G20+$H20-1),1,""))</f>
        <v/>
      </c>
      <c r="LF20" s="69" t="str">
        <f ca="1">IF(AND($C20="Goal",LF$8&gt;=$G20,LF$8&lt;=$G20+$H20-1),2,IF(AND($C20="Milestone",LF$8&gt;=$G20,LF$8&lt;=$G20+$H20-1),1,""))</f>
        <v/>
      </c>
      <c r="LG20" s="69" t="str">
        <f ca="1">IF(AND($C20="Goal",LG$8&gt;=$G20,LG$8&lt;=$G20+$H20-1),2,IF(AND($C20="Milestone",LG$8&gt;=$G20,LG$8&lt;=$G20+$H20-1),1,""))</f>
        <v/>
      </c>
      <c r="LH20" s="69" t="str">
        <f ca="1">IF(AND($C20="Goal",LH$8&gt;=$G20,LH$8&lt;=$G20+$H20-1),2,IF(AND($C20="Milestone",LH$8&gt;=$G20,LH$8&lt;=$G20+$H20-1),1,""))</f>
        <v/>
      </c>
      <c r="LI20" s="69" t="str">
        <f ca="1">IF(AND($C20="Goal",LI$8&gt;=$G20,LI$8&lt;=$G20+$H20-1),2,IF(AND($C20="Milestone",LI$8&gt;=$G20,LI$8&lt;=$G20+$H20-1),1,""))</f>
        <v/>
      </c>
      <c r="LJ20" s="69" t="str">
        <f ca="1">IF(AND($C20="Goal",LJ$8&gt;=$G20,LJ$8&lt;=$G20+$H20-1),2,IF(AND($C20="Milestone",LJ$8&gt;=$G20,LJ$8&lt;=$G20+$H20-1),1,""))</f>
        <v/>
      </c>
      <c r="LK20" s="69" t="str">
        <f ca="1">IF(AND($C20="Goal",LK$8&gt;=$G20,LK$8&lt;=$G20+$H20-1),2,IF(AND($C20="Milestone",LK$8&gt;=$G20,LK$8&lt;=$G20+$H20-1),1,""))</f>
        <v/>
      </c>
      <c r="LL20" s="69" t="str">
        <f ca="1">IF(AND($C20="Goal",LL$8&gt;=$G20,LL$8&lt;=$G20+$H20-1),2,IF(AND($C20="Milestone",LL$8&gt;=$G20,LL$8&lt;=$G20+$H20-1),1,""))</f>
        <v/>
      </c>
      <c r="LM20" s="69" t="str">
        <f ca="1">IF(AND($C20="Goal",LM$8&gt;=$G20,LM$8&lt;=$G20+$H20-1),2,IF(AND($C20="Milestone",LM$8&gt;=$G20,LM$8&lt;=$G20+$H20-1),1,""))</f>
        <v/>
      </c>
      <c r="LN20" s="69" t="str">
        <f ca="1">IF(AND($C20="Goal",LN$8&gt;=$G20,LN$8&lt;=$G20+$H20-1),2,IF(AND($C20="Milestone",LN$8&gt;=$G20,LN$8&lt;=$G20+$H20-1),1,""))</f>
        <v/>
      </c>
      <c r="LO20" s="69" t="str">
        <f ca="1">IF(AND($C20="Goal",LO$8&gt;=$G20,LO$8&lt;=$G20+$H20-1),2,IF(AND($C20="Milestone",LO$8&gt;=$G20,LO$8&lt;=$G20+$H20-1),1,""))</f>
        <v/>
      </c>
      <c r="LP20" s="69" t="str">
        <f ca="1">IF(AND($C20="Goal",LP$8&gt;=$G20,LP$8&lt;=$G20+$H20-1),2,IF(AND($C20="Milestone",LP$8&gt;=$G20,LP$8&lt;=$G20+$H20-1),1,""))</f>
        <v/>
      </c>
      <c r="LQ20" s="69" t="str">
        <f ca="1">IF(AND($C20="Goal",LQ$8&gt;=$G20,LQ$8&lt;=$G20+$H20-1),2,IF(AND($C20="Milestone",LQ$8&gt;=$G20,LQ$8&lt;=$G20+$H20-1),1,""))</f>
        <v/>
      </c>
      <c r="LR20" s="69" t="str">
        <f ca="1">IF(AND($C20="Goal",LR$8&gt;=$G20,LR$8&lt;=$G20+$H20-1),2,IF(AND($C20="Milestone",LR$8&gt;=$G20,LR$8&lt;=$G20+$H20-1),1,""))</f>
        <v/>
      </c>
      <c r="LS20" s="69" t="str">
        <f ca="1">IF(AND($C20="Goal",LS$8&gt;=$G20,LS$8&lt;=$G20+$H20-1),2,IF(AND($C20="Milestone",LS$8&gt;=$G20,LS$8&lt;=$G20+$H20-1),1,""))</f>
        <v/>
      </c>
      <c r="LT20" s="69" t="str">
        <f ca="1">IF(AND($C20="Goal",LT$8&gt;=$G20,LT$8&lt;=$G20+$H20-1),2,IF(AND($C20="Milestone",LT$8&gt;=$G20,LT$8&lt;=$G20+$H20-1),1,""))</f>
        <v/>
      </c>
      <c r="LU20" s="69" t="str">
        <f ca="1">IF(AND($C20="Goal",LU$8&gt;=$G20,LU$8&lt;=$G20+$H20-1),2,IF(AND($C20="Milestone",LU$8&gt;=$G20,LU$8&lt;=$G20+$H20-1),1,""))</f>
        <v/>
      </c>
      <c r="LV20" s="69" t="str">
        <f ca="1">IF(AND($C20="Goal",LV$8&gt;=$G20,LV$8&lt;=$G20+$H20-1),2,IF(AND($C20="Milestone",LV$8&gt;=$G20,LV$8&lt;=$G20+$H20-1),1,""))</f>
        <v/>
      </c>
      <c r="LW20" s="69" t="str">
        <f ca="1">IF(AND($C20="Goal",LW$8&gt;=$G20,LW$8&lt;=$G20+$H20-1),2,IF(AND($C20="Milestone",LW$8&gt;=$G20,LW$8&lt;=$G20+$H20-1),1,""))</f>
        <v/>
      </c>
      <c r="LX20" s="69" t="str">
        <f ca="1">IF(AND($C20="Goal",LX$8&gt;=$G20,LX$8&lt;=$G20+$H20-1),2,IF(AND($C20="Milestone",LX$8&gt;=$G20,LX$8&lt;=$G20+$H20-1),1,""))</f>
        <v/>
      </c>
    </row>
    <row r="21" spans="1:336" s="1" customFormat="1" ht="27.5" customHeight="1" x14ac:dyDescent="0.25">
      <c r="A21" s="6"/>
      <c r="B21" s="47" t="s">
        <v>24</v>
      </c>
      <c r="C21" s="58"/>
      <c r="D21" s="58" t="str">
        <f ca="1">IF(G21="","",
IF(G21+Milestones4352[[#This Row],[Days]]="","",
IF(OR(F21=1,F21=100%),"Complete",
CHOOSE(
  1
  + --(((1-IF(F21&gt;1,F21/100,F21))*POWER(2.718281828,(60-MAX(0,G21+Milestones4352[[#This Row],[Days]]-TODAY()))/12))&gt;=0.6)
  + --(((1-IF(F21&gt;1,F21/100,F21))*POWER(2.718281828,(60-MAX(0,G21+Milestones4352[[#This Row],[Days]]-TODAY()))/12))&gt;=1.2)
  + --(((1-IF(F21&gt;1,F21/100,F21))*POWER(2.718281828,(60-MAX(0,G21+Milestones4352[[#This Row],[Days]]-TODAY()))/12))&gt;=2),
  "On track","Low risk","Medium risk","High risk"
))))</f>
        <v>High risk</v>
      </c>
      <c r="E21" s="58"/>
      <c r="F21" s="56">
        <v>0</v>
      </c>
      <c r="G21" s="70">
        <f t="shared" si="209"/>
        <v>45995</v>
      </c>
      <c r="H21" s="57">
        <v>5</v>
      </c>
      <c r="I21" s="57">
        <f t="shared" si="207"/>
        <v>4</v>
      </c>
      <c r="J21" s="12">
        <f ca="1">IF(OR(Milestones4352[[#This Row],[Start]]="",Milestones4352[[#This Row],[Days]]=""),"",(Milestones4352[[#This Row],[Start]]+Milestones4352[[#This Row],[Days]])-TODAY())</f>
        <v>51</v>
      </c>
      <c r="K21" s="9"/>
      <c r="L21" s="69" t="str">
        <f ca="1">IF(AND($C21="Goal",L$8&gt;=$G21,L$8&lt;=$G21+$H21-1),2,IF(AND($C21="Milestone",L$8&gt;=$G21,L$8&lt;=$G21+$H21-1),1,""))</f>
        <v/>
      </c>
      <c r="M21" s="69" t="str">
        <f ca="1">IF(AND($C21="Goal",M$8&gt;=$G21,M$8&lt;=$G21+$H21-1),2,IF(AND($C21="Milestone",M$8&gt;=$G21,M$8&lt;=$G21+$H21-1),1,""))</f>
        <v/>
      </c>
      <c r="N21" s="69" t="str">
        <f ca="1">IF(AND($C21="Goal",N$8&gt;=$G21,N$8&lt;=$G21+$H21-1),2,IF(AND($C21="Milestone",N$8&gt;=$G21,N$8&lt;=$G21+$H21-1),1,""))</f>
        <v/>
      </c>
      <c r="O21" s="69" t="str">
        <f ca="1">IF(AND($C21="Goal",O$8&gt;=$G21,O$8&lt;=$G21+$H21-1),2,IF(AND($C21="Milestone",O$8&gt;=$G21,O$8&lt;=$G21+$H21-1),1,""))</f>
        <v/>
      </c>
      <c r="P21" s="69" t="str">
        <f ca="1">IF(AND($C21="Goal",P$8&gt;=$G21,P$8&lt;=$G21+$H21-1),2,IF(AND($C21="Milestone",P$8&gt;=$G21,P$8&lt;=$G21+$H21-1),1,""))</f>
        <v/>
      </c>
      <c r="Q21" s="69" t="str">
        <f ca="1">IF(AND($C21="Goal",Q$8&gt;=$G21,Q$8&lt;=$G21+$H21-1),2,IF(AND($C21="Milestone",Q$8&gt;=$G21,Q$8&lt;=$G21+$H21-1),1,""))</f>
        <v/>
      </c>
      <c r="R21" s="69" t="str">
        <f ca="1">IF(AND($C21="Goal",R$8&gt;=$G21,R$8&lt;=$G21+$H21-1),2,IF(AND($C21="Milestone",R$8&gt;=$G21,R$8&lt;=$G21+$H21-1),1,""))</f>
        <v/>
      </c>
      <c r="S21" s="69" t="str">
        <f ca="1">IF(AND($C21="Goal",S$8&gt;=$G21,S$8&lt;=$G21+$H21-1),2,IF(AND($C21="Milestone",S$8&gt;=$G21,S$8&lt;=$G21+$H21-1),1,""))</f>
        <v/>
      </c>
      <c r="T21" s="69" t="str">
        <f ca="1">IF(AND($C21="Goal",T$8&gt;=$G21,T$8&lt;=$G21+$H21-1),2,IF(AND($C21="Milestone",T$8&gt;=$G21,T$8&lt;=$G21+$H21-1),1,""))</f>
        <v/>
      </c>
      <c r="U21" s="69" t="str">
        <f ca="1">IF(AND($C21="Goal",U$8&gt;=$G21,U$8&lt;=$G21+$H21-1),2,IF(AND($C21="Milestone",U$8&gt;=$G21,U$8&lt;=$G21+$H21-1),1,""))</f>
        <v/>
      </c>
      <c r="V21" s="69" t="str">
        <f ca="1">IF(AND($C21="Goal",V$8&gt;=$G21,V$8&lt;=$G21+$H21-1),2,IF(AND($C21="Milestone",V$8&gt;=$G21,V$8&lt;=$G21+$H21-1),1,""))</f>
        <v/>
      </c>
      <c r="W21" s="69" t="str">
        <f ca="1">IF(AND($C21="Goal",W$8&gt;=$G21,W$8&lt;=$G21+$H21-1),2,IF(AND($C21="Milestone",W$8&gt;=$G21,W$8&lt;=$G21+$H21-1),1,""))</f>
        <v/>
      </c>
      <c r="X21" s="69" t="str">
        <f ca="1">IF(AND($C21="Goal",X$8&gt;=$G21,X$8&lt;=$G21+$H21-1),2,IF(AND($C21="Milestone",X$8&gt;=$G21,X$8&lt;=$G21+$H21-1),1,""))</f>
        <v/>
      </c>
      <c r="Y21" s="69" t="str">
        <f ca="1">IF(AND($C21="Goal",Y$8&gt;=$G21,Y$8&lt;=$G21+$H21-1),2,IF(AND($C21="Milestone",Y$8&gt;=$G21,Y$8&lt;=$G21+$H21-1),1,""))</f>
        <v/>
      </c>
      <c r="Z21" s="69" t="str">
        <f ca="1">IF(AND($C21="Goal",Z$8&gt;=$G21,Z$8&lt;=$G21+$H21-1),2,IF(AND($C21="Milestone",Z$8&gt;=$G21,Z$8&lt;=$G21+$H21-1),1,""))</f>
        <v/>
      </c>
      <c r="AA21" s="69" t="str">
        <f ca="1">IF(AND($C21="Goal",AA$8&gt;=$G21,AA$8&lt;=$G21+$H21-1),2,IF(AND($C21="Milestone",AA$8&gt;=$G21,AA$8&lt;=$G21+$H21-1),1,""))</f>
        <v/>
      </c>
      <c r="AB21" s="69" t="str">
        <f ca="1">IF(AND($C21="Goal",AB$8&gt;=$G21,AB$8&lt;=$G21+$H21-1),2,IF(AND($C21="Milestone",AB$8&gt;=$G21,AB$8&lt;=$G21+$H21-1),1,""))</f>
        <v/>
      </c>
      <c r="AC21" s="69" t="str">
        <f ca="1">IF(AND($C21="Goal",AC$8&gt;=$G21,AC$8&lt;=$G21+$H21-1),2,IF(AND($C21="Milestone",AC$8&gt;=$G21,AC$8&lt;=$G21+$H21-1),1,""))</f>
        <v/>
      </c>
      <c r="AD21" s="69" t="str">
        <f ca="1">IF(AND($C21="Goal",AD$8&gt;=$G21,AD$8&lt;=$G21+$H21-1),2,IF(AND($C21="Milestone",AD$8&gt;=$G21,AD$8&lt;=$G21+$H21-1),1,""))</f>
        <v/>
      </c>
      <c r="AE21" s="69" t="str">
        <f ca="1">IF(AND($C21="Goal",AE$8&gt;=$G21,AE$8&lt;=$G21+$H21-1),2,IF(AND($C21="Milestone",AE$8&gt;=$G21,AE$8&lt;=$G21+$H21-1),1,""))</f>
        <v/>
      </c>
      <c r="AF21" s="69" t="str">
        <f ca="1">IF(AND($C21="Goal",AF$8&gt;=$G21,AF$8&lt;=$G21+$H21-1),2,IF(AND($C21="Milestone",AF$8&gt;=$G21,AF$8&lt;=$G21+$H21-1),1,""))</f>
        <v/>
      </c>
      <c r="AG21" s="69" t="str">
        <f ca="1">IF(AND($C21="Goal",AG$8&gt;=$G21,AG$8&lt;=$G21+$H21-1),2,IF(AND($C21="Milestone",AG$8&gt;=$G21,AG$8&lt;=$G21+$H21-1),1,""))</f>
        <v/>
      </c>
      <c r="AH21" s="69" t="str">
        <f ca="1">IF(AND($C21="Goal",AH$8&gt;=$G21,AH$8&lt;=$G21+$H21-1),2,IF(AND($C21="Milestone",AH$8&gt;=$G21,AH$8&lt;=$G21+$H21-1),1,""))</f>
        <v/>
      </c>
      <c r="AI21" s="69" t="str">
        <f ca="1">IF(AND($C21="Goal",AI$8&gt;=$G21,AI$8&lt;=$G21+$H21-1),2,IF(AND($C21="Milestone",AI$8&gt;=$G21,AI$8&lt;=$G21+$H21-1),1,""))</f>
        <v/>
      </c>
      <c r="AJ21" s="69" t="str">
        <f ca="1">IF(AND($C21="Goal",AJ$8&gt;=$G21,AJ$8&lt;=$G21+$H21-1),2,IF(AND($C21="Milestone",AJ$8&gt;=$G21,AJ$8&lt;=$G21+$H21-1),1,""))</f>
        <v/>
      </c>
      <c r="AK21" s="69" t="str">
        <f ca="1">IF(AND($C21="Goal",AK$8&gt;=$G21,AK$8&lt;=$G21+$H21-1),2,IF(AND($C21="Milestone",AK$8&gt;=$G21,AK$8&lt;=$G21+$H21-1),1,""))</f>
        <v/>
      </c>
      <c r="AL21" s="69" t="str">
        <f ca="1">IF(AND($C21="Goal",AL$8&gt;=$G21,AL$8&lt;=$G21+$H21-1),2,IF(AND($C21="Milestone",AL$8&gt;=$G21,AL$8&lt;=$G21+$H21-1),1,""))</f>
        <v/>
      </c>
      <c r="AM21" s="69" t="str">
        <f ca="1">IF(AND($C21="Goal",AM$8&gt;=$G21,AM$8&lt;=$G21+$H21-1),2,IF(AND($C21="Milestone",AM$8&gt;=$G21,AM$8&lt;=$G21+$H21-1),1,""))</f>
        <v/>
      </c>
      <c r="AN21" s="69" t="str">
        <f ca="1">IF(AND($C21="Goal",AN$8&gt;=$G21,AN$8&lt;=$G21+$H21-1),2,IF(AND($C21="Milestone",AN$8&gt;=$G21,AN$8&lt;=$G21+$H21-1),1,""))</f>
        <v/>
      </c>
      <c r="AO21" s="69" t="str">
        <f ca="1">IF(AND($C21="Goal",AO$8&gt;=$G21,AO$8&lt;=$G21+$H21-1),2,IF(AND($C21="Milestone",AO$8&gt;=$G21,AO$8&lt;=$G21+$H21-1),1,""))</f>
        <v/>
      </c>
      <c r="AP21" s="69" t="str">
        <f ca="1">IF(AND($C21="Goal",AP$8&gt;=$G21,AP$8&lt;=$G21+$H21-1),2,IF(AND($C21="Milestone",AP$8&gt;=$G21,AP$8&lt;=$G21+$H21-1),1,""))</f>
        <v/>
      </c>
      <c r="AQ21" s="69" t="str">
        <f ca="1">IF(AND($C21="Goal",AQ$8&gt;=$G21,AQ$8&lt;=$G21+$H21-1),2,IF(AND($C21="Milestone",AQ$8&gt;=$G21,AQ$8&lt;=$G21+$H21-1),1,""))</f>
        <v/>
      </c>
      <c r="AR21" s="69" t="str">
        <f ca="1">IF(AND($C21="Goal",AR$8&gt;=$G21,AR$8&lt;=$G21+$H21-1),2,IF(AND($C21="Milestone",AR$8&gt;=$G21,AR$8&lt;=$G21+$H21-1),1,""))</f>
        <v/>
      </c>
      <c r="AS21" s="69" t="str">
        <f ca="1">IF(AND($C21="Goal",AS$8&gt;=$G21,AS$8&lt;=$G21+$H21-1),2,IF(AND($C21="Milestone",AS$8&gt;=$G21,AS$8&lt;=$G21+$H21-1),1,""))</f>
        <v/>
      </c>
      <c r="AT21" s="69" t="str">
        <f ca="1">IF(AND($C21="Goal",AT$8&gt;=$G21,AT$8&lt;=$G21+$H21-1),2,IF(AND($C21="Milestone",AT$8&gt;=$G21,AT$8&lt;=$G21+$H21-1),1,""))</f>
        <v/>
      </c>
      <c r="AU21" s="69" t="str">
        <f ca="1">IF(AND($C21="Goal",AU$8&gt;=$G21,AU$8&lt;=$G21+$H21-1),2,IF(AND($C21="Milestone",AU$8&gt;=$G21,AU$8&lt;=$G21+$H21-1),1,""))</f>
        <v/>
      </c>
      <c r="AV21" s="69" t="str">
        <f ca="1">IF(AND($C21="Goal",AV$8&gt;=$G21,AV$8&lt;=$G21+$H21-1),2,IF(AND($C21="Milestone",AV$8&gt;=$G21,AV$8&lt;=$G21+$H21-1),1,""))</f>
        <v/>
      </c>
      <c r="AW21" s="69" t="str">
        <f ca="1">IF(AND($C21="Goal",AW$8&gt;=$G21,AW$8&lt;=$G21+$H21-1),2,IF(AND($C21="Milestone",AW$8&gt;=$G21,AW$8&lt;=$G21+$H21-1),1,""))</f>
        <v/>
      </c>
      <c r="AX21" s="69" t="str">
        <f ca="1">IF(AND($C21="Goal",AX$8&gt;=$G21,AX$8&lt;=$G21+$H21-1),2,IF(AND($C21="Milestone",AX$8&gt;=$G21,AX$8&lt;=$G21+$H21-1),1,""))</f>
        <v/>
      </c>
      <c r="AY21" s="69" t="str">
        <f ca="1">IF(AND($C21="Goal",AY$8&gt;=$G21,AY$8&lt;=$G21+$H21-1),2,IF(AND($C21="Milestone",AY$8&gt;=$G21,AY$8&lt;=$G21+$H21-1),1,""))</f>
        <v/>
      </c>
      <c r="AZ21" s="69" t="str">
        <f ca="1">IF(AND($C21="Goal",AZ$8&gt;=$G21,AZ$8&lt;=$G21+$H21-1),2,IF(AND($C21="Milestone",AZ$8&gt;=$G21,AZ$8&lt;=$G21+$H21-1),1,""))</f>
        <v/>
      </c>
      <c r="BA21" s="69" t="str">
        <f ca="1">IF(AND($C21="Goal",BA$8&gt;=$G21,BA$8&lt;=$G21+$H21-1),2,IF(AND($C21="Milestone",BA$8&gt;=$G21,BA$8&lt;=$G21+$H21-1),1,""))</f>
        <v/>
      </c>
      <c r="BB21" s="69" t="str">
        <f ca="1">IF(AND($C21="Goal",BB$8&gt;=$G21,BB$8&lt;=$G21+$H21-1),2,IF(AND($C21="Milestone",BB$8&gt;=$G21,BB$8&lt;=$G21+$H21-1),1,""))</f>
        <v/>
      </c>
      <c r="BC21" s="69" t="str">
        <f ca="1">IF(AND($C21="Goal",BC$8&gt;=$G21,BC$8&lt;=$G21+$H21-1),2,IF(AND($C21="Milestone",BC$8&gt;=$G21,BC$8&lt;=$G21+$H21-1),1,""))</f>
        <v/>
      </c>
      <c r="BD21" s="69" t="str">
        <f ca="1">IF(AND($C21="Goal",BD$8&gt;=$G21,BD$8&lt;=$G21+$H21-1),2,IF(AND($C21="Milestone",BD$8&gt;=$G21,BD$8&lt;=$G21+$H21-1),1,""))</f>
        <v/>
      </c>
      <c r="BE21" s="69" t="str">
        <f ca="1">IF(AND($C21="Goal",BE$8&gt;=$G21,BE$8&lt;=$G21+$H21-1),2,IF(AND($C21="Milestone",BE$8&gt;=$G21,BE$8&lt;=$G21+$H21-1),1,""))</f>
        <v/>
      </c>
      <c r="BF21" s="69" t="str">
        <f ca="1">IF(AND($C21="Goal",BF$8&gt;=$G21,BF$8&lt;=$G21+$H21-1),2,IF(AND($C21="Milestone",BF$8&gt;=$G21,BF$8&lt;=$G21+$H21-1),1,""))</f>
        <v/>
      </c>
      <c r="BG21" s="69" t="str">
        <f ca="1">IF(AND($C21="Goal",BG$8&gt;=$G21,BG$8&lt;=$G21+$H21-1),2,IF(AND($C21="Milestone",BG$8&gt;=$G21,BG$8&lt;=$G21+$H21-1),1,""))</f>
        <v/>
      </c>
      <c r="BH21" s="69" t="str">
        <f ca="1">IF(AND($C21="Goal",BH$8&gt;=$G21,BH$8&lt;=$G21+$H21-1),2,IF(AND($C21="Milestone",BH$8&gt;=$G21,BH$8&lt;=$G21+$H21-1),1,""))</f>
        <v/>
      </c>
      <c r="BI21" s="69" t="str">
        <f ca="1">IF(AND($C21="Goal",BI$8&gt;=$G21,BI$8&lt;=$G21+$H21-1),2,IF(AND($C21="Milestone",BI$8&gt;=$G21,BI$8&lt;=$G21+$H21-1),1,""))</f>
        <v/>
      </c>
      <c r="BJ21" s="69" t="str">
        <f ca="1">IF(AND($C21="Goal",BJ$8&gt;=$G21,BJ$8&lt;=$G21+$H21-1),2,IF(AND($C21="Milestone",BJ$8&gt;=$G21,BJ$8&lt;=$G21+$H21-1),1,""))</f>
        <v/>
      </c>
      <c r="BK21" s="69" t="str">
        <f ca="1">IF(AND($C21="Goal",BK$8&gt;=$G21,BK$8&lt;=$G21+$H21-1),2,IF(AND($C21="Milestone",BK$8&gt;=$G21,BK$8&lt;=$G21+$H21-1),1,""))</f>
        <v/>
      </c>
      <c r="BL21" s="69" t="str">
        <f ca="1">IF(AND($C21="Goal",BL$8&gt;=$G21,BL$8&lt;=$G21+$H21-1),2,IF(AND($C21="Milestone",BL$8&gt;=$G21,BL$8&lt;=$G21+$H21-1),1,""))</f>
        <v/>
      </c>
      <c r="BM21" s="69" t="str">
        <f ca="1">IF(AND($C21="Goal",BM$8&gt;=$G21,BM$8&lt;=$G21+$H21-1),2,IF(AND($C21="Milestone",BM$8&gt;=$G21,BM$8&lt;=$G21+$H21-1),1,""))</f>
        <v/>
      </c>
      <c r="BN21" s="69" t="str">
        <f ca="1">IF(AND($C21="Goal",BN$8&gt;=$G21,BN$8&lt;=$G21+$H21-1),2,IF(AND($C21="Milestone",BN$8&gt;=$G21,BN$8&lt;=$G21+$H21-1),1,""))</f>
        <v/>
      </c>
      <c r="BO21" s="69" t="str">
        <f ca="1">IF(AND($C21="Goal",BO$8&gt;=$G21,BO$8&lt;=$G21+$H21-1),2,IF(AND($C21="Milestone",BO$8&gt;=$G21,BO$8&lt;=$G21+$H21-1),1,""))</f>
        <v/>
      </c>
      <c r="BP21" s="69" t="str">
        <f ca="1">IF(AND($C21="Goal",BP$8&gt;=$G21,BP$8&lt;=$G21+$H21-1),2,IF(AND($C21="Milestone",BP$8&gt;=$G21,BP$8&lt;=$G21+$H21-1),1,""))</f>
        <v/>
      </c>
      <c r="BQ21" s="69" t="str">
        <f ca="1">IF(AND($C21="Goal",BQ$8&gt;=$G21,BQ$8&lt;=$G21+$H21-1),2,IF(AND($C21="Milestone",BQ$8&gt;=$G21,BQ$8&lt;=$G21+$H21-1),1,""))</f>
        <v/>
      </c>
      <c r="BR21" s="69" t="str">
        <f ca="1">IF(AND($C21="Goal",BR$8&gt;=$G21,BR$8&lt;=$G21+$H21-1),2,IF(AND($C21="Milestone",BR$8&gt;=$G21,BR$8&lt;=$G21+$H21-1),1,""))</f>
        <v/>
      </c>
      <c r="BS21" s="69" t="str">
        <f ca="1">IF(AND($C21="Goal",BS$8&gt;=$G21,BS$8&lt;=$G21+$H21-1),2,IF(AND($C21="Milestone",BS$8&gt;=$G21,BS$8&lt;=$G21+$H21-1),1,""))</f>
        <v/>
      </c>
      <c r="BT21" s="69" t="str">
        <f ca="1">IF(AND($C21="Goal",BT$8&gt;=$G21,BT$8&lt;=$G21+$H21-1),2,IF(AND($C21="Milestone",BT$8&gt;=$G21,BT$8&lt;=$G21+$H21-1),1,""))</f>
        <v/>
      </c>
      <c r="BU21" s="69" t="str">
        <f ca="1">IF(AND($C21="Goal",BU$8&gt;=$G21,BU$8&lt;=$G21+$H21-1),2,IF(AND($C21="Milestone",BU$8&gt;=$G21,BU$8&lt;=$G21+$H21-1),1,""))</f>
        <v/>
      </c>
      <c r="BV21" s="69" t="str">
        <f ca="1">IF(AND($C21="Goal",BV$8&gt;=$G21,BV$8&lt;=$G21+$H21-1),2,IF(AND($C21="Milestone",BV$8&gt;=$G21,BV$8&lt;=$G21+$H21-1),1,""))</f>
        <v/>
      </c>
      <c r="BW21" s="69" t="str">
        <f ca="1">IF(AND($C21="Goal",BW$8&gt;=$G21,BW$8&lt;=$G21+$H21-1),2,IF(AND($C21="Milestone",BW$8&gt;=$G21,BW$8&lt;=$G21+$H21-1),1,""))</f>
        <v/>
      </c>
      <c r="BX21" s="69" t="str">
        <f ca="1">IF(AND($C21="Goal",BX$8&gt;=$G21,BX$8&lt;=$G21+$H21-1),2,IF(AND($C21="Milestone",BX$8&gt;=$G21,BX$8&lt;=$G21+$H21-1),1,""))</f>
        <v/>
      </c>
      <c r="BY21" s="69" t="str">
        <f ca="1">IF(AND($C21="Goal",BY$8&gt;=$G21,BY$8&lt;=$G21+$H21-1),2,IF(AND($C21="Milestone",BY$8&gt;=$G21,BY$8&lt;=$G21+$H21-1),1,""))</f>
        <v/>
      </c>
      <c r="BZ21" s="69" t="str">
        <f ca="1">IF(AND($C21="Goal",BZ$8&gt;=$G21,BZ$8&lt;=$G21+$H21-1),2,IF(AND($C21="Milestone",BZ$8&gt;=$G21,BZ$8&lt;=$G21+$H21-1),1,""))</f>
        <v/>
      </c>
      <c r="CA21" s="69" t="str">
        <f ca="1">IF(AND($C21="Goal",CA$8&gt;=$G21,CA$8&lt;=$G21+$H21-1),2,IF(AND($C21="Milestone",CA$8&gt;=$G21,CA$8&lt;=$G21+$H21-1),1,""))</f>
        <v/>
      </c>
      <c r="CB21" s="69" t="str">
        <f ca="1">IF(AND($C21="Goal",CB$8&gt;=$G21,CB$8&lt;=$G21+$H21-1),2,IF(AND($C21="Milestone",CB$8&gt;=$G21,CB$8&lt;=$G21+$H21-1),1,""))</f>
        <v/>
      </c>
      <c r="CC21" s="69" t="str">
        <f ca="1">IF(AND($C21="Goal",CC$8&gt;=$G21,CC$8&lt;=$G21+$H21-1),2,IF(AND($C21="Milestone",CC$8&gt;=$G21,CC$8&lt;=$G21+$H21-1),1,""))</f>
        <v/>
      </c>
      <c r="CD21" s="69" t="str">
        <f ca="1">IF(AND($C21="Goal",CD$8&gt;=$G21,CD$8&lt;=$G21+$H21-1),2,IF(AND($C21="Milestone",CD$8&gt;=$G21,CD$8&lt;=$G21+$H21-1),1,""))</f>
        <v/>
      </c>
      <c r="CE21" s="69" t="str">
        <f ca="1">IF(AND($C21="Goal",CE$8&gt;=$G21,CE$8&lt;=$G21+$H21-1),2,IF(AND($C21="Milestone",CE$8&gt;=$G21,CE$8&lt;=$G21+$H21-1),1,""))</f>
        <v/>
      </c>
      <c r="CF21" s="69" t="str">
        <f ca="1">IF(AND($C21="Goal",CF$8&gt;=$G21,CF$8&lt;=$G21+$H21-1),2,IF(AND($C21="Milestone",CF$8&gt;=$G21,CF$8&lt;=$G21+$H21-1),1,""))</f>
        <v/>
      </c>
      <c r="CG21" s="69" t="str">
        <f ca="1">IF(AND($C21="Goal",CG$8&gt;=$G21,CG$8&lt;=$G21+$H21-1),2,IF(AND($C21="Milestone",CG$8&gt;=$G21,CG$8&lt;=$G21+$H21-1),1,""))</f>
        <v/>
      </c>
      <c r="CH21" s="69" t="str">
        <f ca="1">IF(AND($C21="Goal",CH$8&gt;=$G21,CH$8&lt;=$G21+$H21-1),2,IF(AND($C21="Milestone",CH$8&gt;=$G21,CH$8&lt;=$G21+$H21-1),1,""))</f>
        <v/>
      </c>
      <c r="CI21" s="69" t="str">
        <f ca="1">IF(AND($C21="Goal",CI$8&gt;=$G21,CI$8&lt;=$G21+$H21-1),2,IF(AND($C21="Milestone",CI$8&gt;=$G21,CI$8&lt;=$G21+$H21-1),1,""))</f>
        <v/>
      </c>
      <c r="CJ21" s="69" t="str">
        <f ca="1">IF(AND($C21="Goal",CJ$8&gt;=$G21,CJ$8&lt;=$G21+$H21-1),2,IF(AND($C21="Milestone",CJ$8&gt;=$G21,CJ$8&lt;=$G21+$H21-1),1,""))</f>
        <v/>
      </c>
      <c r="CK21" s="69" t="str">
        <f ca="1">IF(AND($C21="Goal",CK$8&gt;=$G21,CK$8&lt;=$G21+$H21-1),2,IF(AND($C21="Milestone",CK$8&gt;=$G21,CK$8&lt;=$G21+$H21-1),1,""))</f>
        <v/>
      </c>
      <c r="CL21" s="69" t="str">
        <f ca="1">IF(AND($C21="Goal",CL$8&gt;=$G21,CL$8&lt;=$G21+$H21-1),2,IF(AND($C21="Milestone",CL$8&gt;=$G21,CL$8&lt;=$G21+$H21-1),1,""))</f>
        <v/>
      </c>
      <c r="CM21" s="69" t="str">
        <f ca="1">IF(AND($C21="Goal",CM$8&gt;=$G21,CM$8&lt;=$G21+$H21-1),2,IF(AND($C21="Milestone",CM$8&gt;=$G21,CM$8&lt;=$G21+$H21-1),1,""))</f>
        <v/>
      </c>
      <c r="CN21" s="69" t="str">
        <f ca="1">IF(AND($C21="Goal",CN$8&gt;=$G21,CN$8&lt;=$G21+$H21-1),2,IF(AND($C21="Milestone",CN$8&gt;=$G21,CN$8&lt;=$G21+$H21-1),1,""))</f>
        <v/>
      </c>
      <c r="CO21" s="69" t="str">
        <f ca="1">IF(AND($C21="Goal",CO$8&gt;=$G21,CO$8&lt;=$G21+$H21-1),2,IF(AND($C21="Milestone",CO$8&gt;=$G21,CO$8&lt;=$G21+$H21-1),1,""))</f>
        <v/>
      </c>
      <c r="CP21" s="69" t="str">
        <f ca="1">IF(AND($C21="Goal",CP$8&gt;=$G21,CP$8&lt;=$G21+$H21-1),2,IF(AND($C21="Milestone",CP$8&gt;=$G21,CP$8&lt;=$G21+$H21-1),1,""))</f>
        <v/>
      </c>
      <c r="CQ21" s="69" t="str">
        <f ca="1">IF(AND($C21="Goal",CQ$8&gt;=$G21,CQ$8&lt;=$G21+$H21-1),2,IF(AND($C21="Milestone",CQ$8&gt;=$G21,CQ$8&lt;=$G21+$H21-1),1,""))</f>
        <v/>
      </c>
      <c r="CR21" s="69" t="str">
        <f ca="1">IF(AND($C21="Goal",CR$8&gt;=$G21,CR$8&lt;=$G21+$H21-1),2,IF(AND($C21="Milestone",CR$8&gt;=$G21,CR$8&lt;=$G21+$H21-1),1,""))</f>
        <v/>
      </c>
      <c r="CS21" s="69" t="str">
        <f ca="1">IF(AND($C21="Goal",CS$8&gt;=$G21,CS$8&lt;=$G21+$H21-1),2,IF(AND($C21="Milestone",CS$8&gt;=$G21,CS$8&lt;=$G21+$H21-1),1,""))</f>
        <v/>
      </c>
      <c r="CT21" s="69" t="str">
        <f ca="1">IF(AND($C21="Goal",CT$8&gt;=$G21,CT$8&lt;=$G21+$H21-1),2,IF(AND($C21="Milestone",CT$8&gt;=$G21,CT$8&lt;=$G21+$H21-1),1,""))</f>
        <v/>
      </c>
      <c r="CU21" s="69" t="str">
        <f ca="1">IF(AND($C21="Goal",CU$8&gt;=$G21,CU$8&lt;=$G21+$H21-1),2,IF(AND($C21="Milestone",CU$8&gt;=$G21,CU$8&lt;=$G21+$H21-1),1,""))</f>
        <v/>
      </c>
      <c r="CV21" s="69" t="str">
        <f ca="1">IF(AND($C21="Goal",CV$8&gt;=$G21,CV$8&lt;=$G21+$H21-1),2,IF(AND($C21="Milestone",CV$8&gt;=$G21,CV$8&lt;=$G21+$H21-1),1,""))</f>
        <v/>
      </c>
      <c r="CW21" s="69" t="str">
        <f ca="1">IF(AND($C21="Goal",CW$8&gt;=$G21,CW$8&lt;=$G21+$H21-1),2,IF(AND($C21="Milestone",CW$8&gt;=$G21,CW$8&lt;=$G21+$H21-1),1,""))</f>
        <v/>
      </c>
      <c r="CX21" s="69" t="str">
        <f ca="1">IF(AND($C21="Goal",CX$8&gt;=$G21,CX$8&lt;=$G21+$H21-1),2,IF(AND($C21="Milestone",CX$8&gt;=$G21,CX$8&lt;=$G21+$H21-1),1,""))</f>
        <v/>
      </c>
      <c r="CY21" s="69" t="str">
        <f ca="1">IF(AND($C21="Goal",CY$8&gt;=$G21,CY$8&lt;=$G21+$H21-1),2,IF(AND($C21="Milestone",CY$8&gt;=$G21,CY$8&lt;=$G21+$H21-1),1,""))</f>
        <v/>
      </c>
      <c r="CZ21" s="69" t="str">
        <f ca="1">IF(AND($C21="Goal",CZ$8&gt;=$G21,CZ$8&lt;=$G21+$H21-1),2,IF(AND($C21="Milestone",CZ$8&gt;=$G21,CZ$8&lt;=$G21+$H21-1),1,""))</f>
        <v/>
      </c>
      <c r="DA21" s="69" t="str">
        <f ca="1">IF(AND($C21="Goal",DA$8&gt;=$G21,DA$8&lt;=$G21+$H21-1),2,IF(AND($C21="Milestone",DA$8&gt;=$G21,DA$8&lt;=$G21+$H21-1),1,""))</f>
        <v/>
      </c>
      <c r="DB21" s="69" t="str">
        <f ca="1">IF(AND($C21="Goal",DB$8&gt;=$G21,DB$8&lt;=$G21+$H21-1),2,IF(AND($C21="Milestone",DB$8&gt;=$G21,DB$8&lt;=$G21+$H21-1),1,""))</f>
        <v/>
      </c>
      <c r="DC21" s="69" t="str">
        <f ca="1">IF(AND($C21="Goal",DC$8&gt;=$G21,DC$8&lt;=$G21+$H21-1),2,IF(AND($C21="Milestone",DC$8&gt;=$G21,DC$8&lt;=$G21+$H21-1),1,""))</f>
        <v/>
      </c>
      <c r="DD21" s="69" t="str">
        <f ca="1">IF(AND($C21="Goal",DD$8&gt;=$G21,DD$8&lt;=$G21+$H21-1),2,IF(AND($C21="Milestone",DD$8&gt;=$G21,DD$8&lt;=$G21+$H21-1),1,""))</f>
        <v/>
      </c>
      <c r="DE21" s="69" t="str">
        <f ca="1">IF(AND($C21="Goal",DE$8&gt;=$G21,DE$8&lt;=$G21+$H21-1),2,IF(AND($C21="Milestone",DE$8&gt;=$G21,DE$8&lt;=$G21+$H21-1),1,""))</f>
        <v/>
      </c>
      <c r="DF21" s="69" t="str">
        <f ca="1">IF(AND($C21="Goal",DF$8&gt;=$G21,DF$8&lt;=$G21+$H21-1),2,IF(AND($C21="Milestone",DF$8&gt;=$G21,DF$8&lt;=$G21+$H21-1),1,""))</f>
        <v/>
      </c>
      <c r="DG21" s="69" t="str">
        <f ca="1">IF(AND($C21="Goal",DG$8&gt;=$G21,DG$8&lt;=$G21+$H21-1),2,IF(AND($C21="Milestone",DG$8&gt;=$G21,DG$8&lt;=$G21+$H21-1),1,""))</f>
        <v/>
      </c>
      <c r="DH21" s="69" t="str">
        <f ca="1">IF(AND($C21="Goal",DH$8&gt;=$G21,DH$8&lt;=$G21+$H21-1),2,IF(AND($C21="Milestone",DH$8&gt;=$G21,DH$8&lt;=$G21+$H21-1),1,""))</f>
        <v/>
      </c>
      <c r="DI21" s="69" t="str">
        <f ca="1">IF(AND($C21="Goal",DI$8&gt;=$G21,DI$8&lt;=$G21+$H21-1),2,IF(AND($C21="Milestone",DI$8&gt;=$G21,DI$8&lt;=$G21+$H21-1),1,""))</f>
        <v/>
      </c>
      <c r="DJ21" s="69" t="str">
        <f ca="1">IF(AND($C21="Goal",DJ$8&gt;=$G21,DJ$8&lt;=$G21+$H21-1),2,IF(AND($C21="Milestone",DJ$8&gt;=$G21,DJ$8&lt;=$G21+$H21-1),1,""))</f>
        <v/>
      </c>
      <c r="DK21" s="69" t="str">
        <f ca="1">IF(AND($C21="Goal",DK$8&gt;=$G21,DK$8&lt;=$G21+$H21-1),2,IF(AND($C21="Milestone",DK$8&gt;=$G21,DK$8&lt;=$G21+$H21-1),1,""))</f>
        <v/>
      </c>
      <c r="DL21" s="69" t="str">
        <f ca="1">IF(AND($C21="Goal",DL$8&gt;=$G21,DL$8&lt;=$G21+$H21-1),2,IF(AND($C21="Milestone",DL$8&gt;=$G21,DL$8&lt;=$G21+$H21-1),1,""))</f>
        <v/>
      </c>
      <c r="DM21" s="69" t="str">
        <f ca="1">IF(AND($C21="Goal",DM$8&gt;=$G21,DM$8&lt;=$G21+$H21-1),2,IF(AND($C21="Milestone",DM$8&gt;=$G21,DM$8&lt;=$G21+$H21-1),1,""))</f>
        <v/>
      </c>
      <c r="DN21" s="69" t="str">
        <f ca="1">IF(AND($C21="Goal",DN$8&gt;=$G21,DN$8&lt;=$G21+$H21-1),2,IF(AND($C21="Milestone",DN$8&gt;=$G21,DN$8&lt;=$G21+$H21-1),1,""))</f>
        <v/>
      </c>
      <c r="DO21" s="69" t="str">
        <f ca="1">IF(AND($C21="Goal",DO$8&gt;=$G21,DO$8&lt;=$G21+$H21-1),2,IF(AND($C21="Milestone",DO$8&gt;=$G21,DO$8&lt;=$G21+$H21-1),1,""))</f>
        <v/>
      </c>
      <c r="DP21" s="69" t="str">
        <f ca="1">IF(AND($C21="Goal",DP$8&gt;=$G21,DP$8&lt;=$G21+$H21-1),2,IF(AND($C21="Milestone",DP$8&gt;=$G21,DP$8&lt;=$G21+$H21-1),1,""))</f>
        <v/>
      </c>
      <c r="DQ21" s="69" t="str">
        <f ca="1">IF(AND($C21="Goal",DQ$8&gt;=$G21,DQ$8&lt;=$G21+$H21-1),2,IF(AND($C21="Milestone",DQ$8&gt;=$G21,DQ$8&lt;=$G21+$H21-1),1,""))</f>
        <v/>
      </c>
      <c r="DR21" s="69" t="str">
        <f ca="1">IF(AND($C21="Goal",DR$8&gt;=$G21,DR$8&lt;=$G21+$H21-1),2,IF(AND($C21="Milestone",DR$8&gt;=$G21,DR$8&lt;=$G21+$H21-1),1,""))</f>
        <v/>
      </c>
      <c r="DS21" s="69" t="str">
        <f ca="1">IF(AND($C21="Goal",DS$8&gt;=$G21,DS$8&lt;=$G21+$H21-1),2,IF(AND($C21="Milestone",DS$8&gt;=$G21,DS$8&lt;=$G21+$H21-1),1,""))</f>
        <v/>
      </c>
      <c r="DT21" s="69" t="str">
        <f ca="1">IF(AND($C21="Goal",DT$8&gt;=$G21,DT$8&lt;=$G21+$H21-1),2,IF(AND($C21="Milestone",DT$8&gt;=$G21,DT$8&lt;=$G21+$H21-1),1,""))</f>
        <v/>
      </c>
      <c r="DU21" s="69" t="str">
        <f ca="1">IF(AND($C21="Goal",DU$8&gt;=$G21,DU$8&lt;=$G21+$H21-1),2,IF(AND($C21="Milestone",DU$8&gt;=$G21,DU$8&lt;=$G21+$H21-1),1,""))</f>
        <v/>
      </c>
      <c r="DV21" s="69" t="str">
        <f ca="1">IF(AND($C21="Goal",DV$8&gt;=$G21,DV$8&lt;=$G21+$H21-1),2,IF(AND($C21="Milestone",DV$8&gt;=$G21,DV$8&lt;=$G21+$H21-1),1,""))</f>
        <v/>
      </c>
      <c r="DW21" s="69" t="str">
        <f ca="1">IF(AND($C21="Goal",DW$8&gt;=$G21,DW$8&lt;=$G21+$H21-1),2,IF(AND($C21="Milestone",DW$8&gt;=$G21,DW$8&lt;=$G21+$H21-1),1,""))</f>
        <v/>
      </c>
      <c r="DX21" s="69" t="str">
        <f ca="1">IF(AND($C21="Goal",DX$8&gt;=$G21,DX$8&lt;=$G21+$H21-1),2,IF(AND($C21="Milestone",DX$8&gt;=$G21,DX$8&lt;=$G21+$H21-1),1,""))</f>
        <v/>
      </c>
      <c r="DY21" s="69" t="str">
        <f ca="1">IF(AND($C21="Goal",DY$8&gt;=$G21,DY$8&lt;=$G21+$H21-1),2,IF(AND($C21="Milestone",DY$8&gt;=$G21,DY$8&lt;=$G21+$H21-1),1,""))</f>
        <v/>
      </c>
      <c r="DZ21" s="69" t="str">
        <f ca="1">IF(AND($C21="Goal",DZ$8&gt;=$G21,DZ$8&lt;=$G21+$H21-1),2,IF(AND($C21="Milestone",DZ$8&gt;=$G21,DZ$8&lt;=$G21+$H21-1),1,""))</f>
        <v/>
      </c>
      <c r="EA21" s="69" t="str">
        <f ca="1">IF(AND($C21="Goal",EA$8&gt;=$G21,EA$8&lt;=$G21+$H21-1),2,IF(AND($C21="Milestone",EA$8&gt;=$G21,EA$8&lt;=$G21+$H21-1),1,""))</f>
        <v/>
      </c>
      <c r="EB21" s="69" t="str">
        <f ca="1">IF(AND($C21="Goal",EB$8&gt;=$G21,EB$8&lt;=$G21+$H21-1),2,IF(AND($C21="Milestone",EB$8&gt;=$G21,EB$8&lt;=$G21+$H21-1),1,""))</f>
        <v/>
      </c>
      <c r="EC21" s="69" t="str">
        <f ca="1">IF(AND($C21="Goal",EC$8&gt;=$G21,EC$8&lt;=$G21+$H21-1),2,IF(AND($C21="Milestone",EC$8&gt;=$G21,EC$8&lt;=$G21+$H21-1),1,""))</f>
        <v/>
      </c>
      <c r="ED21" s="69" t="str">
        <f ca="1">IF(AND($C21="Goal",ED$8&gt;=$G21,ED$8&lt;=$G21+$H21-1),2,IF(AND($C21="Milestone",ED$8&gt;=$G21,ED$8&lt;=$G21+$H21-1),1,""))</f>
        <v/>
      </c>
      <c r="EE21" s="69" t="str">
        <f ca="1">IF(AND($C21="Goal",EE$8&gt;=$G21,EE$8&lt;=$G21+$H21-1),2,IF(AND($C21="Milestone",EE$8&gt;=$G21,EE$8&lt;=$G21+$H21-1),1,""))</f>
        <v/>
      </c>
      <c r="EF21" s="69" t="str">
        <f ca="1">IF(AND($C21="Goal",EF$8&gt;=$G21,EF$8&lt;=$G21+$H21-1),2,IF(AND($C21="Milestone",EF$8&gt;=$G21,EF$8&lt;=$G21+$H21-1),1,""))</f>
        <v/>
      </c>
      <c r="EG21" s="69" t="str">
        <f ca="1">IF(AND($C21="Goal",EG$8&gt;=$G21,EG$8&lt;=$G21+$H21-1),2,IF(AND($C21="Milestone",EG$8&gt;=$G21,EG$8&lt;=$G21+$H21-1),1,""))</f>
        <v/>
      </c>
      <c r="EH21" s="69" t="str">
        <f ca="1">IF(AND($C21="Goal",EH$8&gt;=$G21,EH$8&lt;=$G21+$H21-1),2,IF(AND($C21="Milestone",EH$8&gt;=$G21,EH$8&lt;=$G21+$H21-1),1,""))</f>
        <v/>
      </c>
      <c r="EI21" s="69" t="str">
        <f ca="1">IF(AND($C21="Goal",EI$8&gt;=$G21,EI$8&lt;=$G21+$H21-1),2,IF(AND($C21="Milestone",EI$8&gt;=$G21,EI$8&lt;=$G21+$H21-1),1,""))</f>
        <v/>
      </c>
      <c r="EJ21" s="69" t="str">
        <f ca="1">IF(AND($C21="Goal",EJ$8&gt;=$G21,EJ$8&lt;=$G21+$H21-1),2,IF(AND($C21="Milestone",EJ$8&gt;=$G21,EJ$8&lt;=$G21+$H21-1),1,""))</f>
        <v/>
      </c>
      <c r="EK21" s="69" t="str">
        <f ca="1">IF(AND($C21="Goal",EK$8&gt;=$G21,EK$8&lt;=$G21+$H21-1),2,IF(AND($C21="Milestone",EK$8&gt;=$G21,EK$8&lt;=$G21+$H21-1),1,""))</f>
        <v/>
      </c>
      <c r="EL21" s="69" t="str">
        <f ca="1">IF(AND($C21="Goal",EL$8&gt;=$G21,EL$8&lt;=$G21+$H21-1),2,IF(AND($C21="Milestone",EL$8&gt;=$G21,EL$8&lt;=$G21+$H21-1),1,""))</f>
        <v/>
      </c>
      <c r="EM21" s="69" t="str">
        <f ca="1">IF(AND($C21="Goal",EM$8&gt;=$G21,EM$8&lt;=$G21+$H21-1),2,IF(AND($C21="Milestone",EM$8&gt;=$G21,EM$8&lt;=$G21+$H21-1),1,""))</f>
        <v/>
      </c>
      <c r="EN21" s="69" t="str">
        <f ca="1">IF(AND($C21="Goal",EN$8&gt;=$G21,EN$8&lt;=$G21+$H21-1),2,IF(AND($C21="Milestone",EN$8&gt;=$G21,EN$8&lt;=$G21+$H21-1),1,""))</f>
        <v/>
      </c>
      <c r="EO21" s="69" t="str">
        <f ca="1">IF(AND($C21="Goal",EO$8&gt;=$G21,EO$8&lt;=$G21+$H21-1),2,IF(AND($C21="Milestone",EO$8&gt;=$G21,EO$8&lt;=$G21+$H21-1),1,""))</f>
        <v/>
      </c>
      <c r="EP21" s="69" t="str">
        <f ca="1">IF(AND($C21="Goal",EP$8&gt;=$G21,EP$8&lt;=$G21+$H21-1),2,IF(AND($C21="Milestone",EP$8&gt;=$G21,EP$8&lt;=$G21+$H21-1),1,""))</f>
        <v/>
      </c>
      <c r="EQ21" s="69" t="str">
        <f ca="1">IF(AND($C21="Goal",EQ$8&gt;=$G21,EQ$8&lt;=$G21+$H21-1),2,IF(AND($C21="Milestone",EQ$8&gt;=$G21,EQ$8&lt;=$G21+$H21-1),1,""))</f>
        <v/>
      </c>
      <c r="ER21" s="69" t="str">
        <f ca="1">IF(AND($C21="Goal",ER$8&gt;=$G21,ER$8&lt;=$G21+$H21-1),2,IF(AND($C21="Milestone",ER$8&gt;=$G21,ER$8&lt;=$G21+$H21-1),1,""))</f>
        <v/>
      </c>
      <c r="ES21" s="69" t="str">
        <f ca="1">IF(AND($C21="Goal",ES$8&gt;=$G21,ES$8&lt;=$G21+$H21-1),2,IF(AND($C21="Milestone",ES$8&gt;=$G21,ES$8&lt;=$G21+$H21-1),1,""))</f>
        <v/>
      </c>
      <c r="ET21" s="69" t="str">
        <f ca="1">IF(AND($C21="Goal",ET$8&gt;=$G21,ET$8&lt;=$G21+$H21-1),2,IF(AND($C21="Milestone",ET$8&gt;=$G21,ET$8&lt;=$G21+$H21-1),1,""))</f>
        <v/>
      </c>
      <c r="EU21" s="69" t="str">
        <f ca="1">IF(AND($C21="Goal",EU$8&gt;=$G21,EU$8&lt;=$G21+$H21-1),2,IF(AND($C21="Milestone",EU$8&gt;=$G21,EU$8&lt;=$G21+$H21-1),1,""))</f>
        <v/>
      </c>
      <c r="EV21" s="69" t="str">
        <f ca="1">IF(AND($C21="Goal",EV$8&gt;=$G21,EV$8&lt;=$G21+$H21-1),2,IF(AND($C21="Milestone",EV$8&gt;=$G21,EV$8&lt;=$G21+$H21-1),1,""))</f>
        <v/>
      </c>
      <c r="EW21" s="69" t="str">
        <f ca="1">IF(AND($C21="Goal",EW$8&gt;=$G21,EW$8&lt;=$G21+$H21-1),2,IF(AND($C21="Milestone",EW$8&gt;=$G21,EW$8&lt;=$G21+$H21-1),1,""))</f>
        <v/>
      </c>
      <c r="EX21" s="69" t="str">
        <f ca="1">IF(AND($C21="Goal",EX$8&gt;=$G21,EX$8&lt;=$G21+$H21-1),2,IF(AND($C21="Milestone",EX$8&gt;=$G21,EX$8&lt;=$G21+$H21-1),1,""))</f>
        <v/>
      </c>
      <c r="EY21" s="69" t="str">
        <f ca="1">IF(AND($C21="Goal",EY$8&gt;=$G21,EY$8&lt;=$G21+$H21-1),2,IF(AND($C21="Milestone",EY$8&gt;=$G21,EY$8&lt;=$G21+$H21-1),1,""))</f>
        <v/>
      </c>
      <c r="EZ21" s="69" t="str">
        <f ca="1">IF(AND($C21="Goal",EZ$8&gt;=$G21,EZ$8&lt;=$G21+$H21-1),2,IF(AND($C21="Milestone",EZ$8&gt;=$G21,EZ$8&lt;=$G21+$H21-1),1,""))</f>
        <v/>
      </c>
      <c r="FA21" s="69" t="str">
        <f ca="1">IF(AND($C21="Goal",FA$8&gt;=$G21,FA$8&lt;=$G21+$H21-1),2,IF(AND($C21="Milestone",FA$8&gt;=$G21,FA$8&lt;=$G21+$H21-1),1,""))</f>
        <v/>
      </c>
      <c r="FB21" s="69" t="str">
        <f ca="1">IF(AND($C21="Goal",FB$8&gt;=$G21,FB$8&lt;=$G21+$H21-1),2,IF(AND($C21="Milestone",FB$8&gt;=$G21,FB$8&lt;=$G21+$H21-1),1,""))</f>
        <v/>
      </c>
      <c r="FC21" s="69" t="str">
        <f ca="1">IF(AND($C21="Goal",FC$8&gt;=$G21,FC$8&lt;=$G21+$H21-1),2,IF(AND($C21="Milestone",FC$8&gt;=$G21,FC$8&lt;=$G21+$H21-1),1,""))</f>
        <v/>
      </c>
      <c r="FD21" s="69" t="str">
        <f ca="1">IF(AND($C21="Goal",FD$8&gt;=$G21,FD$8&lt;=$G21+$H21-1),2,IF(AND($C21="Milestone",FD$8&gt;=$G21,FD$8&lt;=$G21+$H21-1),1,""))</f>
        <v/>
      </c>
      <c r="FE21" s="69" t="str">
        <f ca="1">IF(AND($C21="Goal",FE$8&gt;=$G21,FE$8&lt;=$G21+$H21-1),2,IF(AND($C21="Milestone",FE$8&gt;=$G21,FE$8&lt;=$G21+$H21-1),1,""))</f>
        <v/>
      </c>
      <c r="FF21" s="69" t="str">
        <f ca="1">IF(AND($C21="Goal",FF$8&gt;=$G21,FF$8&lt;=$G21+$H21-1),2,IF(AND($C21="Milestone",FF$8&gt;=$G21,FF$8&lt;=$G21+$H21-1),1,""))</f>
        <v/>
      </c>
      <c r="FG21" s="69" t="str">
        <f ca="1">IF(AND($C21="Goal",FG$8&gt;=$G21,FG$8&lt;=$G21+$H21-1),2,IF(AND($C21="Milestone",FG$8&gt;=$G21,FG$8&lt;=$G21+$H21-1),1,""))</f>
        <v/>
      </c>
      <c r="FH21" s="69" t="str">
        <f ca="1">IF(AND($C21="Goal",FH$8&gt;=$G21,FH$8&lt;=$G21+$H21-1),2,IF(AND($C21="Milestone",FH$8&gt;=$G21,FH$8&lt;=$G21+$H21-1),1,""))</f>
        <v/>
      </c>
      <c r="FI21" s="69" t="str">
        <f ca="1">IF(AND($C21="Goal",FI$8&gt;=$G21,FI$8&lt;=$G21+$H21-1),2,IF(AND($C21="Milestone",FI$8&gt;=$G21,FI$8&lt;=$G21+$H21-1),1,""))</f>
        <v/>
      </c>
      <c r="FJ21" s="69" t="str">
        <f ca="1">IF(AND($C21="Goal",FJ$8&gt;=$G21,FJ$8&lt;=$G21+$H21-1),2,IF(AND($C21="Milestone",FJ$8&gt;=$G21,FJ$8&lt;=$G21+$H21-1),1,""))</f>
        <v/>
      </c>
      <c r="FK21" s="69" t="str">
        <f ca="1">IF(AND($C21="Goal",FK$8&gt;=$G21,FK$8&lt;=$G21+$H21-1),2,IF(AND($C21="Milestone",FK$8&gt;=$G21,FK$8&lt;=$G21+$H21-1),1,""))</f>
        <v/>
      </c>
      <c r="FL21" s="69" t="str">
        <f ca="1">IF(AND($C21="Goal",FL$8&gt;=$G21,FL$8&lt;=$G21+$H21-1),2,IF(AND($C21="Milestone",FL$8&gt;=$G21,FL$8&lt;=$G21+$H21-1),1,""))</f>
        <v/>
      </c>
      <c r="FM21" s="69" t="str">
        <f ca="1">IF(AND($C21="Goal",FM$8&gt;=$G21,FM$8&lt;=$G21+$H21-1),2,IF(AND($C21="Milestone",FM$8&gt;=$G21,FM$8&lt;=$G21+$H21-1),1,""))</f>
        <v/>
      </c>
      <c r="FN21" s="69" t="str">
        <f ca="1">IF(AND($C21="Goal",FN$8&gt;=$G21,FN$8&lt;=$G21+$H21-1),2,IF(AND($C21="Milestone",FN$8&gt;=$G21,FN$8&lt;=$G21+$H21-1),1,""))</f>
        <v/>
      </c>
      <c r="FO21" s="69" t="str">
        <f ca="1">IF(AND($C21="Goal",FO$8&gt;=$G21,FO$8&lt;=$G21+$H21-1),2,IF(AND($C21="Milestone",FO$8&gt;=$G21,FO$8&lt;=$G21+$H21-1),1,""))</f>
        <v/>
      </c>
      <c r="FP21" s="69" t="str">
        <f ca="1">IF(AND($C21="Goal",FP$8&gt;=$G21,FP$8&lt;=$G21+$H21-1),2,IF(AND($C21="Milestone",FP$8&gt;=$G21,FP$8&lt;=$G21+$H21-1),1,""))</f>
        <v/>
      </c>
      <c r="FQ21" s="69" t="str">
        <f ca="1">IF(AND($C21="Goal",FQ$8&gt;=$G21,FQ$8&lt;=$G21+$H21-1),2,IF(AND($C21="Milestone",FQ$8&gt;=$G21,FQ$8&lt;=$G21+$H21-1),1,""))</f>
        <v/>
      </c>
      <c r="FR21" s="69" t="str">
        <f ca="1">IF(AND($C21="Goal",FR$8&gt;=$G21,FR$8&lt;=$G21+$H21-1),2,IF(AND($C21="Milestone",FR$8&gt;=$G21,FR$8&lt;=$G21+$H21-1),1,""))</f>
        <v/>
      </c>
      <c r="FS21" s="69" t="str">
        <f ca="1">IF(AND($C21="Goal",FS$8&gt;=$G21,FS$8&lt;=$G21+$H21-1),2,IF(AND($C21="Milestone",FS$8&gt;=$G21,FS$8&lt;=$G21+$H21-1),1,""))</f>
        <v/>
      </c>
      <c r="FT21" s="69" t="str">
        <f ca="1">IF(AND($C21="Goal",FT$8&gt;=$G21,FT$8&lt;=$G21+$H21-1),2,IF(AND($C21="Milestone",FT$8&gt;=$G21,FT$8&lt;=$G21+$H21-1),1,""))</f>
        <v/>
      </c>
      <c r="FU21" s="69" t="str">
        <f ca="1">IF(AND($C21="Goal",FU$8&gt;=$G21,FU$8&lt;=$G21+$H21-1),2,IF(AND($C21="Milestone",FU$8&gt;=$G21,FU$8&lt;=$G21+$H21-1),1,""))</f>
        <v/>
      </c>
      <c r="FV21" s="69" t="str">
        <f ca="1">IF(AND($C21="Goal",FV$8&gt;=$G21,FV$8&lt;=$G21+$H21-1),2,IF(AND($C21="Milestone",FV$8&gt;=$G21,FV$8&lt;=$G21+$H21-1),1,""))</f>
        <v/>
      </c>
      <c r="FW21" s="69" t="str">
        <f ca="1">IF(AND($C21="Goal",FW$8&gt;=$G21,FW$8&lt;=$G21+$H21-1),2,IF(AND($C21="Milestone",FW$8&gt;=$G21,FW$8&lt;=$G21+$H21-1),1,""))</f>
        <v/>
      </c>
      <c r="FX21" s="69" t="str">
        <f ca="1">IF(AND($C21="Goal",FX$8&gt;=$G21,FX$8&lt;=$G21+$H21-1),2,IF(AND($C21="Milestone",FX$8&gt;=$G21,FX$8&lt;=$G21+$H21-1),1,""))</f>
        <v/>
      </c>
      <c r="FY21" s="69" t="str">
        <f ca="1">IF(AND($C21="Goal",FY$8&gt;=$G21,FY$8&lt;=$G21+$H21-1),2,IF(AND($C21="Milestone",FY$8&gt;=$G21,FY$8&lt;=$G21+$H21-1),1,""))</f>
        <v/>
      </c>
      <c r="FZ21" s="69" t="str">
        <f ca="1">IF(AND($C21="Goal",FZ$8&gt;=$G21,FZ$8&lt;=$G21+$H21-1),2,IF(AND($C21="Milestone",FZ$8&gt;=$G21,FZ$8&lt;=$G21+$H21-1),1,""))</f>
        <v/>
      </c>
      <c r="GA21" s="69" t="str">
        <f ca="1">IF(AND($C21="Goal",GA$8&gt;=$G21,GA$8&lt;=$G21+$H21-1),2,IF(AND($C21="Milestone",GA$8&gt;=$G21,GA$8&lt;=$G21+$H21-1),1,""))</f>
        <v/>
      </c>
      <c r="GB21" s="69" t="str">
        <f ca="1">IF(AND($C21="Goal",GB$8&gt;=$G21,GB$8&lt;=$G21+$H21-1),2,IF(AND($C21="Milestone",GB$8&gt;=$G21,GB$8&lt;=$G21+$H21-1),1,""))</f>
        <v/>
      </c>
      <c r="GC21" s="69" t="str">
        <f ca="1">IF(AND($C21="Goal",GC$8&gt;=$G21,GC$8&lt;=$G21+$H21-1),2,IF(AND($C21="Milestone",GC$8&gt;=$G21,GC$8&lt;=$G21+$H21-1),1,""))</f>
        <v/>
      </c>
      <c r="GD21" s="69" t="str">
        <f ca="1">IF(AND($C21="Goal",GD$8&gt;=$G21,GD$8&lt;=$G21+$H21-1),2,IF(AND($C21="Milestone",GD$8&gt;=$G21,GD$8&lt;=$G21+$H21-1),1,""))</f>
        <v/>
      </c>
      <c r="GE21" s="69" t="str">
        <f ca="1">IF(AND($C21="Goal",GE$8&gt;=$G21,GE$8&lt;=$G21+$H21-1),2,IF(AND($C21="Milestone",GE$8&gt;=$G21,GE$8&lt;=$G21+$H21-1),1,""))</f>
        <v/>
      </c>
      <c r="GF21" s="69" t="str">
        <f ca="1">IF(AND($C21="Goal",GF$8&gt;=$G21,GF$8&lt;=$G21+$H21-1),2,IF(AND($C21="Milestone",GF$8&gt;=$G21,GF$8&lt;=$G21+$H21-1),1,""))</f>
        <v/>
      </c>
      <c r="GG21" s="69" t="str">
        <f ca="1">IF(AND($C21="Goal",GG$8&gt;=$G21,GG$8&lt;=$G21+$H21-1),2,IF(AND($C21="Milestone",GG$8&gt;=$G21,GG$8&lt;=$G21+$H21-1),1,""))</f>
        <v/>
      </c>
      <c r="GH21" s="69" t="str">
        <f ca="1">IF(AND($C21="Goal",GH$8&gt;=$G21,GH$8&lt;=$G21+$H21-1),2,IF(AND($C21="Milestone",GH$8&gt;=$G21,GH$8&lt;=$G21+$H21-1),1,""))</f>
        <v/>
      </c>
      <c r="GI21" s="69" t="str">
        <f ca="1">IF(AND($C21="Goal",GI$8&gt;=$G21,GI$8&lt;=$G21+$H21-1),2,IF(AND($C21="Milestone",GI$8&gt;=$G21,GI$8&lt;=$G21+$H21-1),1,""))</f>
        <v/>
      </c>
      <c r="GJ21" s="69" t="str">
        <f ca="1">IF(AND($C21="Goal",GJ$8&gt;=$G21,GJ$8&lt;=$G21+$H21-1),2,IF(AND($C21="Milestone",GJ$8&gt;=$G21,GJ$8&lt;=$G21+$H21-1),1,""))</f>
        <v/>
      </c>
      <c r="GK21" s="69" t="str">
        <f ca="1">IF(AND($C21="Goal",GK$8&gt;=$G21,GK$8&lt;=$G21+$H21-1),2,IF(AND($C21="Milestone",GK$8&gt;=$G21,GK$8&lt;=$G21+$H21-1),1,""))</f>
        <v/>
      </c>
      <c r="GL21" s="69" t="str">
        <f ca="1">IF(AND($C21="Goal",GL$8&gt;=$G21,GL$8&lt;=$G21+$H21-1),2,IF(AND($C21="Milestone",GL$8&gt;=$G21,GL$8&lt;=$G21+$H21-1),1,""))</f>
        <v/>
      </c>
      <c r="GM21" s="69" t="str">
        <f ca="1">IF(AND($C21="Goal",GM$8&gt;=$G21,GM$8&lt;=$G21+$H21-1),2,IF(AND($C21="Milestone",GM$8&gt;=$G21,GM$8&lt;=$G21+$H21-1),1,""))</f>
        <v/>
      </c>
      <c r="GN21" s="69" t="str">
        <f ca="1">IF(AND($C21="Goal",GN$8&gt;=$G21,GN$8&lt;=$G21+$H21-1),2,IF(AND($C21="Milestone",GN$8&gt;=$G21,GN$8&lt;=$G21+$H21-1),1,""))</f>
        <v/>
      </c>
      <c r="GO21" s="69" t="str">
        <f ca="1">IF(AND($C21="Goal",GO$8&gt;=$G21,GO$8&lt;=$G21+$H21-1),2,IF(AND($C21="Milestone",GO$8&gt;=$G21,GO$8&lt;=$G21+$H21-1),1,""))</f>
        <v/>
      </c>
      <c r="GP21" s="69" t="str">
        <f ca="1">IF(AND($C21="Goal",GP$8&gt;=$G21,GP$8&lt;=$G21+$H21-1),2,IF(AND($C21="Milestone",GP$8&gt;=$G21,GP$8&lt;=$G21+$H21-1),1,""))</f>
        <v/>
      </c>
      <c r="GQ21" s="69" t="str">
        <f ca="1">IF(AND($C21="Goal",GQ$8&gt;=$G21,GQ$8&lt;=$G21+$H21-1),2,IF(AND($C21="Milestone",GQ$8&gt;=$G21,GQ$8&lt;=$G21+$H21-1),1,""))</f>
        <v/>
      </c>
      <c r="GR21" s="69" t="str">
        <f ca="1">IF(AND($C21="Goal",GR$8&gt;=$G21,GR$8&lt;=$G21+$H21-1),2,IF(AND($C21="Milestone",GR$8&gt;=$G21,GR$8&lt;=$G21+$H21-1),1,""))</f>
        <v/>
      </c>
      <c r="GS21" s="69" t="str">
        <f ca="1">IF(AND($C21="Goal",GS$8&gt;=$G21,GS$8&lt;=$G21+$H21-1),2,IF(AND($C21="Milestone",GS$8&gt;=$G21,GS$8&lt;=$G21+$H21-1),1,""))</f>
        <v/>
      </c>
      <c r="GT21" s="69" t="str">
        <f ca="1">IF(AND($C21="Goal",GT$8&gt;=$G21,GT$8&lt;=$G21+$H21-1),2,IF(AND($C21="Milestone",GT$8&gt;=$G21,GT$8&lt;=$G21+$H21-1),1,""))</f>
        <v/>
      </c>
      <c r="GU21" s="69" t="str">
        <f ca="1">IF(AND($C21="Goal",GU$8&gt;=$G21,GU$8&lt;=$G21+$H21-1),2,IF(AND($C21="Milestone",GU$8&gt;=$G21,GU$8&lt;=$G21+$H21-1),1,""))</f>
        <v/>
      </c>
      <c r="GV21" s="69" t="str">
        <f ca="1">IF(AND($C21="Goal",GV$8&gt;=$G21,GV$8&lt;=$G21+$H21-1),2,IF(AND($C21="Milestone",GV$8&gt;=$G21,GV$8&lt;=$G21+$H21-1),1,""))</f>
        <v/>
      </c>
      <c r="GW21" s="69" t="str">
        <f ca="1">IF(AND($C21="Goal",GW$8&gt;=$G21,GW$8&lt;=$G21+$H21-1),2,IF(AND($C21="Milestone",GW$8&gt;=$G21,GW$8&lt;=$G21+$H21-1),1,""))</f>
        <v/>
      </c>
      <c r="GX21" s="69" t="str">
        <f ca="1">IF(AND($C21="Goal",GX$8&gt;=$G21,GX$8&lt;=$G21+$H21-1),2,IF(AND($C21="Milestone",GX$8&gt;=$G21,GX$8&lt;=$G21+$H21-1),1,""))</f>
        <v/>
      </c>
      <c r="GY21" s="69" t="str">
        <f ca="1">IF(AND($C21="Goal",GY$8&gt;=$G21,GY$8&lt;=$G21+$H21-1),2,IF(AND($C21="Milestone",GY$8&gt;=$G21,GY$8&lt;=$G21+$H21-1),1,""))</f>
        <v/>
      </c>
      <c r="GZ21" s="69" t="str">
        <f ca="1">IF(AND($C21="Goal",GZ$8&gt;=$G21,GZ$8&lt;=$G21+$H21-1),2,IF(AND($C21="Milestone",GZ$8&gt;=$G21,GZ$8&lt;=$G21+$H21-1),1,""))</f>
        <v/>
      </c>
      <c r="HA21" s="69" t="str">
        <f ca="1">IF(AND($C21="Goal",HA$8&gt;=$G21,HA$8&lt;=$G21+$H21-1),2,IF(AND($C21="Milestone",HA$8&gt;=$G21,HA$8&lt;=$G21+$H21-1),1,""))</f>
        <v/>
      </c>
      <c r="HB21" s="69" t="str">
        <f ca="1">IF(AND($C21="Goal",HB$8&gt;=$G21,HB$8&lt;=$G21+$H21-1),2,IF(AND($C21="Milestone",HB$8&gt;=$G21,HB$8&lt;=$G21+$H21-1),1,""))</f>
        <v/>
      </c>
      <c r="HC21" s="69" t="str">
        <f ca="1">IF(AND($C21="Goal",HC$8&gt;=$G21,HC$8&lt;=$G21+$H21-1),2,IF(AND($C21="Milestone",HC$8&gt;=$G21,HC$8&lt;=$G21+$H21-1),1,""))</f>
        <v/>
      </c>
      <c r="HD21" s="69" t="str">
        <f ca="1">IF(AND($C21="Goal",HD$8&gt;=$G21,HD$8&lt;=$G21+$H21-1),2,IF(AND($C21="Milestone",HD$8&gt;=$G21,HD$8&lt;=$G21+$H21-1),1,""))</f>
        <v/>
      </c>
      <c r="HE21" s="69" t="str">
        <f ca="1">IF(AND($C21="Goal",HE$8&gt;=$G21,HE$8&lt;=$G21+$H21-1),2,IF(AND($C21="Milestone",HE$8&gt;=$G21,HE$8&lt;=$G21+$H21-1),1,""))</f>
        <v/>
      </c>
      <c r="HF21" s="69" t="str">
        <f ca="1">IF(AND($C21="Goal",HF$8&gt;=$G21,HF$8&lt;=$G21+$H21-1),2,IF(AND($C21="Milestone",HF$8&gt;=$G21,HF$8&lt;=$G21+$H21-1),1,""))</f>
        <v/>
      </c>
      <c r="HG21" s="69" t="str">
        <f ca="1">IF(AND($C21="Goal",HG$8&gt;=$G21,HG$8&lt;=$G21+$H21-1),2,IF(AND($C21="Milestone",HG$8&gt;=$G21,HG$8&lt;=$G21+$H21-1),1,""))</f>
        <v/>
      </c>
      <c r="HH21" s="69" t="str">
        <f ca="1">IF(AND($C21="Goal",HH$8&gt;=$G21,HH$8&lt;=$G21+$H21-1),2,IF(AND($C21="Milestone",HH$8&gt;=$G21,HH$8&lt;=$G21+$H21-1),1,""))</f>
        <v/>
      </c>
      <c r="HI21" s="69" t="str">
        <f ca="1">IF(AND($C21="Goal",HI$8&gt;=$G21,HI$8&lt;=$G21+$H21-1),2,IF(AND($C21="Milestone",HI$8&gt;=$G21,HI$8&lt;=$G21+$H21-1),1,""))</f>
        <v/>
      </c>
      <c r="HJ21" s="69" t="str">
        <f ca="1">IF(AND($C21="Goal",HJ$8&gt;=$G21,HJ$8&lt;=$G21+$H21-1),2,IF(AND($C21="Milestone",HJ$8&gt;=$G21,HJ$8&lt;=$G21+$H21-1),1,""))</f>
        <v/>
      </c>
      <c r="HK21" s="69" t="str">
        <f ca="1">IF(AND($C21="Goal",HK$8&gt;=$G21,HK$8&lt;=$G21+$H21-1),2,IF(AND($C21="Milestone",HK$8&gt;=$G21,HK$8&lt;=$G21+$H21-1),1,""))</f>
        <v/>
      </c>
      <c r="HL21" s="69" t="str">
        <f ca="1">IF(AND($C21="Goal",HL$8&gt;=$G21,HL$8&lt;=$G21+$H21-1),2,IF(AND($C21="Milestone",HL$8&gt;=$G21,HL$8&lt;=$G21+$H21-1),1,""))</f>
        <v/>
      </c>
      <c r="HM21" s="69" t="str">
        <f ca="1">IF(AND($C21="Goal",HM$8&gt;=$G21,HM$8&lt;=$G21+$H21-1),2,IF(AND($C21="Milestone",HM$8&gt;=$G21,HM$8&lt;=$G21+$H21-1),1,""))</f>
        <v/>
      </c>
      <c r="HN21" s="69" t="str">
        <f ca="1">IF(AND($C21="Goal",HN$8&gt;=$G21,HN$8&lt;=$G21+$H21-1),2,IF(AND($C21="Milestone",HN$8&gt;=$G21,HN$8&lt;=$G21+$H21-1),1,""))</f>
        <v/>
      </c>
      <c r="HO21" s="69" t="str">
        <f ca="1">IF(AND($C21="Goal",HO$8&gt;=$G21,HO$8&lt;=$G21+$H21-1),2,IF(AND($C21="Milestone",HO$8&gt;=$G21,HO$8&lt;=$G21+$H21-1),1,""))</f>
        <v/>
      </c>
      <c r="HP21" s="69" t="str">
        <f ca="1">IF(AND($C21="Goal",HP$8&gt;=$G21,HP$8&lt;=$G21+$H21-1),2,IF(AND($C21="Milestone",HP$8&gt;=$G21,HP$8&lt;=$G21+$H21-1),1,""))</f>
        <v/>
      </c>
      <c r="HQ21" s="69" t="str">
        <f ca="1">IF(AND($C21="Goal",HQ$8&gt;=$G21,HQ$8&lt;=$G21+$H21-1),2,IF(AND($C21="Milestone",HQ$8&gt;=$G21,HQ$8&lt;=$G21+$H21-1),1,""))</f>
        <v/>
      </c>
      <c r="HR21" s="69" t="str">
        <f ca="1">IF(AND($C21="Goal",HR$8&gt;=$G21,HR$8&lt;=$G21+$H21-1),2,IF(AND($C21="Milestone",HR$8&gt;=$G21,HR$8&lt;=$G21+$H21-1),1,""))</f>
        <v/>
      </c>
      <c r="HS21" s="69" t="str">
        <f ca="1">IF(AND($C21="Goal",HS$8&gt;=$G21,HS$8&lt;=$G21+$H21-1),2,IF(AND($C21="Milestone",HS$8&gt;=$G21,HS$8&lt;=$G21+$H21-1),1,""))</f>
        <v/>
      </c>
      <c r="HT21" s="69" t="str">
        <f ca="1">IF(AND($C21="Goal",HT$8&gt;=$G21,HT$8&lt;=$G21+$H21-1),2,IF(AND($C21="Milestone",HT$8&gt;=$G21,HT$8&lt;=$G21+$H21-1),1,""))</f>
        <v/>
      </c>
      <c r="HU21" s="69" t="str">
        <f ca="1">IF(AND($C21="Goal",HU$8&gt;=$G21,HU$8&lt;=$G21+$H21-1),2,IF(AND($C21="Milestone",HU$8&gt;=$G21,HU$8&lt;=$G21+$H21-1),1,""))</f>
        <v/>
      </c>
      <c r="HV21" s="69" t="str">
        <f ca="1">IF(AND($C21="Goal",HV$8&gt;=$G21,HV$8&lt;=$G21+$H21-1),2,IF(AND($C21="Milestone",HV$8&gt;=$G21,HV$8&lt;=$G21+$H21-1),1,""))</f>
        <v/>
      </c>
      <c r="HW21" s="69" t="str">
        <f ca="1">IF(AND($C21="Goal",HW$8&gt;=$G21,HW$8&lt;=$G21+$H21-1),2,IF(AND($C21="Milestone",HW$8&gt;=$G21,HW$8&lt;=$G21+$H21-1),1,""))</f>
        <v/>
      </c>
      <c r="HX21" s="69" t="str">
        <f ca="1">IF(AND($C21="Goal",HX$8&gt;=$G21,HX$8&lt;=$G21+$H21-1),2,IF(AND($C21="Milestone",HX$8&gt;=$G21,HX$8&lt;=$G21+$H21-1),1,""))</f>
        <v/>
      </c>
      <c r="HY21" s="69" t="str">
        <f ca="1">IF(AND($C21="Goal",HY$8&gt;=$G21,HY$8&lt;=$G21+$H21-1),2,IF(AND($C21="Milestone",HY$8&gt;=$G21,HY$8&lt;=$G21+$H21-1),1,""))</f>
        <v/>
      </c>
      <c r="HZ21" s="69" t="str">
        <f ca="1">IF(AND($C21="Goal",HZ$8&gt;=$G21,HZ$8&lt;=$G21+$H21-1),2,IF(AND($C21="Milestone",HZ$8&gt;=$G21,HZ$8&lt;=$G21+$H21-1),1,""))</f>
        <v/>
      </c>
      <c r="IA21" s="69" t="str">
        <f ca="1">IF(AND($C21="Goal",IA$8&gt;=$G21,IA$8&lt;=$G21+$H21-1),2,IF(AND($C21="Milestone",IA$8&gt;=$G21,IA$8&lt;=$G21+$H21-1),1,""))</f>
        <v/>
      </c>
      <c r="IB21" s="69" t="str">
        <f ca="1">IF(AND($C21="Goal",IB$8&gt;=$G21,IB$8&lt;=$G21+$H21-1),2,IF(AND($C21="Milestone",IB$8&gt;=$G21,IB$8&lt;=$G21+$H21-1),1,""))</f>
        <v/>
      </c>
      <c r="IC21" s="69" t="str">
        <f ca="1">IF(AND($C21="Goal",IC$8&gt;=$G21,IC$8&lt;=$G21+$H21-1),2,IF(AND($C21="Milestone",IC$8&gt;=$G21,IC$8&lt;=$G21+$H21-1),1,""))</f>
        <v/>
      </c>
      <c r="ID21" s="69" t="str">
        <f ca="1">IF(AND($C21="Goal",ID$8&gt;=$G21,ID$8&lt;=$G21+$H21-1),2,IF(AND($C21="Milestone",ID$8&gt;=$G21,ID$8&lt;=$G21+$H21-1),1,""))</f>
        <v/>
      </c>
      <c r="IE21" s="69" t="str">
        <f ca="1">IF(AND($C21="Goal",IE$8&gt;=$G21,IE$8&lt;=$G21+$H21-1),2,IF(AND($C21="Milestone",IE$8&gt;=$G21,IE$8&lt;=$G21+$H21-1),1,""))</f>
        <v/>
      </c>
      <c r="IF21" s="69" t="str">
        <f ca="1">IF(AND($C21="Goal",IF$8&gt;=$G21,IF$8&lt;=$G21+$H21-1),2,IF(AND($C21="Milestone",IF$8&gt;=$G21,IF$8&lt;=$G21+$H21-1),1,""))</f>
        <v/>
      </c>
      <c r="IG21" s="69" t="str">
        <f ca="1">IF(AND($C21="Goal",IG$8&gt;=$G21,IG$8&lt;=$G21+$H21-1),2,IF(AND($C21="Milestone",IG$8&gt;=$G21,IG$8&lt;=$G21+$H21-1),1,""))</f>
        <v/>
      </c>
      <c r="IH21" s="69" t="str">
        <f ca="1">IF(AND($C21="Goal",IH$8&gt;=$G21,IH$8&lt;=$G21+$H21-1),2,IF(AND($C21="Milestone",IH$8&gt;=$G21,IH$8&lt;=$G21+$H21-1),1,""))</f>
        <v/>
      </c>
      <c r="II21" s="69" t="str">
        <f ca="1">IF(AND($C21="Goal",II$8&gt;=$G21,II$8&lt;=$G21+$H21-1),2,IF(AND($C21="Milestone",II$8&gt;=$G21,II$8&lt;=$G21+$H21-1),1,""))</f>
        <v/>
      </c>
      <c r="IJ21" s="69" t="str">
        <f ca="1">IF(AND($C21="Goal",IJ$8&gt;=$G21,IJ$8&lt;=$G21+$H21-1),2,IF(AND($C21="Milestone",IJ$8&gt;=$G21,IJ$8&lt;=$G21+$H21-1),1,""))</f>
        <v/>
      </c>
      <c r="IK21" s="69" t="str">
        <f ca="1">IF(AND($C21="Goal",IK$8&gt;=$G21,IK$8&lt;=$G21+$H21-1),2,IF(AND($C21="Milestone",IK$8&gt;=$G21,IK$8&lt;=$G21+$H21-1),1,""))</f>
        <v/>
      </c>
      <c r="IL21" s="69" t="str">
        <f ca="1">IF(AND($C21="Goal",IL$8&gt;=$G21,IL$8&lt;=$G21+$H21-1),2,IF(AND($C21="Milestone",IL$8&gt;=$G21,IL$8&lt;=$G21+$H21-1),1,""))</f>
        <v/>
      </c>
      <c r="IM21" s="69" t="str">
        <f ca="1">IF(AND($C21="Goal",IM$8&gt;=$G21,IM$8&lt;=$G21+$H21-1),2,IF(AND($C21="Milestone",IM$8&gt;=$G21,IM$8&lt;=$G21+$H21-1),1,""))</f>
        <v/>
      </c>
      <c r="IN21" s="69" t="str">
        <f ca="1">IF(AND($C21="Goal",IN$8&gt;=$G21,IN$8&lt;=$G21+$H21-1),2,IF(AND($C21="Milestone",IN$8&gt;=$G21,IN$8&lt;=$G21+$H21-1),1,""))</f>
        <v/>
      </c>
      <c r="IO21" s="69" t="str">
        <f ca="1">IF(AND($C21="Goal",IO$8&gt;=$G21,IO$8&lt;=$G21+$H21-1),2,IF(AND($C21="Milestone",IO$8&gt;=$G21,IO$8&lt;=$G21+$H21-1),1,""))</f>
        <v/>
      </c>
      <c r="IP21" s="69" t="str">
        <f ca="1">IF(AND($C21="Goal",IP$8&gt;=$G21,IP$8&lt;=$G21+$H21-1),2,IF(AND($C21="Milestone",IP$8&gt;=$G21,IP$8&lt;=$G21+$H21-1),1,""))</f>
        <v/>
      </c>
      <c r="IQ21" s="69" t="str">
        <f ca="1">IF(AND($C21="Goal",IQ$8&gt;=$G21,IQ$8&lt;=$G21+$H21-1),2,IF(AND($C21="Milestone",IQ$8&gt;=$G21,IQ$8&lt;=$G21+$H21-1),1,""))</f>
        <v/>
      </c>
      <c r="IR21" s="69" t="str">
        <f ca="1">IF(AND($C21="Goal",IR$8&gt;=$G21,IR$8&lt;=$G21+$H21-1),2,IF(AND($C21="Milestone",IR$8&gt;=$G21,IR$8&lt;=$G21+$H21-1),1,""))</f>
        <v/>
      </c>
      <c r="IS21" s="69" t="str">
        <f ca="1">IF(AND($C21="Goal",IS$8&gt;=$G21,IS$8&lt;=$G21+$H21-1),2,IF(AND($C21="Milestone",IS$8&gt;=$G21,IS$8&lt;=$G21+$H21-1),1,""))</f>
        <v/>
      </c>
      <c r="IT21" s="69" t="str">
        <f ca="1">IF(AND($C21="Goal",IT$8&gt;=$G21,IT$8&lt;=$G21+$H21-1),2,IF(AND($C21="Milestone",IT$8&gt;=$G21,IT$8&lt;=$G21+$H21-1),1,""))</f>
        <v/>
      </c>
      <c r="IU21" s="69" t="str">
        <f ca="1">IF(AND($C21="Goal",IU$8&gt;=$G21,IU$8&lt;=$G21+$H21-1),2,IF(AND($C21="Milestone",IU$8&gt;=$G21,IU$8&lt;=$G21+$H21-1),1,""))</f>
        <v/>
      </c>
      <c r="IV21" s="69" t="str">
        <f ca="1">IF(AND($C21="Goal",IV$8&gt;=$G21,IV$8&lt;=$G21+$H21-1),2,IF(AND($C21="Milestone",IV$8&gt;=$G21,IV$8&lt;=$G21+$H21-1),1,""))</f>
        <v/>
      </c>
      <c r="IW21" s="69" t="str">
        <f ca="1">IF(AND($C21="Goal",IW$8&gt;=$G21,IW$8&lt;=$G21+$H21-1),2,IF(AND($C21="Milestone",IW$8&gt;=$G21,IW$8&lt;=$G21+$H21-1),1,""))</f>
        <v/>
      </c>
      <c r="IX21" s="69" t="str">
        <f ca="1">IF(AND($C21="Goal",IX$8&gt;=$G21,IX$8&lt;=$G21+$H21-1),2,IF(AND($C21="Milestone",IX$8&gt;=$G21,IX$8&lt;=$G21+$H21-1),1,""))</f>
        <v/>
      </c>
      <c r="IY21" s="69" t="str">
        <f ca="1">IF(AND($C21="Goal",IY$8&gt;=$G21,IY$8&lt;=$G21+$H21-1),2,IF(AND($C21="Milestone",IY$8&gt;=$G21,IY$8&lt;=$G21+$H21-1),1,""))</f>
        <v/>
      </c>
      <c r="IZ21" s="69" t="str">
        <f ca="1">IF(AND($C21="Goal",IZ$8&gt;=$G21,IZ$8&lt;=$G21+$H21-1),2,IF(AND($C21="Milestone",IZ$8&gt;=$G21,IZ$8&lt;=$G21+$H21-1),1,""))</f>
        <v/>
      </c>
      <c r="JA21" s="69" t="str">
        <f ca="1">IF(AND($C21="Goal",JA$8&gt;=$G21,JA$8&lt;=$G21+$H21-1),2,IF(AND($C21="Milestone",JA$8&gt;=$G21,JA$8&lt;=$G21+$H21-1),1,""))</f>
        <v/>
      </c>
      <c r="JB21" s="69" t="str">
        <f ca="1">IF(AND($C21="Goal",JB$8&gt;=$G21,JB$8&lt;=$G21+$H21-1),2,IF(AND($C21="Milestone",JB$8&gt;=$G21,JB$8&lt;=$G21+$H21-1),1,""))</f>
        <v/>
      </c>
      <c r="JC21" s="69" t="str">
        <f ca="1">IF(AND($C21="Goal",JC$8&gt;=$G21,JC$8&lt;=$G21+$H21-1),2,IF(AND($C21="Milestone",JC$8&gt;=$G21,JC$8&lt;=$G21+$H21-1),1,""))</f>
        <v/>
      </c>
      <c r="JD21" s="69" t="str">
        <f ca="1">IF(AND($C21="Goal",JD$8&gt;=$G21,JD$8&lt;=$G21+$H21-1),2,IF(AND($C21="Milestone",JD$8&gt;=$G21,JD$8&lt;=$G21+$H21-1),1,""))</f>
        <v/>
      </c>
      <c r="JE21" s="69" t="str">
        <f ca="1">IF(AND($C21="Goal",JE$8&gt;=$G21,JE$8&lt;=$G21+$H21-1),2,IF(AND($C21="Milestone",JE$8&gt;=$G21,JE$8&lt;=$G21+$H21-1),1,""))</f>
        <v/>
      </c>
      <c r="JF21" s="69" t="str">
        <f ca="1">IF(AND($C21="Goal",JF$8&gt;=$G21,JF$8&lt;=$G21+$H21-1),2,IF(AND($C21="Milestone",JF$8&gt;=$G21,JF$8&lt;=$G21+$H21-1),1,""))</f>
        <v/>
      </c>
      <c r="JG21" s="69" t="str">
        <f ca="1">IF(AND($C21="Goal",JG$8&gt;=$G21,JG$8&lt;=$G21+$H21-1),2,IF(AND($C21="Milestone",JG$8&gt;=$G21,JG$8&lt;=$G21+$H21-1),1,""))</f>
        <v/>
      </c>
      <c r="JH21" s="69" t="str">
        <f ca="1">IF(AND($C21="Goal",JH$8&gt;=$G21,JH$8&lt;=$G21+$H21-1),2,IF(AND($C21="Milestone",JH$8&gt;=$G21,JH$8&lt;=$G21+$H21-1),1,""))</f>
        <v/>
      </c>
      <c r="JI21" s="69" t="str">
        <f ca="1">IF(AND($C21="Goal",JI$8&gt;=$G21,JI$8&lt;=$G21+$H21-1),2,IF(AND($C21="Milestone",JI$8&gt;=$G21,JI$8&lt;=$G21+$H21-1),1,""))</f>
        <v/>
      </c>
      <c r="JJ21" s="69" t="str">
        <f ca="1">IF(AND($C21="Goal",JJ$8&gt;=$G21,JJ$8&lt;=$G21+$H21-1),2,IF(AND($C21="Milestone",JJ$8&gt;=$G21,JJ$8&lt;=$G21+$H21-1),1,""))</f>
        <v/>
      </c>
      <c r="JK21" s="69" t="str">
        <f ca="1">IF(AND($C21="Goal",JK$8&gt;=$G21,JK$8&lt;=$G21+$H21-1),2,IF(AND($C21="Milestone",JK$8&gt;=$G21,JK$8&lt;=$G21+$H21-1),1,""))</f>
        <v/>
      </c>
      <c r="JL21" s="69" t="str">
        <f ca="1">IF(AND($C21="Goal",JL$8&gt;=$G21,JL$8&lt;=$G21+$H21-1),2,IF(AND($C21="Milestone",JL$8&gt;=$G21,JL$8&lt;=$G21+$H21-1),1,""))</f>
        <v/>
      </c>
      <c r="JM21" s="69" t="str">
        <f ca="1">IF(AND($C21="Goal",JM$8&gt;=$G21,JM$8&lt;=$G21+$H21-1),2,IF(AND($C21="Milestone",JM$8&gt;=$G21,JM$8&lt;=$G21+$H21-1),1,""))</f>
        <v/>
      </c>
      <c r="JN21" s="69" t="str">
        <f ca="1">IF(AND($C21="Goal",JN$8&gt;=$G21,JN$8&lt;=$G21+$H21-1),2,IF(AND($C21="Milestone",JN$8&gt;=$G21,JN$8&lt;=$G21+$H21-1),1,""))</f>
        <v/>
      </c>
      <c r="JO21" s="69" t="str">
        <f ca="1">IF(AND($C21="Goal",JO$8&gt;=$G21,JO$8&lt;=$G21+$H21-1),2,IF(AND($C21="Milestone",JO$8&gt;=$G21,JO$8&lt;=$G21+$H21-1),1,""))</f>
        <v/>
      </c>
      <c r="JP21" s="69" t="str">
        <f ca="1">IF(AND($C21="Goal",JP$8&gt;=$G21,JP$8&lt;=$G21+$H21-1),2,IF(AND($C21="Milestone",JP$8&gt;=$G21,JP$8&lt;=$G21+$H21-1),1,""))</f>
        <v/>
      </c>
      <c r="JQ21" s="69" t="str">
        <f ca="1">IF(AND($C21="Goal",JQ$8&gt;=$G21,JQ$8&lt;=$G21+$H21-1),2,IF(AND($C21="Milestone",JQ$8&gt;=$G21,JQ$8&lt;=$G21+$H21-1),1,""))</f>
        <v/>
      </c>
      <c r="JR21" s="69" t="str">
        <f ca="1">IF(AND($C21="Goal",JR$8&gt;=$G21,JR$8&lt;=$G21+$H21-1),2,IF(AND($C21="Milestone",JR$8&gt;=$G21,JR$8&lt;=$G21+$H21-1),1,""))</f>
        <v/>
      </c>
      <c r="JS21" s="69" t="str">
        <f ca="1">IF(AND($C21="Goal",JS$8&gt;=$G21,JS$8&lt;=$G21+$H21-1),2,IF(AND($C21="Milestone",JS$8&gt;=$G21,JS$8&lt;=$G21+$H21-1),1,""))</f>
        <v/>
      </c>
      <c r="JT21" s="69" t="str">
        <f ca="1">IF(AND($C21="Goal",JT$8&gt;=$G21,JT$8&lt;=$G21+$H21-1),2,IF(AND($C21="Milestone",JT$8&gt;=$G21,JT$8&lt;=$G21+$H21-1),1,""))</f>
        <v/>
      </c>
      <c r="JU21" s="69" t="str">
        <f ca="1">IF(AND($C21="Goal",JU$8&gt;=$G21,JU$8&lt;=$G21+$H21-1),2,IF(AND($C21="Milestone",JU$8&gt;=$G21,JU$8&lt;=$G21+$H21-1),1,""))</f>
        <v/>
      </c>
      <c r="JV21" s="69" t="str">
        <f ca="1">IF(AND($C21="Goal",JV$8&gt;=$G21,JV$8&lt;=$G21+$H21-1),2,IF(AND($C21="Milestone",JV$8&gt;=$G21,JV$8&lt;=$G21+$H21-1),1,""))</f>
        <v/>
      </c>
      <c r="JW21" s="69" t="str">
        <f ca="1">IF(AND($C21="Goal",JW$8&gt;=$G21,JW$8&lt;=$G21+$H21-1),2,IF(AND($C21="Milestone",JW$8&gt;=$G21,JW$8&lt;=$G21+$H21-1),1,""))</f>
        <v/>
      </c>
      <c r="JX21" s="69" t="str">
        <f ca="1">IF(AND($C21="Goal",JX$8&gt;=$G21,JX$8&lt;=$G21+$H21-1),2,IF(AND($C21="Milestone",JX$8&gt;=$G21,JX$8&lt;=$G21+$H21-1),1,""))</f>
        <v/>
      </c>
      <c r="JY21" s="69" t="str">
        <f ca="1">IF(AND($C21="Goal",JY$8&gt;=$G21,JY$8&lt;=$G21+$H21-1),2,IF(AND($C21="Milestone",JY$8&gt;=$G21,JY$8&lt;=$G21+$H21-1),1,""))</f>
        <v/>
      </c>
      <c r="JZ21" s="69" t="str">
        <f ca="1">IF(AND($C21="Goal",JZ$8&gt;=$G21,JZ$8&lt;=$G21+$H21-1),2,IF(AND($C21="Milestone",JZ$8&gt;=$G21,JZ$8&lt;=$G21+$H21-1),1,""))</f>
        <v/>
      </c>
      <c r="KA21" s="69" t="str">
        <f ca="1">IF(AND($C21="Goal",KA$8&gt;=$G21,KA$8&lt;=$G21+$H21-1),2,IF(AND($C21="Milestone",KA$8&gt;=$G21,KA$8&lt;=$G21+$H21-1),1,""))</f>
        <v/>
      </c>
      <c r="KB21" s="69" t="str">
        <f ca="1">IF(AND($C21="Goal",KB$8&gt;=$G21,KB$8&lt;=$G21+$H21-1),2,IF(AND($C21="Milestone",KB$8&gt;=$G21,KB$8&lt;=$G21+$H21-1),1,""))</f>
        <v/>
      </c>
      <c r="KC21" s="69" t="str">
        <f ca="1">IF(AND($C21="Goal",KC$8&gt;=$G21,KC$8&lt;=$G21+$H21-1),2,IF(AND($C21="Milestone",KC$8&gt;=$G21,KC$8&lt;=$G21+$H21-1),1,""))</f>
        <v/>
      </c>
      <c r="KD21" s="69" t="str">
        <f ca="1">IF(AND($C21="Goal",KD$8&gt;=$G21,KD$8&lt;=$G21+$H21-1),2,IF(AND($C21="Milestone",KD$8&gt;=$G21,KD$8&lt;=$G21+$H21-1),1,""))</f>
        <v/>
      </c>
      <c r="KE21" s="69" t="str">
        <f ca="1">IF(AND($C21="Goal",KE$8&gt;=$G21,KE$8&lt;=$G21+$H21-1),2,IF(AND($C21="Milestone",KE$8&gt;=$G21,KE$8&lt;=$G21+$H21-1),1,""))</f>
        <v/>
      </c>
      <c r="KF21" s="69" t="str">
        <f ca="1">IF(AND($C21="Goal",KF$8&gt;=$G21,KF$8&lt;=$G21+$H21-1),2,IF(AND($C21="Milestone",KF$8&gt;=$G21,KF$8&lt;=$G21+$H21-1),1,""))</f>
        <v/>
      </c>
      <c r="KG21" s="69" t="str">
        <f ca="1">IF(AND($C21="Goal",KG$8&gt;=$G21,KG$8&lt;=$G21+$H21-1),2,IF(AND($C21="Milestone",KG$8&gt;=$G21,KG$8&lt;=$G21+$H21-1),1,""))</f>
        <v/>
      </c>
      <c r="KH21" s="69" t="str">
        <f ca="1">IF(AND($C21="Goal",KH$8&gt;=$G21,KH$8&lt;=$G21+$H21-1),2,IF(AND($C21="Milestone",KH$8&gt;=$G21,KH$8&lt;=$G21+$H21-1),1,""))</f>
        <v/>
      </c>
      <c r="KI21" s="69" t="str">
        <f ca="1">IF(AND($C21="Goal",KI$8&gt;=$G21,KI$8&lt;=$G21+$H21-1),2,IF(AND($C21="Milestone",KI$8&gt;=$G21,KI$8&lt;=$G21+$H21-1),1,""))</f>
        <v/>
      </c>
      <c r="KJ21" s="69" t="str">
        <f ca="1">IF(AND($C21="Goal",KJ$8&gt;=$G21,KJ$8&lt;=$G21+$H21-1),2,IF(AND($C21="Milestone",KJ$8&gt;=$G21,KJ$8&lt;=$G21+$H21-1),1,""))</f>
        <v/>
      </c>
      <c r="KK21" s="69" t="str">
        <f ca="1">IF(AND($C21="Goal",KK$8&gt;=$G21,KK$8&lt;=$G21+$H21-1),2,IF(AND($C21="Milestone",KK$8&gt;=$G21,KK$8&lt;=$G21+$H21-1),1,""))</f>
        <v/>
      </c>
      <c r="KL21" s="69" t="str">
        <f ca="1">IF(AND($C21="Goal",KL$8&gt;=$G21,KL$8&lt;=$G21+$H21-1),2,IF(AND($C21="Milestone",KL$8&gt;=$G21,KL$8&lt;=$G21+$H21-1),1,""))</f>
        <v/>
      </c>
      <c r="KM21" s="69" t="str">
        <f ca="1">IF(AND($C21="Goal",KM$8&gt;=$G21,KM$8&lt;=$G21+$H21-1),2,IF(AND($C21="Milestone",KM$8&gt;=$G21,KM$8&lt;=$G21+$H21-1),1,""))</f>
        <v/>
      </c>
      <c r="KN21" s="69" t="str">
        <f ca="1">IF(AND($C21="Goal",KN$8&gt;=$G21,KN$8&lt;=$G21+$H21-1),2,IF(AND($C21="Milestone",KN$8&gt;=$G21,KN$8&lt;=$G21+$H21-1),1,""))</f>
        <v/>
      </c>
      <c r="KO21" s="69" t="str">
        <f ca="1">IF(AND($C21="Goal",KO$8&gt;=$G21,KO$8&lt;=$G21+$H21-1),2,IF(AND($C21="Milestone",KO$8&gt;=$G21,KO$8&lt;=$G21+$H21-1),1,""))</f>
        <v/>
      </c>
      <c r="KP21" s="69" t="str">
        <f ca="1">IF(AND($C21="Goal",KP$8&gt;=$G21,KP$8&lt;=$G21+$H21-1),2,IF(AND($C21="Milestone",KP$8&gt;=$G21,KP$8&lt;=$G21+$H21-1),1,""))</f>
        <v/>
      </c>
      <c r="KQ21" s="69" t="str">
        <f ca="1">IF(AND($C21="Goal",KQ$8&gt;=$G21,KQ$8&lt;=$G21+$H21-1),2,IF(AND($C21="Milestone",KQ$8&gt;=$G21,KQ$8&lt;=$G21+$H21-1),1,""))</f>
        <v/>
      </c>
      <c r="KR21" s="69" t="str">
        <f ca="1">IF(AND($C21="Goal",KR$8&gt;=$G21,KR$8&lt;=$G21+$H21-1),2,IF(AND($C21="Milestone",KR$8&gt;=$G21,KR$8&lt;=$G21+$H21-1),1,""))</f>
        <v/>
      </c>
      <c r="KS21" s="69" t="str">
        <f ca="1">IF(AND($C21="Goal",KS$8&gt;=$G21,KS$8&lt;=$G21+$H21-1),2,IF(AND($C21="Milestone",KS$8&gt;=$G21,KS$8&lt;=$G21+$H21-1),1,""))</f>
        <v/>
      </c>
      <c r="KT21" s="69" t="str">
        <f ca="1">IF(AND($C21="Goal",KT$8&gt;=$G21,KT$8&lt;=$G21+$H21-1),2,IF(AND($C21="Milestone",KT$8&gt;=$G21,KT$8&lt;=$G21+$H21-1),1,""))</f>
        <v/>
      </c>
      <c r="KU21" s="69" t="str">
        <f ca="1">IF(AND($C21="Goal",KU$8&gt;=$G21,KU$8&lt;=$G21+$H21-1),2,IF(AND($C21="Milestone",KU$8&gt;=$G21,KU$8&lt;=$G21+$H21-1),1,""))</f>
        <v/>
      </c>
      <c r="KV21" s="69" t="str">
        <f ca="1">IF(AND($C21="Goal",KV$8&gt;=$G21,KV$8&lt;=$G21+$H21-1),2,IF(AND($C21="Milestone",KV$8&gt;=$G21,KV$8&lt;=$G21+$H21-1),1,""))</f>
        <v/>
      </c>
      <c r="KW21" s="69" t="str">
        <f ca="1">IF(AND($C21="Goal",KW$8&gt;=$G21,KW$8&lt;=$G21+$H21-1),2,IF(AND($C21="Milestone",KW$8&gt;=$G21,KW$8&lt;=$G21+$H21-1),1,""))</f>
        <v/>
      </c>
      <c r="KX21" s="69" t="str">
        <f ca="1">IF(AND($C21="Goal",KX$8&gt;=$G21,KX$8&lt;=$G21+$H21-1),2,IF(AND($C21="Milestone",KX$8&gt;=$G21,KX$8&lt;=$G21+$H21-1),1,""))</f>
        <v/>
      </c>
      <c r="KY21" s="69" t="str">
        <f ca="1">IF(AND($C21="Goal",KY$8&gt;=$G21,KY$8&lt;=$G21+$H21-1),2,IF(AND($C21="Milestone",KY$8&gt;=$G21,KY$8&lt;=$G21+$H21-1),1,""))</f>
        <v/>
      </c>
      <c r="KZ21" s="69" t="str">
        <f ca="1">IF(AND($C21="Goal",KZ$8&gt;=$G21,KZ$8&lt;=$G21+$H21-1),2,IF(AND($C21="Milestone",KZ$8&gt;=$G21,KZ$8&lt;=$G21+$H21-1),1,""))</f>
        <v/>
      </c>
      <c r="LA21" s="69" t="str">
        <f ca="1">IF(AND($C21="Goal",LA$8&gt;=$G21,LA$8&lt;=$G21+$H21-1),2,IF(AND($C21="Milestone",LA$8&gt;=$G21,LA$8&lt;=$G21+$H21-1),1,""))</f>
        <v/>
      </c>
      <c r="LB21" s="69" t="str">
        <f ca="1">IF(AND($C21="Goal",LB$8&gt;=$G21,LB$8&lt;=$G21+$H21-1),2,IF(AND($C21="Milestone",LB$8&gt;=$G21,LB$8&lt;=$G21+$H21-1),1,""))</f>
        <v/>
      </c>
      <c r="LC21" s="69" t="str">
        <f ca="1">IF(AND($C21="Goal",LC$8&gt;=$G21,LC$8&lt;=$G21+$H21-1),2,IF(AND($C21="Milestone",LC$8&gt;=$G21,LC$8&lt;=$G21+$H21-1),1,""))</f>
        <v/>
      </c>
      <c r="LD21" s="69" t="str">
        <f ca="1">IF(AND($C21="Goal",LD$8&gt;=$G21,LD$8&lt;=$G21+$H21-1),2,IF(AND($C21="Milestone",LD$8&gt;=$G21,LD$8&lt;=$G21+$H21-1),1,""))</f>
        <v/>
      </c>
      <c r="LE21" s="69" t="str">
        <f ca="1">IF(AND($C21="Goal",LE$8&gt;=$G21,LE$8&lt;=$G21+$H21-1),2,IF(AND($C21="Milestone",LE$8&gt;=$G21,LE$8&lt;=$G21+$H21-1),1,""))</f>
        <v/>
      </c>
      <c r="LF21" s="69" t="str">
        <f ca="1">IF(AND($C21="Goal",LF$8&gt;=$G21,LF$8&lt;=$G21+$H21-1),2,IF(AND($C21="Milestone",LF$8&gt;=$G21,LF$8&lt;=$G21+$H21-1),1,""))</f>
        <v/>
      </c>
      <c r="LG21" s="69" t="str">
        <f ca="1">IF(AND($C21="Goal",LG$8&gt;=$G21,LG$8&lt;=$G21+$H21-1),2,IF(AND($C21="Milestone",LG$8&gt;=$G21,LG$8&lt;=$G21+$H21-1),1,""))</f>
        <v/>
      </c>
      <c r="LH21" s="69" t="str">
        <f ca="1">IF(AND($C21="Goal",LH$8&gt;=$G21,LH$8&lt;=$G21+$H21-1),2,IF(AND($C21="Milestone",LH$8&gt;=$G21,LH$8&lt;=$G21+$H21-1),1,""))</f>
        <v/>
      </c>
      <c r="LI21" s="69" t="str">
        <f ca="1">IF(AND($C21="Goal",LI$8&gt;=$G21,LI$8&lt;=$G21+$H21-1),2,IF(AND($C21="Milestone",LI$8&gt;=$G21,LI$8&lt;=$G21+$H21-1),1,""))</f>
        <v/>
      </c>
      <c r="LJ21" s="69" t="str">
        <f ca="1">IF(AND($C21="Goal",LJ$8&gt;=$G21,LJ$8&lt;=$G21+$H21-1),2,IF(AND($C21="Milestone",LJ$8&gt;=$G21,LJ$8&lt;=$G21+$H21-1),1,""))</f>
        <v/>
      </c>
      <c r="LK21" s="69" t="str">
        <f ca="1">IF(AND($C21="Goal",LK$8&gt;=$G21,LK$8&lt;=$G21+$H21-1),2,IF(AND($C21="Milestone",LK$8&gt;=$G21,LK$8&lt;=$G21+$H21-1),1,""))</f>
        <v/>
      </c>
      <c r="LL21" s="69" t="str">
        <f ca="1">IF(AND($C21="Goal",LL$8&gt;=$G21,LL$8&lt;=$G21+$H21-1),2,IF(AND($C21="Milestone",LL$8&gt;=$G21,LL$8&lt;=$G21+$H21-1),1,""))</f>
        <v/>
      </c>
      <c r="LM21" s="69" t="str">
        <f ca="1">IF(AND($C21="Goal",LM$8&gt;=$G21,LM$8&lt;=$G21+$H21-1),2,IF(AND($C21="Milestone",LM$8&gt;=$G21,LM$8&lt;=$G21+$H21-1),1,""))</f>
        <v/>
      </c>
      <c r="LN21" s="69" t="str">
        <f ca="1">IF(AND($C21="Goal",LN$8&gt;=$G21,LN$8&lt;=$G21+$H21-1),2,IF(AND($C21="Milestone",LN$8&gt;=$G21,LN$8&lt;=$G21+$H21-1),1,""))</f>
        <v/>
      </c>
      <c r="LO21" s="69" t="str">
        <f ca="1">IF(AND($C21="Goal",LO$8&gt;=$G21,LO$8&lt;=$G21+$H21-1),2,IF(AND($C21="Milestone",LO$8&gt;=$G21,LO$8&lt;=$G21+$H21-1),1,""))</f>
        <v/>
      </c>
      <c r="LP21" s="69" t="str">
        <f ca="1">IF(AND($C21="Goal",LP$8&gt;=$G21,LP$8&lt;=$G21+$H21-1),2,IF(AND($C21="Milestone",LP$8&gt;=$G21,LP$8&lt;=$G21+$H21-1),1,""))</f>
        <v/>
      </c>
      <c r="LQ21" s="69" t="str">
        <f ca="1">IF(AND($C21="Goal",LQ$8&gt;=$G21,LQ$8&lt;=$G21+$H21-1),2,IF(AND($C21="Milestone",LQ$8&gt;=$G21,LQ$8&lt;=$G21+$H21-1),1,""))</f>
        <v/>
      </c>
      <c r="LR21" s="69" t="str">
        <f ca="1">IF(AND($C21="Goal",LR$8&gt;=$G21,LR$8&lt;=$G21+$H21-1),2,IF(AND($C21="Milestone",LR$8&gt;=$G21,LR$8&lt;=$G21+$H21-1),1,""))</f>
        <v/>
      </c>
      <c r="LS21" s="69" t="str">
        <f ca="1">IF(AND($C21="Goal",LS$8&gt;=$G21,LS$8&lt;=$G21+$H21-1),2,IF(AND($C21="Milestone",LS$8&gt;=$G21,LS$8&lt;=$G21+$H21-1),1,""))</f>
        <v/>
      </c>
      <c r="LT21" s="69" t="str">
        <f ca="1">IF(AND($C21="Goal",LT$8&gt;=$G21,LT$8&lt;=$G21+$H21-1),2,IF(AND($C21="Milestone",LT$8&gt;=$G21,LT$8&lt;=$G21+$H21-1),1,""))</f>
        <v/>
      </c>
      <c r="LU21" s="69" t="str">
        <f ca="1">IF(AND($C21="Goal",LU$8&gt;=$G21,LU$8&lt;=$G21+$H21-1),2,IF(AND($C21="Milestone",LU$8&gt;=$G21,LU$8&lt;=$G21+$H21-1),1,""))</f>
        <v/>
      </c>
      <c r="LV21" s="69" t="str">
        <f ca="1">IF(AND($C21="Goal",LV$8&gt;=$G21,LV$8&lt;=$G21+$H21-1),2,IF(AND($C21="Milestone",LV$8&gt;=$G21,LV$8&lt;=$G21+$H21-1),1,""))</f>
        <v/>
      </c>
      <c r="LW21" s="69" t="str">
        <f ca="1">IF(AND($C21="Goal",LW$8&gt;=$G21,LW$8&lt;=$G21+$H21-1),2,IF(AND($C21="Milestone",LW$8&gt;=$G21,LW$8&lt;=$G21+$H21-1),1,""))</f>
        <v/>
      </c>
      <c r="LX21" s="69" t="str">
        <f ca="1">IF(AND($C21="Goal",LX$8&gt;=$G21,LX$8&lt;=$G21+$H21-1),2,IF(AND($C21="Milestone",LX$8&gt;=$G21,LX$8&lt;=$G21+$H21-1),1,""))</f>
        <v/>
      </c>
    </row>
    <row r="22" spans="1:336" s="1" customFormat="1" ht="14.85" hidden="1" x14ac:dyDescent="0.25">
      <c r="A22" s="6"/>
      <c r="B22" s="47"/>
      <c r="C22" s="58"/>
      <c r="D22" s="58" t="str">
        <f ca="1">IF(G22="","",
IF(G22+Milestones4352[[#This Row],[Days]]="","",
IF(OR(F22=1,F22=100%),"Complete",
CHOOSE(
  1
  + --(((1-IF(F22&gt;1,F22/100,F22))*POWER(2.718281828,(60-MAX(0,G22+Milestones4352[[#This Row],[Days]]-TODAY()))/12))&gt;=0.6)
  + --(((1-IF(F22&gt;1,F22/100,F22))*POWER(2.718281828,(60-MAX(0,G22+Milestones4352[[#This Row],[Days]]-TODAY()))/12))&gt;=1.2)
  + --(((1-IF(F22&gt;1,F22/100,F22))*POWER(2.718281828,(60-MAX(0,G22+Milestones4352[[#This Row],[Days]]-TODAY()))/12))&gt;=2),
  "On track","Low risk","Medium risk","High risk"
))))</f>
        <v/>
      </c>
      <c r="E22" s="58"/>
      <c r="F22" s="56"/>
      <c r="G22" s="71"/>
      <c r="H22" s="57"/>
      <c r="I22" s="57" t="str">
        <f t="shared" si="207"/>
        <v/>
      </c>
      <c r="J22" s="12" t="str">
        <f ca="1">IF(OR(Milestones4352[[#This Row],[Start]]="",Milestones4352[[#This Row],[Days]]=""),"",(Milestones4352[[#This Row],[Start]]+Milestones4352[[#This Row],[Days]])-TODAY())</f>
        <v/>
      </c>
      <c r="K22" s="9"/>
      <c r="L22" s="69" t="str">
        <f ca="1">IF(AND($C22="Goal",L$8&gt;=$G22,L$8&lt;=$G22+$H22-1),2,IF(AND($C22="Milestone",L$8&gt;=$G22,L$8&lt;=$G22+$H22-1),1,""))</f>
        <v/>
      </c>
      <c r="M22" s="69" t="str">
        <f ca="1">IF(AND($C22="Goal",M$8&gt;=$G22,M$8&lt;=$G22+$H22-1),2,IF(AND($C22="Milestone",M$8&gt;=$G22,M$8&lt;=$G22+$H22-1),1,""))</f>
        <v/>
      </c>
      <c r="N22" s="69" t="str">
        <f ca="1">IF(AND($C22="Goal",N$8&gt;=$G22,N$8&lt;=$G22+$H22-1),2,IF(AND($C22="Milestone",N$8&gt;=$G22,N$8&lt;=$G22+$H22-1),1,""))</f>
        <v/>
      </c>
      <c r="O22" s="69" t="str">
        <f ca="1">IF(AND($C22="Goal",O$8&gt;=$G22,O$8&lt;=$G22+$H22-1),2,IF(AND($C22="Milestone",O$8&gt;=$G22,O$8&lt;=$G22+$H22-1),1,""))</f>
        <v/>
      </c>
      <c r="P22" s="69" t="str">
        <f ca="1">IF(AND($C22="Goal",P$8&gt;=$G22,P$8&lt;=$G22+$H22-1),2,IF(AND($C22="Milestone",P$8&gt;=$G22,P$8&lt;=$G22+$H22-1),1,""))</f>
        <v/>
      </c>
      <c r="Q22" s="69" t="str">
        <f ca="1">IF(AND($C22="Goal",Q$8&gt;=$G22,Q$8&lt;=$G22+$H22-1),2,IF(AND($C22="Milestone",Q$8&gt;=$G22,Q$8&lt;=$G22+$H22-1),1,""))</f>
        <v/>
      </c>
      <c r="R22" s="69" t="str">
        <f ca="1">IF(AND($C22="Goal",R$8&gt;=$G22,R$8&lt;=$G22+$H22-1),2,IF(AND($C22="Milestone",R$8&gt;=$G22,R$8&lt;=$G22+$H22-1),1,""))</f>
        <v/>
      </c>
      <c r="S22" s="69" t="str">
        <f ca="1">IF(AND($C22="Goal",S$8&gt;=$G22,S$8&lt;=$G22+$H22-1),2,IF(AND($C22="Milestone",S$8&gt;=$G22,S$8&lt;=$G22+$H22-1),1,""))</f>
        <v/>
      </c>
      <c r="T22" s="69" t="str">
        <f ca="1">IF(AND($C22="Goal",T$8&gt;=$G22,T$8&lt;=$G22+$H22-1),2,IF(AND($C22="Milestone",T$8&gt;=$G22,T$8&lt;=$G22+$H22-1),1,""))</f>
        <v/>
      </c>
      <c r="U22" s="69" t="str">
        <f ca="1">IF(AND($C22="Goal",U$8&gt;=$G22,U$8&lt;=$G22+$H22-1),2,IF(AND($C22="Milestone",U$8&gt;=$G22,U$8&lt;=$G22+$H22-1),1,""))</f>
        <v/>
      </c>
      <c r="V22" s="69" t="str">
        <f ca="1">IF(AND($C22="Goal",V$8&gt;=$G22,V$8&lt;=$G22+$H22-1),2,IF(AND($C22="Milestone",V$8&gt;=$G22,V$8&lt;=$G22+$H22-1),1,""))</f>
        <v/>
      </c>
      <c r="W22" s="69" t="str">
        <f ca="1">IF(AND($C22="Goal",W$8&gt;=$G22,W$8&lt;=$G22+$H22-1),2,IF(AND($C22="Milestone",W$8&gt;=$G22,W$8&lt;=$G22+$H22-1),1,""))</f>
        <v/>
      </c>
      <c r="X22" s="69" t="str">
        <f ca="1">IF(AND($C22="Goal",X$8&gt;=$G22,X$8&lt;=$G22+$H22-1),2,IF(AND($C22="Milestone",X$8&gt;=$G22,X$8&lt;=$G22+$H22-1),1,""))</f>
        <v/>
      </c>
      <c r="Y22" s="69" t="str">
        <f ca="1">IF(AND($C22="Goal",Y$8&gt;=$G22,Y$8&lt;=$G22+$H22-1),2,IF(AND($C22="Milestone",Y$8&gt;=$G22,Y$8&lt;=$G22+$H22-1),1,""))</f>
        <v/>
      </c>
      <c r="Z22" s="69" t="str">
        <f ca="1">IF(AND($C22="Goal",Z$8&gt;=$G22,Z$8&lt;=$G22+$H22-1),2,IF(AND($C22="Milestone",Z$8&gt;=$G22,Z$8&lt;=$G22+$H22-1),1,""))</f>
        <v/>
      </c>
      <c r="AA22" s="69" t="str">
        <f ca="1">IF(AND($C22="Goal",AA$8&gt;=$G22,AA$8&lt;=$G22+$H22-1),2,IF(AND($C22="Milestone",AA$8&gt;=$G22,AA$8&lt;=$G22+$H22-1),1,""))</f>
        <v/>
      </c>
      <c r="AB22" s="69" t="str">
        <f ca="1">IF(AND($C22="Goal",AB$8&gt;=$G22,AB$8&lt;=$G22+$H22-1),2,IF(AND($C22="Milestone",AB$8&gt;=$G22,AB$8&lt;=$G22+$H22-1),1,""))</f>
        <v/>
      </c>
      <c r="AC22" s="69" t="str">
        <f ca="1">IF(AND($C22="Goal",AC$8&gt;=$G22,AC$8&lt;=$G22+$H22-1),2,IF(AND($C22="Milestone",AC$8&gt;=$G22,AC$8&lt;=$G22+$H22-1),1,""))</f>
        <v/>
      </c>
      <c r="AD22" s="69" t="str">
        <f ca="1">IF(AND($C22="Goal",AD$8&gt;=$G22,AD$8&lt;=$G22+$H22-1),2,IF(AND($C22="Milestone",AD$8&gt;=$G22,AD$8&lt;=$G22+$H22-1),1,""))</f>
        <v/>
      </c>
      <c r="AE22" s="69" t="str">
        <f ca="1">IF(AND($C22="Goal",AE$8&gt;=$G22,AE$8&lt;=$G22+$H22-1),2,IF(AND($C22="Milestone",AE$8&gt;=$G22,AE$8&lt;=$G22+$H22-1),1,""))</f>
        <v/>
      </c>
      <c r="AF22" s="69" t="str">
        <f ca="1">IF(AND($C22="Goal",AF$8&gt;=$G22,AF$8&lt;=$G22+$H22-1),2,IF(AND($C22="Milestone",AF$8&gt;=$G22,AF$8&lt;=$G22+$H22-1),1,""))</f>
        <v/>
      </c>
      <c r="AG22" s="69" t="str">
        <f ca="1">IF(AND($C22="Goal",AG$8&gt;=$G22,AG$8&lt;=$G22+$H22-1),2,IF(AND($C22="Milestone",AG$8&gt;=$G22,AG$8&lt;=$G22+$H22-1),1,""))</f>
        <v/>
      </c>
      <c r="AH22" s="69" t="str">
        <f ca="1">IF(AND($C22="Goal",AH$8&gt;=$G22,AH$8&lt;=$G22+$H22-1),2,IF(AND($C22="Milestone",AH$8&gt;=$G22,AH$8&lt;=$G22+$H22-1),1,""))</f>
        <v/>
      </c>
      <c r="AI22" s="69" t="str">
        <f ca="1">IF(AND($C22="Goal",AI$8&gt;=$G22,AI$8&lt;=$G22+$H22-1),2,IF(AND($C22="Milestone",AI$8&gt;=$G22,AI$8&lt;=$G22+$H22-1),1,""))</f>
        <v/>
      </c>
      <c r="AJ22" s="69" t="str">
        <f ca="1">IF(AND($C22="Goal",AJ$8&gt;=$G22,AJ$8&lt;=$G22+$H22-1),2,IF(AND($C22="Milestone",AJ$8&gt;=$G22,AJ$8&lt;=$G22+$H22-1),1,""))</f>
        <v/>
      </c>
      <c r="AK22" s="69" t="str">
        <f ca="1">IF(AND($C22="Goal",AK$8&gt;=$G22,AK$8&lt;=$G22+$H22-1),2,IF(AND($C22="Milestone",AK$8&gt;=$G22,AK$8&lt;=$G22+$H22-1),1,""))</f>
        <v/>
      </c>
      <c r="AL22" s="69" t="str">
        <f ca="1">IF(AND($C22="Goal",AL$8&gt;=$G22,AL$8&lt;=$G22+$H22-1),2,IF(AND($C22="Milestone",AL$8&gt;=$G22,AL$8&lt;=$G22+$H22-1),1,""))</f>
        <v/>
      </c>
      <c r="AM22" s="69" t="str">
        <f ca="1">IF(AND($C22="Goal",AM$8&gt;=$G22,AM$8&lt;=$G22+$H22-1),2,IF(AND($C22="Milestone",AM$8&gt;=$G22,AM$8&lt;=$G22+$H22-1),1,""))</f>
        <v/>
      </c>
      <c r="AN22" s="69" t="str">
        <f ca="1">IF(AND($C22="Goal",AN$8&gt;=$G22,AN$8&lt;=$G22+$H22-1),2,IF(AND($C22="Milestone",AN$8&gt;=$G22,AN$8&lt;=$G22+$H22-1),1,""))</f>
        <v/>
      </c>
      <c r="AO22" s="69" t="str">
        <f ca="1">IF(AND($C22="Goal",AO$8&gt;=$G22,AO$8&lt;=$G22+$H22-1),2,IF(AND($C22="Milestone",AO$8&gt;=$G22,AO$8&lt;=$G22+$H22-1),1,""))</f>
        <v/>
      </c>
      <c r="AP22" s="69" t="str">
        <f ca="1">IF(AND($C22="Goal",AP$8&gt;=$G22,AP$8&lt;=$G22+$H22-1),2,IF(AND($C22="Milestone",AP$8&gt;=$G22,AP$8&lt;=$G22+$H22-1),1,""))</f>
        <v/>
      </c>
      <c r="AQ22" s="69" t="str">
        <f ca="1">IF(AND($C22="Goal",AQ$8&gt;=$G22,AQ$8&lt;=$G22+$H22-1),2,IF(AND($C22="Milestone",AQ$8&gt;=$G22,AQ$8&lt;=$G22+$H22-1),1,""))</f>
        <v/>
      </c>
      <c r="AR22" s="69" t="str">
        <f ca="1">IF(AND($C22="Goal",AR$8&gt;=$G22,AR$8&lt;=$G22+$H22-1),2,IF(AND($C22="Milestone",AR$8&gt;=$G22,AR$8&lt;=$G22+$H22-1),1,""))</f>
        <v/>
      </c>
      <c r="AS22" s="69" t="str">
        <f ca="1">IF(AND($C22="Goal",AS$8&gt;=$G22,AS$8&lt;=$G22+$H22-1),2,IF(AND($C22="Milestone",AS$8&gt;=$G22,AS$8&lt;=$G22+$H22-1),1,""))</f>
        <v/>
      </c>
      <c r="AT22" s="69" t="str">
        <f ca="1">IF(AND($C22="Goal",AT$8&gt;=$G22,AT$8&lt;=$G22+$H22-1),2,IF(AND($C22="Milestone",AT$8&gt;=$G22,AT$8&lt;=$G22+$H22-1),1,""))</f>
        <v/>
      </c>
      <c r="AU22" s="69" t="str">
        <f ca="1">IF(AND($C22="Goal",AU$8&gt;=$G22,AU$8&lt;=$G22+$H22-1),2,IF(AND($C22="Milestone",AU$8&gt;=$G22,AU$8&lt;=$G22+$H22-1),1,""))</f>
        <v/>
      </c>
      <c r="AV22" s="69" t="str">
        <f ca="1">IF(AND($C22="Goal",AV$8&gt;=$G22,AV$8&lt;=$G22+$H22-1),2,IF(AND($C22="Milestone",AV$8&gt;=$G22,AV$8&lt;=$G22+$H22-1),1,""))</f>
        <v/>
      </c>
      <c r="AW22" s="69" t="str">
        <f ca="1">IF(AND($C22="Goal",AW$8&gt;=$G22,AW$8&lt;=$G22+$H22-1),2,IF(AND($C22="Milestone",AW$8&gt;=$G22,AW$8&lt;=$G22+$H22-1),1,""))</f>
        <v/>
      </c>
      <c r="AX22" s="69" t="str">
        <f ca="1">IF(AND($C22="Goal",AX$8&gt;=$G22,AX$8&lt;=$G22+$H22-1),2,IF(AND($C22="Milestone",AX$8&gt;=$G22,AX$8&lt;=$G22+$H22-1),1,""))</f>
        <v/>
      </c>
      <c r="AY22" s="69" t="str">
        <f ca="1">IF(AND($C22="Goal",AY$8&gt;=$G22,AY$8&lt;=$G22+$H22-1),2,IF(AND($C22="Milestone",AY$8&gt;=$G22,AY$8&lt;=$G22+$H22-1),1,""))</f>
        <v/>
      </c>
      <c r="AZ22" s="69" t="str">
        <f ca="1">IF(AND($C22="Goal",AZ$8&gt;=$G22,AZ$8&lt;=$G22+$H22-1),2,IF(AND($C22="Milestone",AZ$8&gt;=$G22,AZ$8&lt;=$G22+$H22-1),1,""))</f>
        <v/>
      </c>
      <c r="BA22" s="69" t="str">
        <f ca="1">IF(AND($C22="Goal",BA$8&gt;=$G22,BA$8&lt;=$G22+$H22-1),2,IF(AND($C22="Milestone",BA$8&gt;=$G22,BA$8&lt;=$G22+$H22-1),1,""))</f>
        <v/>
      </c>
      <c r="BB22" s="69" t="str">
        <f ca="1">IF(AND($C22="Goal",BB$8&gt;=$G22,BB$8&lt;=$G22+$H22-1),2,IF(AND($C22="Milestone",BB$8&gt;=$G22,BB$8&lt;=$G22+$H22-1),1,""))</f>
        <v/>
      </c>
      <c r="BC22" s="69" t="str">
        <f ca="1">IF(AND($C22="Goal",BC$8&gt;=$G22,BC$8&lt;=$G22+$H22-1),2,IF(AND($C22="Milestone",BC$8&gt;=$G22,BC$8&lt;=$G22+$H22-1),1,""))</f>
        <v/>
      </c>
      <c r="BD22" s="69" t="str">
        <f ca="1">IF(AND($C22="Goal",BD$8&gt;=$G22,BD$8&lt;=$G22+$H22-1),2,IF(AND($C22="Milestone",BD$8&gt;=$G22,BD$8&lt;=$G22+$H22-1),1,""))</f>
        <v/>
      </c>
      <c r="BE22" s="69" t="str">
        <f ca="1">IF(AND($C22="Goal",BE$8&gt;=$G22,BE$8&lt;=$G22+$H22-1),2,IF(AND($C22="Milestone",BE$8&gt;=$G22,BE$8&lt;=$G22+$H22-1),1,""))</f>
        <v/>
      </c>
      <c r="BF22" s="69" t="str">
        <f ca="1">IF(AND($C22="Goal",BF$8&gt;=$G22,BF$8&lt;=$G22+$H22-1),2,IF(AND($C22="Milestone",BF$8&gt;=$G22,BF$8&lt;=$G22+$H22-1),1,""))</f>
        <v/>
      </c>
      <c r="BG22" s="69" t="str">
        <f ca="1">IF(AND($C22="Goal",BG$8&gt;=$G22,BG$8&lt;=$G22+$H22-1),2,IF(AND($C22="Milestone",BG$8&gt;=$G22,BG$8&lt;=$G22+$H22-1),1,""))</f>
        <v/>
      </c>
      <c r="BH22" s="69" t="str">
        <f ca="1">IF(AND($C22="Goal",BH$8&gt;=$G22,BH$8&lt;=$G22+$H22-1),2,IF(AND($C22="Milestone",BH$8&gt;=$G22,BH$8&lt;=$G22+$H22-1),1,""))</f>
        <v/>
      </c>
      <c r="BI22" s="69" t="str">
        <f ca="1">IF(AND($C22="Goal",BI$8&gt;=$G22,BI$8&lt;=$G22+$H22-1),2,IF(AND($C22="Milestone",BI$8&gt;=$G22,BI$8&lt;=$G22+$H22-1),1,""))</f>
        <v/>
      </c>
      <c r="BJ22" s="69" t="str">
        <f ca="1">IF(AND($C22="Goal",BJ$8&gt;=$G22,BJ$8&lt;=$G22+$H22-1),2,IF(AND($C22="Milestone",BJ$8&gt;=$G22,BJ$8&lt;=$G22+$H22-1),1,""))</f>
        <v/>
      </c>
      <c r="BK22" s="69" t="str">
        <f ca="1">IF(AND($C22="Goal",BK$8&gt;=$G22,BK$8&lt;=$G22+$H22-1),2,IF(AND($C22="Milestone",BK$8&gt;=$G22,BK$8&lt;=$G22+$H22-1),1,""))</f>
        <v/>
      </c>
      <c r="BL22" s="69" t="str">
        <f ca="1">IF(AND($C22="Goal",BL$8&gt;=$G22,BL$8&lt;=$G22+$H22-1),2,IF(AND($C22="Milestone",BL$8&gt;=$G22,BL$8&lt;=$G22+$H22-1),1,""))</f>
        <v/>
      </c>
      <c r="BM22" s="69" t="str">
        <f ca="1">IF(AND($C22="Goal",BM$8&gt;=$G22,BM$8&lt;=$G22+$H22-1),2,IF(AND($C22="Milestone",BM$8&gt;=$G22,BM$8&lt;=$G22+$H22-1),1,""))</f>
        <v/>
      </c>
      <c r="BN22" s="69" t="str">
        <f ca="1">IF(AND($C22="Goal",BN$8&gt;=$G22,BN$8&lt;=$G22+$H22-1),2,IF(AND($C22="Milestone",BN$8&gt;=$G22,BN$8&lt;=$G22+$H22-1),1,""))</f>
        <v/>
      </c>
      <c r="BO22" s="69" t="str">
        <f ca="1">IF(AND($C22="Goal",BO$8&gt;=$G22,BO$8&lt;=$G22+$H22-1),2,IF(AND($C22="Milestone",BO$8&gt;=$G22,BO$8&lt;=$G22+$H22-1),1,""))</f>
        <v/>
      </c>
      <c r="BP22" s="69" t="str">
        <f ca="1">IF(AND($C22="Goal",BP$8&gt;=$G22,BP$8&lt;=$G22+$H22-1),2,IF(AND($C22="Milestone",BP$8&gt;=$G22,BP$8&lt;=$G22+$H22-1),1,""))</f>
        <v/>
      </c>
      <c r="BQ22" s="69" t="str">
        <f ca="1">IF(AND($C22="Goal",BQ$8&gt;=$G22,BQ$8&lt;=$G22+$H22-1),2,IF(AND($C22="Milestone",BQ$8&gt;=$G22,BQ$8&lt;=$G22+$H22-1),1,""))</f>
        <v/>
      </c>
      <c r="BR22" s="69" t="str">
        <f ca="1">IF(AND($C22="Goal",BR$8&gt;=$G22,BR$8&lt;=$G22+$H22-1),2,IF(AND($C22="Milestone",BR$8&gt;=$G22,BR$8&lt;=$G22+$H22-1),1,""))</f>
        <v/>
      </c>
      <c r="BS22" s="69" t="str">
        <f ca="1">IF(AND($C22="Goal",BS$8&gt;=$G22,BS$8&lt;=$G22+$H22-1),2,IF(AND($C22="Milestone",BS$8&gt;=$G22,BS$8&lt;=$G22+$H22-1),1,""))</f>
        <v/>
      </c>
      <c r="BT22" s="69" t="str">
        <f ca="1">IF(AND($C22="Goal",BT$8&gt;=$G22,BT$8&lt;=$G22+$H22-1),2,IF(AND($C22="Milestone",BT$8&gt;=$G22,BT$8&lt;=$G22+$H22-1),1,""))</f>
        <v/>
      </c>
      <c r="BU22" s="69" t="str">
        <f ca="1">IF(AND($C22="Goal",BU$8&gt;=$G22,BU$8&lt;=$G22+$H22-1),2,IF(AND($C22="Milestone",BU$8&gt;=$G22,BU$8&lt;=$G22+$H22-1),1,""))</f>
        <v/>
      </c>
      <c r="BV22" s="69" t="str">
        <f ca="1">IF(AND($C22="Goal",BV$8&gt;=$G22,BV$8&lt;=$G22+$H22-1),2,IF(AND($C22="Milestone",BV$8&gt;=$G22,BV$8&lt;=$G22+$H22-1),1,""))</f>
        <v/>
      </c>
      <c r="BW22" s="69" t="str">
        <f ca="1">IF(AND($C22="Goal",BW$8&gt;=$G22,BW$8&lt;=$G22+$H22-1),2,IF(AND($C22="Milestone",BW$8&gt;=$G22,BW$8&lt;=$G22+$H22-1),1,""))</f>
        <v/>
      </c>
      <c r="BX22" s="69" t="str">
        <f ca="1">IF(AND($C22="Goal",BX$8&gt;=$G22,BX$8&lt;=$G22+$H22-1),2,IF(AND($C22="Milestone",BX$8&gt;=$G22,BX$8&lt;=$G22+$H22-1),1,""))</f>
        <v/>
      </c>
      <c r="BY22" s="69" t="str">
        <f ca="1">IF(AND($C22="Goal",BY$8&gt;=$G22,BY$8&lt;=$G22+$H22-1),2,IF(AND($C22="Milestone",BY$8&gt;=$G22,BY$8&lt;=$G22+$H22-1),1,""))</f>
        <v/>
      </c>
      <c r="BZ22" s="69" t="str">
        <f ca="1">IF(AND($C22="Goal",BZ$8&gt;=$G22,BZ$8&lt;=$G22+$H22-1),2,IF(AND($C22="Milestone",BZ$8&gt;=$G22,BZ$8&lt;=$G22+$H22-1),1,""))</f>
        <v/>
      </c>
      <c r="CA22" s="69" t="str">
        <f ca="1">IF(AND($C22="Goal",CA$8&gt;=$G22,CA$8&lt;=$G22+$H22-1),2,IF(AND($C22="Milestone",CA$8&gt;=$G22,CA$8&lt;=$G22+$H22-1),1,""))</f>
        <v/>
      </c>
      <c r="CB22" s="69" t="str">
        <f ca="1">IF(AND($C22="Goal",CB$8&gt;=$G22,CB$8&lt;=$G22+$H22-1),2,IF(AND($C22="Milestone",CB$8&gt;=$G22,CB$8&lt;=$G22+$H22-1),1,""))</f>
        <v/>
      </c>
      <c r="CC22" s="69" t="str">
        <f ca="1">IF(AND($C22="Goal",CC$8&gt;=$G22,CC$8&lt;=$G22+$H22-1),2,IF(AND($C22="Milestone",CC$8&gt;=$G22,CC$8&lt;=$G22+$H22-1),1,""))</f>
        <v/>
      </c>
      <c r="CD22" s="69" t="str">
        <f ca="1">IF(AND($C22="Goal",CD$8&gt;=$G22,CD$8&lt;=$G22+$H22-1),2,IF(AND($C22="Milestone",CD$8&gt;=$G22,CD$8&lt;=$G22+$H22-1),1,""))</f>
        <v/>
      </c>
      <c r="CE22" s="69" t="str">
        <f ca="1">IF(AND($C22="Goal",CE$8&gt;=$G22,CE$8&lt;=$G22+$H22-1),2,IF(AND($C22="Milestone",CE$8&gt;=$G22,CE$8&lt;=$G22+$H22-1),1,""))</f>
        <v/>
      </c>
      <c r="CF22" s="69" t="str">
        <f ca="1">IF(AND($C22="Goal",CF$8&gt;=$G22,CF$8&lt;=$G22+$H22-1),2,IF(AND($C22="Milestone",CF$8&gt;=$G22,CF$8&lt;=$G22+$H22-1),1,""))</f>
        <v/>
      </c>
      <c r="CG22" s="69" t="str">
        <f ca="1">IF(AND($C22="Goal",CG$8&gt;=$G22,CG$8&lt;=$G22+$H22-1),2,IF(AND($C22="Milestone",CG$8&gt;=$G22,CG$8&lt;=$G22+$H22-1),1,""))</f>
        <v/>
      </c>
      <c r="CH22" s="69" t="str">
        <f ca="1">IF(AND($C22="Goal",CH$8&gt;=$G22,CH$8&lt;=$G22+$H22-1),2,IF(AND($C22="Milestone",CH$8&gt;=$G22,CH$8&lt;=$G22+$H22-1),1,""))</f>
        <v/>
      </c>
      <c r="CI22" s="69" t="str">
        <f ca="1">IF(AND($C22="Goal",CI$8&gt;=$G22,CI$8&lt;=$G22+$H22-1),2,IF(AND($C22="Milestone",CI$8&gt;=$G22,CI$8&lt;=$G22+$H22-1),1,""))</f>
        <v/>
      </c>
      <c r="CJ22" s="69" t="str">
        <f ca="1">IF(AND($C22="Goal",CJ$8&gt;=$G22,CJ$8&lt;=$G22+$H22-1),2,IF(AND($C22="Milestone",CJ$8&gt;=$G22,CJ$8&lt;=$G22+$H22-1),1,""))</f>
        <v/>
      </c>
      <c r="CK22" s="69" t="str">
        <f ca="1">IF(AND($C22="Goal",CK$8&gt;=$G22,CK$8&lt;=$G22+$H22-1),2,IF(AND($C22="Milestone",CK$8&gt;=$G22,CK$8&lt;=$G22+$H22-1),1,""))</f>
        <v/>
      </c>
      <c r="CL22" s="69" t="str">
        <f ca="1">IF(AND($C22="Goal",CL$8&gt;=$G22,CL$8&lt;=$G22+$H22-1),2,IF(AND($C22="Milestone",CL$8&gt;=$G22,CL$8&lt;=$G22+$H22-1),1,""))</f>
        <v/>
      </c>
      <c r="CM22" s="69" t="str">
        <f ca="1">IF(AND($C22="Goal",CM$8&gt;=$G22,CM$8&lt;=$G22+$H22-1),2,IF(AND($C22="Milestone",CM$8&gt;=$G22,CM$8&lt;=$G22+$H22-1),1,""))</f>
        <v/>
      </c>
      <c r="CN22" s="69" t="str">
        <f ca="1">IF(AND($C22="Goal",CN$8&gt;=$G22,CN$8&lt;=$G22+$H22-1),2,IF(AND($C22="Milestone",CN$8&gt;=$G22,CN$8&lt;=$G22+$H22-1),1,""))</f>
        <v/>
      </c>
      <c r="CO22" s="69" t="str">
        <f ca="1">IF(AND($C22="Goal",CO$8&gt;=$G22,CO$8&lt;=$G22+$H22-1),2,IF(AND($C22="Milestone",CO$8&gt;=$G22,CO$8&lt;=$G22+$H22-1),1,""))</f>
        <v/>
      </c>
      <c r="CP22" s="69" t="str">
        <f ca="1">IF(AND($C22="Goal",CP$8&gt;=$G22,CP$8&lt;=$G22+$H22-1),2,IF(AND($C22="Milestone",CP$8&gt;=$G22,CP$8&lt;=$G22+$H22-1),1,""))</f>
        <v/>
      </c>
      <c r="CQ22" s="69" t="str">
        <f ca="1">IF(AND($C22="Goal",CQ$8&gt;=$G22,CQ$8&lt;=$G22+$H22-1),2,IF(AND($C22="Milestone",CQ$8&gt;=$G22,CQ$8&lt;=$G22+$H22-1),1,""))</f>
        <v/>
      </c>
      <c r="CR22" s="69" t="str">
        <f ca="1">IF(AND($C22="Goal",CR$8&gt;=$G22,CR$8&lt;=$G22+$H22-1),2,IF(AND($C22="Milestone",CR$8&gt;=$G22,CR$8&lt;=$G22+$H22-1),1,""))</f>
        <v/>
      </c>
      <c r="CS22" s="69" t="str">
        <f ca="1">IF(AND($C22="Goal",CS$8&gt;=$G22,CS$8&lt;=$G22+$H22-1),2,IF(AND($C22="Milestone",CS$8&gt;=$G22,CS$8&lt;=$G22+$H22-1),1,""))</f>
        <v/>
      </c>
      <c r="CT22" s="69" t="str">
        <f ca="1">IF(AND($C22="Goal",CT$8&gt;=$G22,CT$8&lt;=$G22+$H22-1),2,IF(AND($C22="Milestone",CT$8&gt;=$G22,CT$8&lt;=$G22+$H22-1),1,""))</f>
        <v/>
      </c>
      <c r="CU22" s="69" t="str">
        <f ca="1">IF(AND($C22="Goal",CU$8&gt;=$G22,CU$8&lt;=$G22+$H22-1),2,IF(AND($C22="Milestone",CU$8&gt;=$G22,CU$8&lt;=$G22+$H22-1),1,""))</f>
        <v/>
      </c>
      <c r="CV22" s="69" t="str">
        <f ca="1">IF(AND($C22="Goal",CV$8&gt;=$G22,CV$8&lt;=$G22+$H22-1),2,IF(AND($C22="Milestone",CV$8&gt;=$G22,CV$8&lt;=$G22+$H22-1),1,""))</f>
        <v/>
      </c>
      <c r="CW22" s="69" t="str">
        <f ca="1">IF(AND($C22="Goal",CW$8&gt;=$G22,CW$8&lt;=$G22+$H22-1),2,IF(AND($C22="Milestone",CW$8&gt;=$G22,CW$8&lt;=$G22+$H22-1),1,""))</f>
        <v/>
      </c>
      <c r="CX22" s="69" t="str">
        <f ca="1">IF(AND($C22="Goal",CX$8&gt;=$G22,CX$8&lt;=$G22+$H22-1),2,IF(AND($C22="Milestone",CX$8&gt;=$G22,CX$8&lt;=$G22+$H22-1),1,""))</f>
        <v/>
      </c>
      <c r="CY22" s="69" t="str">
        <f ca="1">IF(AND($C22="Goal",CY$8&gt;=$G22,CY$8&lt;=$G22+$H22-1),2,IF(AND($C22="Milestone",CY$8&gt;=$G22,CY$8&lt;=$G22+$H22-1),1,""))</f>
        <v/>
      </c>
      <c r="CZ22" s="69" t="str">
        <f ca="1">IF(AND($C22="Goal",CZ$8&gt;=$G22,CZ$8&lt;=$G22+$H22-1),2,IF(AND($C22="Milestone",CZ$8&gt;=$G22,CZ$8&lt;=$G22+$H22-1),1,""))</f>
        <v/>
      </c>
      <c r="DA22" s="69" t="str">
        <f ca="1">IF(AND($C22="Goal",DA$8&gt;=$G22,DA$8&lt;=$G22+$H22-1),2,IF(AND($C22="Milestone",DA$8&gt;=$G22,DA$8&lt;=$G22+$H22-1),1,""))</f>
        <v/>
      </c>
      <c r="DB22" s="69" t="str">
        <f ca="1">IF(AND($C22="Goal",DB$8&gt;=$G22,DB$8&lt;=$G22+$H22-1),2,IF(AND($C22="Milestone",DB$8&gt;=$G22,DB$8&lt;=$G22+$H22-1),1,""))</f>
        <v/>
      </c>
      <c r="DC22" s="69" t="str">
        <f ca="1">IF(AND($C22="Goal",DC$8&gt;=$G22,DC$8&lt;=$G22+$H22-1),2,IF(AND($C22="Milestone",DC$8&gt;=$G22,DC$8&lt;=$G22+$H22-1),1,""))</f>
        <v/>
      </c>
      <c r="DD22" s="69" t="str">
        <f ca="1">IF(AND($C22="Goal",DD$8&gt;=$G22,DD$8&lt;=$G22+$H22-1),2,IF(AND($C22="Milestone",DD$8&gt;=$G22,DD$8&lt;=$G22+$H22-1),1,""))</f>
        <v/>
      </c>
      <c r="DE22" s="69" t="str">
        <f ca="1">IF(AND($C22="Goal",DE$8&gt;=$G22,DE$8&lt;=$G22+$H22-1),2,IF(AND($C22="Milestone",DE$8&gt;=$G22,DE$8&lt;=$G22+$H22-1),1,""))</f>
        <v/>
      </c>
      <c r="DF22" s="69" t="str">
        <f ca="1">IF(AND($C22="Goal",DF$8&gt;=$G22,DF$8&lt;=$G22+$H22-1),2,IF(AND($C22="Milestone",DF$8&gt;=$G22,DF$8&lt;=$G22+$H22-1),1,""))</f>
        <v/>
      </c>
      <c r="DG22" s="69" t="str">
        <f ca="1">IF(AND($C22="Goal",DG$8&gt;=$G22,DG$8&lt;=$G22+$H22-1),2,IF(AND($C22="Milestone",DG$8&gt;=$G22,DG$8&lt;=$G22+$H22-1),1,""))</f>
        <v/>
      </c>
      <c r="DH22" s="69" t="str">
        <f ca="1">IF(AND($C22="Goal",DH$8&gt;=$G22,DH$8&lt;=$G22+$H22-1),2,IF(AND($C22="Milestone",DH$8&gt;=$G22,DH$8&lt;=$G22+$H22-1),1,""))</f>
        <v/>
      </c>
      <c r="DI22" s="69" t="str">
        <f ca="1">IF(AND($C22="Goal",DI$8&gt;=$G22,DI$8&lt;=$G22+$H22-1),2,IF(AND($C22="Milestone",DI$8&gt;=$G22,DI$8&lt;=$G22+$H22-1),1,""))</f>
        <v/>
      </c>
      <c r="DJ22" s="69" t="str">
        <f ca="1">IF(AND($C22="Goal",DJ$8&gt;=$G22,DJ$8&lt;=$G22+$H22-1),2,IF(AND($C22="Milestone",DJ$8&gt;=$G22,DJ$8&lt;=$G22+$H22-1),1,""))</f>
        <v/>
      </c>
      <c r="DK22" s="69" t="str">
        <f ca="1">IF(AND($C22="Goal",DK$8&gt;=$G22,DK$8&lt;=$G22+$H22-1),2,IF(AND($C22="Milestone",DK$8&gt;=$G22,DK$8&lt;=$G22+$H22-1),1,""))</f>
        <v/>
      </c>
      <c r="DL22" s="69" t="str">
        <f ca="1">IF(AND($C22="Goal",DL$8&gt;=$G22,DL$8&lt;=$G22+$H22-1),2,IF(AND($C22="Milestone",DL$8&gt;=$G22,DL$8&lt;=$G22+$H22-1),1,""))</f>
        <v/>
      </c>
      <c r="DM22" s="69" t="str">
        <f ca="1">IF(AND($C22="Goal",DM$8&gt;=$G22,DM$8&lt;=$G22+$H22-1),2,IF(AND($C22="Milestone",DM$8&gt;=$G22,DM$8&lt;=$G22+$H22-1),1,""))</f>
        <v/>
      </c>
      <c r="DN22" s="69" t="str">
        <f ca="1">IF(AND($C22="Goal",DN$8&gt;=$G22,DN$8&lt;=$G22+$H22-1),2,IF(AND($C22="Milestone",DN$8&gt;=$G22,DN$8&lt;=$G22+$H22-1),1,""))</f>
        <v/>
      </c>
      <c r="DO22" s="69" t="str">
        <f ca="1">IF(AND($C22="Goal",DO$8&gt;=$G22,DO$8&lt;=$G22+$H22-1),2,IF(AND($C22="Milestone",DO$8&gt;=$G22,DO$8&lt;=$G22+$H22-1),1,""))</f>
        <v/>
      </c>
      <c r="DP22" s="69" t="str">
        <f ca="1">IF(AND($C22="Goal",DP$8&gt;=$G22,DP$8&lt;=$G22+$H22-1),2,IF(AND($C22="Milestone",DP$8&gt;=$G22,DP$8&lt;=$G22+$H22-1),1,""))</f>
        <v/>
      </c>
      <c r="DQ22" s="69" t="str">
        <f ca="1">IF(AND($C22="Goal",DQ$8&gt;=$G22,DQ$8&lt;=$G22+$H22-1),2,IF(AND($C22="Milestone",DQ$8&gt;=$G22,DQ$8&lt;=$G22+$H22-1),1,""))</f>
        <v/>
      </c>
      <c r="DR22" s="69" t="str">
        <f ca="1">IF(AND($C22="Goal",DR$8&gt;=$G22,DR$8&lt;=$G22+$H22-1),2,IF(AND($C22="Milestone",DR$8&gt;=$G22,DR$8&lt;=$G22+$H22-1),1,""))</f>
        <v/>
      </c>
      <c r="DS22" s="69" t="str">
        <f ca="1">IF(AND($C22="Goal",DS$8&gt;=$G22,DS$8&lt;=$G22+$H22-1),2,IF(AND($C22="Milestone",DS$8&gt;=$G22,DS$8&lt;=$G22+$H22-1),1,""))</f>
        <v/>
      </c>
      <c r="DT22" s="69" t="str">
        <f ca="1">IF(AND($C22="Goal",DT$8&gt;=$G22,DT$8&lt;=$G22+$H22-1),2,IF(AND($C22="Milestone",DT$8&gt;=$G22,DT$8&lt;=$G22+$H22-1),1,""))</f>
        <v/>
      </c>
      <c r="DU22" s="69" t="str">
        <f ca="1">IF(AND($C22="Goal",DU$8&gt;=$G22,DU$8&lt;=$G22+$H22-1),2,IF(AND($C22="Milestone",DU$8&gt;=$G22,DU$8&lt;=$G22+$H22-1),1,""))</f>
        <v/>
      </c>
      <c r="DV22" s="69" t="str">
        <f ca="1">IF(AND($C22="Goal",DV$8&gt;=$G22,DV$8&lt;=$G22+$H22-1),2,IF(AND($C22="Milestone",DV$8&gt;=$G22,DV$8&lt;=$G22+$H22-1),1,""))</f>
        <v/>
      </c>
      <c r="DW22" s="69" t="str">
        <f ca="1">IF(AND($C22="Goal",DW$8&gt;=$G22,DW$8&lt;=$G22+$H22-1),2,IF(AND($C22="Milestone",DW$8&gt;=$G22,DW$8&lt;=$G22+$H22-1),1,""))</f>
        <v/>
      </c>
      <c r="DX22" s="69" t="str">
        <f ca="1">IF(AND($C22="Goal",DX$8&gt;=$G22,DX$8&lt;=$G22+$H22-1),2,IF(AND($C22="Milestone",DX$8&gt;=$G22,DX$8&lt;=$G22+$H22-1),1,""))</f>
        <v/>
      </c>
      <c r="DY22" s="69" t="str">
        <f ca="1">IF(AND($C22="Goal",DY$8&gt;=$G22,DY$8&lt;=$G22+$H22-1),2,IF(AND($C22="Milestone",DY$8&gt;=$G22,DY$8&lt;=$G22+$H22-1),1,""))</f>
        <v/>
      </c>
      <c r="DZ22" s="69" t="str">
        <f ca="1">IF(AND($C22="Goal",DZ$8&gt;=$G22,DZ$8&lt;=$G22+$H22-1),2,IF(AND($C22="Milestone",DZ$8&gt;=$G22,DZ$8&lt;=$G22+$H22-1),1,""))</f>
        <v/>
      </c>
      <c r="EA22" s="69" t="str">
        <f ca="1">IF(AND($C22="Goal",EA$8&gt;=$G22,EA$8&lt;=$G22+$H22-1),2,IF(AND($C22="Milestone",EA$8&gt;=$G22,EA$8&lt;=$G22+$H22-1),1,""))</f>
        <v/>
      </c>
      <c r="EB22" s="69" t="str">
        <f ca="1">IF(AND($C22="Goal",EB$8&gt;=$G22,EB$8&lt;=$G22+$H22-1),2,IF(AND($C22="Milestone",EB$8&gt;=$G22,EB$8&lt;=$G22+$H22-1),1,""))</f>
        <v/>
      </c>
      <c r="EC22" s="69" t="str">
        <f ca="1">IF(AND($C22="Goal",EC$8&gt;=$G22,EC$8&lt;=$G22+$H22-1),2,IF(AND($C22="Milestone",EC$8&gt;=$G22,EC$8&lt;=$G22+$H22-1),1,""))</f>
        <v/>
      </c>
      <c r="ED22" s="69" t="str">
        <f ca="1">IF(AND($C22="Goal",ED$8&gt;=$G22,ED$8&lt;=$G22+$H22-1),2,IF(AND($C22="Milestone",ED$8&gt;=$G22,ED$8&lt;=$G22+$H22-1),1,""))</f>
        <v/>
      </c>
      <c r="EE22" s="69" t="str">
        <f ca="1">IF(AND($C22="Goal",EE$8&gt;=$G22,EE$8&lt;=$G22+$H22-1),2,IF(AND($C22="Milestone",EE$8&gt;=$G22,EE$8&lt;=$G22+$H22-1),1,""))</f>
        <v/>
      </c>
      <c r="EF22" s="69" t="str">
        <f ca="1">IF(AND($C22="Goal",EF$8&gt;=$G22,EF$8&lt;=$G22+$H22-1),2,IF(AND($C22="Milestone",EF$8&gt;=$G22,EF$8&lt;=$G22+$H22-1),1,""))</f>
        <v/>
      </c>
      <c r="EG22" s="69" t="str">
        <f ca="1">IF(AND($C22="Goal",EG$8&gt;=$G22,EG$8&lt;=$G22+$H22-1),2,IF(AND($C22="Milestone",EG$8&gt;=$G22,EG$8&lt;=$G22+$H22-1),1,""))</f>
        <v/>
      </c>
      <c r="EH22" s="69" t="str">
        <f ca="1">IF(AND($C22="Goal",EH$8&gt;=$G22,EH$8&lt;=$G22+$H22-1),2,IF(AND($C22="Milestone",EH$8&gt;=$G22,EH$8&lt;=$G22+$H22-1),1,""))</f>
        <v/>
      </c>
      <c r="EI22" s="69" t="str">
        <f ca="1">IF(AND($C22="Goal",EI$8&gt;=$G22,EI$8&lt;=$G22+$H22-1),2,IF(AND($C22="Milestone",EI$8&gt;=$G22,EI$8&lt;=$G22+$H22-1),1,""))</f>
        <v/>
      </c>
      <c r="EJ22" s="69" t="str">
        <f ca="1">IF(AND($C22="Goal",EJ$8&gt;=$G22,EJ$8&lt;=$G22+$H22-1),2,IF(AND($C22="Milestone",EJ$8&gt;=$G22,EJ$8&lt;=$G22+$H22-1),1,""))</f>
        <v/>
      </c>
      <c r="EK22" s="69" t="str">
        <f ca="1">IF(AND($C22="Goal",EK$8&gt;=$G22,EK$8&lt;=$G22+$H22-1),2,IF(AND($C22="Milestone",EK$8&gt;=$G22,EK$8&lt;=$G22+$H22-1),1,""))</f>
        <v/>
      </c>
      <c r="EL22" s="69" t="str">
        <f ca="1">IF(AND($C22="Goal",EL$8&gt;=$G22,EL$8&lt;=$G22+$H22-1),2,IF(AND($C22="Milestone",EL$8&gt;=$G22,EL$8&lt;=$G22+$H22-1),1,""))</f>
        <v/>
      </c>
      <c r="EM22" s="69" t="str">
        <f ca="1">IF(AND($C22="Goal",EM$8&gt;=$G22,EM$8&lt;=$G22+$H22-1),2,IF(AND($C22="Milestone",EM$8&gt;=$G22,EM$8&lt;=$G22+$H22-1),1,""))</f>
        <v/>
      </c>
      <c r="EN22" s="69" t="str">
        <f ca="1">IF(AND($C22="Goal",EN$8&gt;=$G22,EN$8&lt;=$G22+$H22-1),2,IF(AND($C22="Milestone",EN$8&gt;=$G22,EN$8&lt;=$G22+$H22-1),1,""))</f>
        <v/>
      </c>
      <c r="EO22" s="69" t="str">
        <f ca="1">IF(AND($C22="Goal",EO$8&gt;=$G22,EO$8&lt;=$G22+$H22-1),2,IF(AND($C22="Milestone",EO$8&gt;=$G22,EO$8&lt;=$G22+$H22-1),1,""))</f>
        <v/>
      </c>
      <c r="EP22" s="69" t="str">
        <f ca="1">IF(AND($C22="Goal",EP$8&gt;=$G22,EP$8&lt;=$G22+$H22-1),2,IF(AND($C22="Milestone",EP$8&gt;=$G22,EP$8&lt;=$G22+$H22-1),1,""))</f>
        <v/>
      </c>
      <c r="EQ22" s="69" t="str">
        <f ca="1">IF(AND($C22="Goal",EQ$8&gt;=$G22,EQ$8&lt;=$G22+$H22-1),2,IF(AND($C22="Milestone",EQ$8&gt;=$G22,EQ$8&lt;=$G22+$H22-1),1,""))</f>
        <v/>
      </c>
      <c r="ER22" s="69" t="str">
        <f ca="1">IF(AND($C22="Goal",ER$8&gt;=$G22,ER$8&lt;=$G22+$H22-1),2,IF(AND($C22="Milestone",ER$8&gt;=$G22,ER$8&lt;=$G22+$H22-1),1,""))</f>
        <v/>
      </c>
      <c r="ES22" s="69" t="str">
        <f ca="1">IF(AND($C22="Goal",ES$8&gt;=$G22,ES$8&lt;=$G22+$H22-1),2,IF(AND($C22="Milestone",ES$8&gt;=$G22,ES$8&lt;=$G22+$H22-1),1,""))</f>
        <v/>
      </c>
      <c r="ET22" s="69" t="str">
        <f ca="1">IF(AND($C22="Goal",ET$8&gt;=$G22,ET$8&lt;=$G22+$H22-1),2,IF(AND($C22="Milestone",ET$8&gt;=$G22,ET$8&lt;=$G22+$H22-1),1,""))</f>
        <v/>
      </c>
      <c r="EU22" s="69" t="str">
        <f ca="1">IF(AND($C22="Goal",EU$8&gt;=$G22,EU$8&lt;=$G22+$H22-1),2,IF(AND($C22="Milestone",EU$8&gt;=$G22,EU$8&lt;=$G22+$H22-1),1,""))</f>
        <v/>
      </c>
      <c r="EV22" s="69" t="str">
        <f ca="1">IF(AND($C22="Goal",EV$8&gt;=$G22,EV$8&lt;=$G22+$H22-1),2,IF(AND($C22="Milestone",EV$8&gt;=$G22,EV$8&lt;=$G22+$H22-1),1,""))</f>
        <v/>
      </c>
      <c r="EW22" s="69" t="str">
        <f ca="1">IF(AND($C22="Goal",EW$8&gt;=$G22,EW$8&lt;=$G22+$H22-1),2,IF(AND($C22="Milestone",EW$8&gt;=$G22,EW$8&lt;=$G22+$H22-1),1,""))</f>
        <v/>
      </c>
      <c r="EX22" s="69" t="str">
        <f ca="1">IF(AND($C22="Goal",EX$8&gt;=$G22,EX$8&lt;=$G22+$H22-1),2,IF(AND($C22="Milestone",EX$8&gt;=$G22,EX$8&lt;=$G22+$H22-1),1,""))</f>
        <v/>
      </c>
      <c r="EY22" s="69" t="str">
        <f ca="1">IF(AND($C22="Goal",EY$8&gt;=$G22,EY$8&lt;=$G22+$H22-1),2,IF(AND($C22="Milestone",EY$8&gt;=$G22,EY$8&lt;=$G22+$H22-1),1,""))</f>
        <v/>
      </c>
      <c r="EZ22" s="69" t="str">
        <f ca="1">IF(AND($C22="Goal",EZ$8&gt;=$G22,EZ$8&lt;=$G22+$H22-1),2,IF(AND($C22="Milestone",EZ$8&gt;=$G22,EZ$8&lt;=$G22+$H22-1),1,""))</f>
        <v/>
      </c>
      <c r="FA22" s="69" t="str">
        <f ca="1">IF(AND($C22="Goal",FA$8&gt;=$G22,FA$8&lt;=$G22+$H22-1),2,IF(AND($C22="Milestone",FA$8&gt;=$G22,FA$8&lt;=$G22+$H22-1),1,""))</f>
        <v/>
      </c>
      <c r="FB22" s="69" t="str">
        <f ca="1">IF(AND($C22="Goal",FB$8&gt;=$G22,FB$8&lt;=$G22+$H22-1),2,IF(AND($C22="Milestone",FB$8&gt;=$G22,FB$8&lt;=$G22+$H22-1),1,""))</f>
        <v/>
      </c>
      <c r="FC22" s="69" t="str">
        <f ca="1">IF(AND($C22="Goal",FC$8&gt;=$G22,FC$8&lt;=$G22+$H22-1),2,IF(AND($C22="Milestone",FC$8&gt;=$G22,FC$8&lt;=$G22+$H22-1),1,""))</f>
        <v/>
      </c>
      <c r="FD22" s="69" t="str">
        <f ca="1">IF(AND($C22="Goal",FD$8&gt;=$G22,FD$8&lt;=$G22+$H22-1),2,IF(AND($C22="Milestone",FD$8&gt;=$G22,FD$8&lt;=$G22+$H22-1),1,""))</f>
        <v/>
      </c>
      <c r="FE22" s="69" t="str">
        <f ca="1">IF(AND($C22="Goal",FE$8&gt;=$G22,FE$8&lt;=$G22+$H22-1),2,IF(AND($C22="Milestone",FE$8&gt;=$G22,FE$8&lt;=$G22+$H22-1),1,""))</f>
        <v/>
      </c>
      <c r="FF22" s="69" t="str">
        <f ca="1">IF(AND($C22="Goal",FF$8&gt;=$G22,FF$8&lt;=$G22+$H22-1),2,IF(AND($C22="Milestone",FF$8&gt;=$G22,FF$8&lt;=$G22+$H22-1),1,""))</f>
        <v/>
      </c>
      <c r="FG22" s="69" t="str">
        <f ca="1">IF(AND($C22="Goal",FG$8&gt;=$G22,FG$8&lt;=$G22+$H22-1),2,IF(AND($C22="Milestone",FG$8&gt;=$G22,FG$8&lt;=$G22+$H22-1),1,""))</f>
        <v/>
      </c>
      <c r="FH22" s="69" t="str">
        <f ca="1">IF(AND($C22="Goal",FH$8&gt;=$G22,FH$8&lt;=$G22+$H22-1),2,IF(AND($C22="Milestone",FH$8&gt;=$G22,FH$8&lt;=$G22+$H22-1),1,""))</f>
        <v/>
      </c>
      <c r="FI22" s="69" t="str">
        <f ca="1">IF(AND($C22="Goal",FI$8&gt;=$G22,FI$8&lt;=$G22+$H22-1),2,IF(AND($C22="Milestone",FI$8&gt;=$G22,FI$8&lt;=$G22+$H22-1),1,""))</f>
        <v/>
      </c>
      <c r="FJ22" s="69" t="str">
        <f ca="1">IF(AND($C22="Goal",FJ$8&gt;=$G22,FJ$8&lt;=$G22+$H22-1),2,IF(AND($C22="Milestone",FJ$8&gt;=$G22,FJ$8&lt;=$G22+$H22-1),1,""))</f>
        <v/>
      </c>
      <c r="FK22" s="69" t="str">
        <f ca="1">IF(AND($C22="Goal",FK$8&gt;=$G22,FK$8&lt;=$G22+$H22-1),2,IF(AND($C22="Milestone",FK$8&gt;=$G22,FK$8&lt;=$G22+$H22-1),1,""))</f>
        <v/>
      </c>
      <c r="FL22" s="69" t="str">
        <f ca="1">IF(AND($C22="Goal",FL$8&gt;=$G22,FL$8&lt;=$G22+$H22-1),2,IF(AND($C22="Milestone",FL$8&gt;=$G22,FL$8&lt;=$G22+$H22-1),1,""))</f>
        <v/>
      </c>
      <c r="FM22" s="69" t="str">
        <f ca="1">IF(AND($C22="Goal",FM$8&gt;=$G22,FM$8&lt;=$G22+$H22-1),2,IF(AND($C22="Milestone",FM$8&gt;=$G22,FM$8&lt;=$G22+$H22-1),1,""))</f>
        <v/>
      </c>
      <c r="FN22" s="69" t="str">
        <f ca="1">IF(AND($C22="Goal",FN$8&gt;=$G22,FN$8&lt;=$G22+$H22-1),2,IF(AND($C22="Milestone",FN$8&gt;=$G22,FN$8&lt;=$G22+$H22-1),1,""))</f>
        <v/>
      </c>
      <c r="FO22" s="69" t="str">
        <f ca="1">IF(AND($C22="Goal",FO$8&gt;=$G22,FO$8&lt;=$G22+$H22-1),2,IF(AND($C22="Milestone",FO$8&gt;=$G22,FO$8&lt;=$G22+$H22-1),1,""))</f>
        <v/>
      </c>
      <c r="FP22" s="69" t="str">
        <f ca="1">IF(AND($C22="Goal",FP$8&gt;=$G22,FP$8&lt;=$G22+$H22-1),2,IF(AND($C22="Milestone",FP$8&gt;=$G22,FP$8&lt;=$G22+$H22-1),1,""))</f>
        <v/>
      </c>
      <c r="FQ22" s="69" t="str">
        <f ca="1">IF(AND($C22="Goal",FQ$8&gt;=$G22,FQ$8&lt;=$G22+$H22-1),2,IF(AND($C22="Milestone",FQ$8&gt;=$G22,FQ$8&lt;=$G22+$H22-1),1,""))</f>
        <v/>
      </c>
      <c r="FR22" s="69" t="str">
        <f ca="1">IF(AND($C22="Goal",FR$8&gt;=$G22,FR$8&lt;=$G22+$H22-1),2,IF(AND($C22="Milestone",FR$8&gt;=$G22,FR$8&lt;=$G22+$H22-1),1,""))</f>
        <v/>
      </c>
      <c r="FS22" s="69" t="str">
        <f ca="1">IF(AND($C22="Goal",FS$8&gt;=$G22,FS$8&lt;=$G22+$H22-1),2,IF(AND($C22="Milestone",FS$8&gt;=$G22,FS$8&lt;=$G22+$H22-1),1,""))</f>
        <v/>
      </c>
      <c r="FT22" s="69" t="str">
        <f ca="1">IF(AND($C22="Goal",FT$8&gt;=$G22,FT$8&lt;=$G22+$H22-1),2,IF(AND($C22="Milestone",FT$8&gt;=$G22,FT$8&lt;=$G22+$H22-1),1,""))</f>
        <v/>
      </c>
      <c r="FU22" s="69" t="str">
        <f ca="1">IF(AND($C22="Goal",FU$8&gt;=$G22,FU$8&lt;=$G22+$H22-1),2,IF(AND($C22="Milestone",FU$8&gt;=$G22,FU$8&lt;=$G22+$H22-1),1,""))</f>
        <v/>
      </c>
      <c r="FV22" s="69" t="str">
        <f ca="1">IF(AND($C22="Goal",FV$8&gt;=$G22,FV$8&lt;=$G22+$H22-1),2,IF(AND($C22="Milestone",FV$8&gt;=$G22,FV$8&lt;=$G22+$H22-1),1,""))</f>
        <v/>
      </c>
      <c r="FW22" s="69" t="str">
        <f ca="1">IF(AND($C22="Goal",FW$8&gt;=$G22,FW$8&lt;=$G22+$H22-1),2,IF(AND($C22="Milestone",FW$8&gt;=$G22,FW$8&lt;=$G22+$H22-1),1,""))</f>
        <v/>
      </c>
      <c r="FX22" s="69" t="str">
        <f ca="1">IF(AND($C22="Goal",FX$8&gt;=$G22,FX$8&lt;=$G22+$H22-1),2,IF(AND($C22="Milestone",FX$8&gt;=$G22,FX$8&lt;=$G22+$H22-1),1,""))</f>
        <v/>
      </c>
      <c r="FY22" s="69" t="str">
        <f ca="1">IF(AND($C22="Goal",FY$8&gt;=$G22,FY$8&lt;=$G22+$H22-1),2,IF(AND($C22="Milestone",FY$8&gt;=$G22,FY$8&lt;=$G22+$H22-1),1,""))</f>
        <v/>
      </c>
      <c r="FZ22" s="69" t="str">
        <f ca="1">IF(AND($C22="Goal",FZ$8&gt;=$G22,FZ$8&lt;=$G22+$H22-1),2,IF(AND($C22="Milestone",FZ$8&gt;=$G22,FZ$8&lt;=$G22+$H22-1),1,""))</f>
        <v/>
      </c>
      <c r="GA22" s="69" t="str">
        <f ca="1">IF(AND($C22="Goal",GA$8&gt;=$G22,GA$8&lt;=$G22+$H22-1),2,IF(AND($C22="Milestone",GA$8&gt;=$G22,GA$8&lt;=$G22+$H22-1),1,""))</f>
        <v/>
      </c>
      <c r="GB22" s="69" t="str">
        <f ca="1">IF(AND($C22="Goal",GB$8&gt;=$G22,GB$8&lt;=$G22+$H22-1),2,IF(AND($C22="Milestone",GB$8&gt;=$G22,GB$8&lt;=$G22+$H22-1),1,""))</f>
        <v/>
      </c>
      <c r="GC22" s="69" t="str">
        <f ca="1">IF(AND($C22="Goal",GC$8&gt;=$G22,GC$8&lt;=$G22+$H22-1),2,IF(AND($C22="Milestone",GC$8&gt;=$G22,GC$8&lt;=$G22+$H22-1),1,""))</f>
        <v/>
      </c>
      <c r="GD22" s="69" t="str">
        <f ca="1">IF(AND($C22="Goal",GD$8&gt;=$G22,GD$8&lt;=$G22+$H22-1),2,IF(AND($C22="Milestone",GD$8&gt;=$G22,GD$8&lt;=$G22+$H22-1),1,""))</f>
        <v/>
      </c>
      <c r="GE22" s="69" t="str">
        <f ca="1">IF(AND($C22="Goal",GE$8&gt;=$G22,GE$8&lt;=$G22+$H22-1),2,IF(AND($C22="Milestone",GE$8&gt;=$G22,GE$8&lt;=$G22+$H22-1),1,""))</f>
        <v/>
      </c>
      <c r="GF22" s="69" t="str">
        <f ca="1">IF(AND($C22="Goal",GF$8&gt;=$G22,GF$8&lt;=$G22+$H22-1),2,IF(AND($C22="Milestone",GF$8&gt;=$G22,GF$8&lt;=$G22+$H22-1),1,""))</f>
        <v/>
      </c>
      <c r="GG22" s="69" t="str">
        <f ca="1">IF(AND($C22="Goal",GG$8&gt;=$G22,GG$8&lt;=$G22+$H22-1),2,IF(AND($C22="Milestone",GG$8&gt;=$G22,GG$8&lt;=$G22+$H22-1),1,""))</f>
        <v/>
      </c>
      <c r="GH22" s="69" t="str">
        <f ca="1">IF(AND($C22="Goal",GH$8&gt;=$G22,GH$8&lt;=$G22+$H22-1),2,IF(AND($C22="Milestone",GH$8&gt;=$G22,GH$8&lt;=$G22+$H22-1),1,""))</f>
        <v/>
      </c>
      <c r="GI22" s="69" t="str">
        <f ca="1">IF(AND($C22="Goal",GI$8&gt;=$G22,GI$8&lt;=$G22+$H22-1),2,IF(AND($C22="Milestone",GI$8&gt;=$G22,GI$8&lt;=$G22+$H22-1),1,""))</f>
        <v/>
      </c>
      <c r="GJ22" s="69" t="str">
        <f ca="1">IF(AND($C22="Goal",GJ$8&gt;=$G22,GJ$8&lt;=$G22+$H22-1),2,IF(AND($C22="Milestone",GJ$8&gt;=$G22,GJ$8&lt;=$G22+$H22-1),1,""))</f>
        <v/>
      </c>
      <c r="GK22" s="69" t="str">
        <f ca="1">IF(AND($C22="Goal",GK$8&gt;=$G22,GK$8&lt;=$G22+$H22-1),2,IF(AND($C22="Milestone",GK$8&gt;=$G22,GK$8&lt;=$G22+$H22-1),1,""))</f>
        <v/>
      </c>
      <c r="GL22" s="69" t="str">
        <f ca="1">IF(AND($C22="Goal",GL$8&gt;=$G22,GL$8&lt;=$G22+$H22-1),2,IF(AND($C22="Milestone",GL$8&gt;=$G22,GL$8&lt;=$G22+$H22-1),1,""))</f>
        <v/>
      </c>
      <c r="GM22" s="69" t="str">
        <f ca="1">IF(AND($C22="Goal",GM$8&gt;=$G22,GM$8&lt;=$G22+$H22-1),2,IF(AND($C22="Milestone",GM$8&gt;=$G22,GM$8&lt;=$G22+$H22-1),1,""))</f>
        <v/>
      </c>
      <c r="GN22" s="69" t="str">
        <f ca="1">IF(AND($C22="Goal",GN$8&gt;=$G22,GN$8&lt;=$G22+$H22-1),2,IF(AND($C22="Milestone",GN$8&gt;=$G22,GN$8&lt;=$G22+$H22-1),1,""))</f>
        <v/>
      </c>
      <c r="GO22" s="69" t="str">
        <f ca="1">IF(AND($C22="Goal",GO$8&gt;=$G22,GO$8&lt;=$G22+$H22-1),2,IF(AND($C22="Milestone",GO$8&gt;=$G22,GO$8&lt;=$G22+$H22-1),1,""))</f>
        <v/>
      </c>
      <c r="GP22" s="69" t="str">
        <f ca="1">IF(AND($C22="Goal",GP$8&gt;=$G22,GP$8&lt;=$G22+$H22-1),2,IF(AND($C22="Milestone",GP$8&gt;=$G22,GP$8&lt;=$G22+$H22-1),1,""))</f>
        <v/>
      </c>
      <c r="GQ22" s="69" t="str">
        <f ca="1">IF(AND($C22="Goal",GQ$8&gt;=$G22,GQ$8&lt;=$G22+$H22-1),2,IF(AND($C22="Milestone",GQ$8&gt;=$G22,GQ$8&lt;=$G22+$H22-1),1,""))</f>
        <v/>
      </c>
      <c r="GR22" s="69" t="str">
        <f ca="1">IF(AND($C22="Goal",GR$8&gt;=$G22,GR$8&lt;=$G22+$H22-1),2,IF(AND($C22="Milestone",GR$8&gt;=$G22,GR$8&lt;=$G22+$H22-1),1,""))</f>
        <v/>
      </c>
      <c r="GS22" s="69" t="str">
        <f ca="1">IF(AND($C22="Goal",GS$8&gt;=$G22,GS$8&lt;=$G22+$H22-1),2,IF(AND($C22="Milestone",GS$8&gt;=$G22,GS$8&lt;=$G22+$H22-1),1,""))</f>
        <v/>
      </c>
      <c r="GT22" s="69" t="str">
        <f ca="1">IF(AND($C22="Goal",GT$8&gt;=$G22,GT$8&lt;=$G22+$H22-1),2,IF(AND($C22="Milestone",GT$8&gt;=$G22,GT$8&lt;=$G22+$H22-1),1,""))</f>
        <v/>
      </c>
      <c r="GU22" s="69" t="str">
        <f ca="1">IF(AND($C22="Goal",GU$8&gt;=$G22,GU$8&lt;=$G22+$H22-1),2,IF(AND($C22="Milestone",GU$8&gt;=$G22,GU$8&lt;=$G22+$H22-1),1,""))</f>
        <v/>
      </c>
      <c r="GV22" s="69" t="str">
        <f ca="1">IF(AND($C22="Goal",GV$8&gt;=$G22,GV$8&lt;=$G22+$H22-1),2,IF(AND($C22="Milestone",GV$8&gt;=$G22,GV$8&lt;=$G22+$H22-1),1,""))</f>
        <v/>
      </c>
      <c r="GW22" s="69" t="str">
        <f ca="1">IF(AND($C22="Goal",GW$8&gt;=$G22,GW$8&lt;=$G22+$H22-1),2,IF(AND($C22="Milestone",GW$8&gt;=$G22,GW$8&lt;=$G22+$H22-1),1,""))</f>
        <v/>
      </c>
      <c r="GX22" s="69" t="str">
        <f ca="1">IF(AND($C22="Goal",GX$8&gt;=$G22,GX$8&lt;=$G22+$H22-1),2,IF(AND($C22="Milestone",GX$8&gt;=$G22,GX$8&lt;=$G22+$H22-1),1,""))</f>
        <v/>
      </c>
      <c r="GY22" s="69" t="str">
        <f ca="1">IF(AND($C22="Goal",GY$8&gt;=$G22,GY$8&lt;=$G22+$H22-1),2,IF(AND($C22="Milestone",GY$8&gt;=$G22,GY$8&lt;=$G22+$H22-1),1,""))</f>
        <v/>
      </c>
      <c r="GZ22" s="69" t="str">
        <f ca="1">IF(AND($C22="Goal",GZ$8&gt;=$G22,GZ$8&lt;=$G22+$H22-1),2,IF(AND($C22="Milestone",GZ$8&gt;=$G22,GZ$8&lt;=$G22+$H22-1),1,""))</f>
        <v/>
      </c>
      <c r="HA22" s="69" t="str">
        <f ca="1">IF(AND($C22="Goal",HA$8&gt;=$G22,HA$8&lt;=$G22+$H22-1),2,IF(AND($C22="Milestone",HA$8&gt;=$G22,HA$8&lt;=$G22+$H22-1),1,""))</f>
        <v/>
      </c>
      <c r="HB22" s="69" t="str">
        <f ca="1">IF(AND($C22="Goal",HB$8&gt;=$G22,HB$8&lt;=$G22+$H22-1),2,IF(AND($C22="Milestone",HB$8&gt;=$G22,HB$8&lt;=$G22+$H22-1),1,""))</f>
        <v/>
      </c>
      <c r="HC22" s="69" t="str">
        <f ca="1">IF(AND($C22="Goal",HC$8&gt;=$G22,HC$8&lt;=$G22+$H22-1),2,IF(AND($C22="Milestone",HC$8&gt;=$G22,HC$8&lt;=$G22+$H22-1),1,""))</f>
        <v/>
      </c>
      <c r="HD22" s="69" t="str">
        <f ca="1">IF(AND($C22="Goal",HD$8&gt;=$G22,HD$8&lt;=$G22+$H22-1),2,IF(AND($C22="Milestone",HD$8&gt;=$G22,HD$8&lt;=$G22+$H22-1),1,""))</f>
        <v/>
      </c>
      <c r="HE22" s="69" t="str">
        <f ca="1">IF(AND($C22="Goal",HE$8&gt;=$G22,HE$8&lt;=$G22+$H22-1),2,IF(AND($C22="Milestone",HE$8&gt;=$G22,HE$8&lt;=$G22+$H22-1),1,""))</f>
        <v/>
      </c>
      <c r="HF22" s="69" t="str">
        <f ca="1">IF(AND($C22="Goal",HF$8&gt;=$G22,HF$8&lt;=$G22+$H22-1),2,IF(AND($C22="Milestone",HF$8&gt;=$G22,HF$8&lt;=$G22+$H22-1),1,""))</f>
        <v/>
      </c>
      <c r="HG22" s="69" t="str">
        <f ca="1">IF(AND($C22="Goal",HG$8&gt;=$G22,HG$8&lt;=$G22+$H22-1),2,IF(AND($C22="Milestone",HG$8&gt;=$G22,HG$8&lt;=$G22+$H22-1),1,""))</f>
        <v/>
      </c>
      <c r="HH22" s="69" t="str">
        <f ca="1">IF(AND($C22="Goal",HH$8&gt;=$G22,HH$8&lt;=$G22+$H22-1),2,IF(AND($C22="Milestone",HH$8&gt;=$G22,HH$8&lt;=$G22+$H22-1),1,""))</f>
        <v/>
      </c>
      <c r="HI22" s="69" t="str">
        <f ca="1">IF(AND($C22="Goal",HI$8&gt;=$G22,HI$8&lt;=$G22+$H22-1),2,IF(AND($C22="Milestone",HI$8&gt;=$G22,HI$8&lt;=$G22+$H22-1),1,""))</f>
        <v/>
      </c>
      <c r="HJ22" s="69" t="str">
        <f ca="1">IF(AND($C22="Goal",HJ$8&gt;=$G22,HJ$8&lt;=$G22+$H22-1),2,IF(AND($C22="Milestone",HJ$8&gt;=$G22,HJ$8&lt;=$G22+$H22-1),1,""))</f>
        <v/>
      </c>
      <c r="HK22" s="69" t="str">
        <f ca="1">IF(AND($C22="Goal",HK$8&gt;=$G22,HK$8&lt;=$G22+$H22-1),2,IF(AND($C22="Milestone",HK$8&gt;=$G22,HK$8&lt;=$G22+$H22-1),1,""))</f>
        <v/>
      </c>
      <c r="HL22" s="69" t="str">
        <f ca="1">IF(AND($C22="Goal",HL$8&gt;=$G22,HL$8&lt;=$G22+$H22-1),2,IF(AND($C22="Milestone",HL$8&gt;=$G22,HL$8&lt;=$G22+$H22-1),1,""))</f>
        <v/>
      </c>
      <c r="HM22" s="69" t="str">
        <f ca="1">IF(AND($C22="Goal",HM$8&gt;=$G22,HM$8&lt;=$G22+$H22-1),2,IF(AND($C22="Milestone",HM$8&gt;=$G22,HM$8&lt;=$G22+$H22-1),1,""))</f>
        <v/>
      </c>
      <c r="HN22" s="69" t="str">
        <f ca="1">IF(AND($C22="Goal",HN$8&gt;=$G22,HN$8&lt;=$G22+$H22-1),2,IF(AND($C22="Milestone",HN$8&gt;=$G22,HN$8&lt;=$G22+$H22-1),1,""))</f>
        <v/>
      </c>
      <c r="HO22" s="69" t="str">
        <f ca="1">IF(AND($C22="Goal",HO$8&gt;=$G22,HO$8&lt;=$G22+$H22-1),2,IF(AND($C22="Milestone",HO$8&gt;=$G22,HO$8&lt;=$G22+$H22-1),1,""))</f>
        <v/>
      </c>
      <c r="HP22" s="69" t="str">
        <f ca="1">IF(AND($C22="Goal",HP$8&gt;=$G22,HP$8&lt;=$G22+$H22-1),2,IF(AND($C22="Milestone",HP$8&gt;=$G22,HP$8&lt;=$G22+$H22-1),1,""))</f>
        <v/>
      </c>
      <c r="HQ22" s="69" t="str">
        <f ca="1">IF(AND($C22="Goal",HQ$8&gt;=$G22,HQ$8&lt;=$G22+$H22-1),2,IF(AND($C22="Milestone",HQ$8&gt;=$G22,HQ$8&lt;=$G22+$H22-1),1,""))</f>
        <v/>
      </c>
      <c r="HR22" s="69" t="str">
        <f ca="1">IF(AND($C22="Goal",HR$8&gt;=$G22,HR$8&lt;=$G22+$H22-1),2,IF(AND($C22="Milestone",HR$8&gt;=$G22,HR$8&lt;=$G22+$H22-1),1,""))</f>
        <v/>
      </c>
      <c r="HS22" s="69" t="str">
        <f ca="1">IF(AND($C22="Goal",HS$8&gt;=$G22,HS$8&lt;=$G22+$H22-1),2,IF(AND($C22="Milestone",HS$8&gt;=$G22,HS$8&lt;=$G22+$H22-1),1,""))</f>
        <v/>
      </c>
      <c r="HT22" s="69" t="str">
        <f ca="1">IF(AND($C22="Goal",HT$8&gt;=$G22,HT$8&lt;=$G22+$H22-1),2,IF(AND($C22="Milestone",HT$8&gt;=$G22,HT$8&lt;=$G22+$H22-1),1,""))</f>
        <v/>
      </c>
      <c r="HU22" s="69" t="str">
        <f ca="1">IF(AND($C22="Goal",HU$8&gt;=$G22,HU$8&lt;=$G22+$H22-1),2,IF(AND($C22="Milestone",HU$8&gt;=$G22,HU$8&lt;=$G22+$H22-1),1,""))</f>
        <v/>
      </c>
      <c r="HV22" s="69" t="str">
        <f ca="1">IF(AND($C22="Goal",HV$8&gt;=$G22,HV$8&lt;=$G22+$H22-1),2,IF(AND($C22="Milestone",HV$8&gt;=$G22,HV$8&lt;=$G22+$H22-1),1,""))</f>
        <v/>
      </c>
      <c r="HW22" s="69" t="str">
        <f ca="1">IF(AND($C22="Goal",HW$8&gt;=$G22,HW$8&lt;=$G22+$H22-1),2,IF(AND($C22="Milestone",HW$8&gt;=$G22,HW$8&lt;=$G22+$H22-1),1,""))</f>
        <v/>
      </c>
      <c r="HX22" s="69" t="str">
        <f ca="1">IF(AND($C22="Goal",HX$8&gt;=$G22,HX$8&lt;=$G22+$H22-1),2,IF(AND($C22="Milestone",HX$8&gt;=$G22,HX$8&lt;=$G22+$H22-1),1,""))</f>
        <v/>
      </c>
      <c r="HY22" s="69" t="str">
        <f ca="1">IF(AND($C22="Goal",HY$8&gt;=$G22,HY$8&lt;=$G22+$H22-1),2,IF(AND($C22="Milestone",HY$8&gt;=$G22,HY$8&lt;=$G22+$H22-1),1,""))</f>
        <v/>
      </c>
      <c r="HZ22" s="69" t="str">
        <f ca="1">IF(AND($C22="Goal",HZ$8&gt;=$G22,HZ$8&lt;=$G22+$H22-1),2,IF(AND($C22="Milestone",HZ$8&gt;=$G22,HZ$8&lt;=$G22+$H22-1),1,""))</f>
        <v/>
      </c>
      <c r="IA22" s="69" t="str">
        <f ca="1">IF(AND($C22="Goal",IA$8&gt;=$G22,IA$8&lt;=$G22+$H22-1),2,IF(AND($C22="Milestone",IA$8&gt;=$G22,IA$8&lt;=$G22+$H22-1),1,""))</f>
        <v/>
      </c>
      <c r="IB22" s="69" t="str">
        <f ca="1">IF(AND($C22="Goal",IB$8&gt;=$G22,IB$8&lt;=$G22+$H22-1),2,IF(AND($C22="Milestone",IB$8&gt;=$G22,IB$8&lt;=$G22+$H22-1),1,""))</f>
        <v/>
      </c>
      <c r="IC22" s="69" t="str">
        <f ca="1">IF(AND($C22="Goal",IC$8&gt;=$G22,IC$8&lt;=$G22+$H22-1),2,IF(AND($C22="Milestone",IC$8&gt;=$G22,IC$8&lt;=$G22+$H22-1),1,""))</f>
        <v/>
      </c>
      <c r="ID22" s="69" t="str">
        <f ca="1">IF(AND($C22="Goal",ID$8&gt;=$G22,ID$8&lt;=$G22+$H22-1),2,IF(AND($C22="Milestone",ID$8&gt;=$G22,ID$8&lt;=$G22+$H22-1),1,""))</f>
        <v/>
      </c>
      <c r="IE22" s="69" t="str">
        <f ca="1">IF(AND($C22="Goal",IE$8&gt;=$G22,IE$8&lt;=$G22+$H22-1),2,IF(AND($C22="Milestone",IE$8&gt;=$G22,IE$8&lt;=$G22+$H22-1),1,""))</f>
        <v/>
      </c>
      <c r="IF22" s="69" t="str">
        <f ca="1">IF(AND($C22="Goal",IF$8&gt;=$G22,IF$8&lt;=$G22+$H22-1),2,IF(AND($C22="Milestone",IF$8&gt;=$G22,IF$8&lt;=$G22+$H22-1),1,""))</f>
        <v/>
      </c>
      <c r="IG22" s="69" t="str">
        <f ca="1">IF(AND($C22="Goal",IG$8&gt;=$G22,IG$8&lt;=$G22+$H22-1),2,IF(AND($C22="Milestone",IG$8&gt;=$G22,IG$8&lt;=$G22+$H22-1),1,""))</f>
        <v/>
      </c>
      <c r="IH22" s="69" t="str">
        <f ca="1">IF(AND($C22="Goal",IH$8&gt;=$G22,IH$8&lt;=$G22+$H22-1),2,IF(AND($C22="Milestone",IH$8&gt;=$G22,IH$8&lt;=$G22+$H22-1),1,""))</f>
        <v/>
      </c>
      <c r="II22" s="69" t="str">
        <f ca="1">IF(AND($C22="Goal",II$8&gt;=$G22,II$8&lt;=$G22+$H22-1),2,IF(AND($C22="Milestone",II$8&gt;=$G22,II$8&lt;=$G22+$H22-1),1,""))</f>
        <v/>
      </c>
      <c r="IJ22" s="69" t="str">
        <f ca="1">IF(AND($C22="Goal",IJ$8&gt;=$G22,IJ$8&lt;=$G22+$H22-1),2,IF(AND($C22="Milestone",IJ$8&gt;=$G22,IJ$8&lt;=$G22+$H22-1),1,""))</f>
        <v/>
      </c>
      <c r="IK22" s="69" t="str">
        <f ca="1">IF(AND($C22="Goal",IK$8&gt;=$G22,IK$8&lt;=$G22+$H22-1),2,IF(AND($C22="Milestone",IK$8&gt;=$G22,IK$8&lt;=$G22+$H22-1),1,""))</f>
        <v/>
      </c>
      <c r="IL22" s="69" t="str">
        <f ca="1">IF(AND($C22="Goal",IL$8&gt;=$G22,IL$8&lt;=$G22+$H22-1),2,IF(AND($C22="Milestone",IL$8&gt;=$G22,IL$8&lt;=$G22+$H22-1),1,""))</f>
        <v/>
      </c>
      <c r="IM22" s="69" t="str">
        <f ca="1">IF(AND($C22="Goal",IM$8&gt;=$G22,IM$8&lt;=$G22+$H22-1),2,IF(AND($C22="Milestone",IM$8&gt;=$G22,IM$8&lt;=$G22+$H22-1),1,""))</f>
        <v/>
      </c>
      <c r="IN22" s="69" t="str">
        <f ca="1">IF(AND($C22="Goal",IN$8&gt;=$G22,IN$8&lt;=$G22+$H22-1),2,IF(AND($C22="Milestone",IN$8&gt;=$G22,IN$8&lt;=$G22+$H22-1),1,""))</f>
        <v/>
      </c>
      <c r="IO22" s="69" t="str">
        <f ca="1">IF(AND($C22="Goal",IO$8&gt;=$G22,IO$8&lt;=$G22+$H22-1),2,IF(AND($C22="Milestone",IO$8&gt;=$G22,IO$8&lt;=$G22+$H22-1),1,""))</f>
        <v/>
      </c>
      <c r="IP22" s="69" t="str">
        <f ca="1">IF(AND($C22="Goal",IP$8&gt;=$G22,IP$8&lt;=$G22+$H22-1),2,IF(AND($C22="Milestone",IP$8&gt;=$G22,IP$8&lt;=$G22+$H22-1),1,""))</f>
        <v/>
      </c>
      <c r="IQ22" s="69" t="str">
        <f ca="1">IF(AND($C22="Goal",IQ$8&gt;=$G22,IQ$8&lt;=$G22+$H22-1),2,IF(AND($C22="Milestone",IQ$8&gt;=$G22,IQ$8&lt;=$G22+$H22-1),1,""))</f>
        <v/>
      </c>
      <c r="IR22" s="69" t="str">
        <f ca="1">IF(AND($C22="Goal",IR$8&gt;=$G22,IR$8&lt;=$G22+$H22-1),2,IF(AND($C22="Milestone",IR$8&gt;=$G22,IR$8&lt;=$G22+$H22-1),1,""))</f>
        <v/>
      </c>
      <c r="IS22" s="69" t="str">
        <f ca="1">IF(AND($C22="Goal",IS$8&gt;=$G22,IS$8&lt;=$G22+$H22-1),2,IF(AND($C22="Milestone",IS$8&gt;=$G22,IS$8&lt;=$G22+$H22-1),1,""))</f>
        <v/>
      </c>
      <c r="IT22" s="69" t="str">
        <f ca="1">IF(AND($C22="Goal",IT$8&gt;=$G22,IT$8&lt;=$G22+$H22-1),2,IF(AND($C22="Milestone",IT$8&gt;=$G22,IT$8&lt;=$G22+$H22-1),1,""))</f>
        <v/>
      </c>
      <c r="IU22" s="69" t="str">
        <f ca="1">IF(AND($C22="Goal",IU$8&gt;=$G22,IU$8&lt;=$G22+$H22-1),2,IF(AND($C22="Milestone",IU$8&gt;=$G22,IU$8&lt;=$G22+$H22-1),1,""))</f>
        <v/>
      </c>
      <c r="IV22" s="69" t="str">
        <f ca="1">IF(AND($C22="Goal",IV$8&gt;=$G22,IV$8&lt;=$G22+$H22-1),2,IF(AND($C22="Milestone",IV$8&gt;=$G22,IV$8&lt;=$G22+$H22-1),1,""))</f>
        <v/>
      </c>
      <c r="IW22" s="69" t="str">
        <f ca="1">IF(AND($C22="Goal",IW$8&gt;=$G22,IW$8&lt;=$G22+$H22-1),2,IF(AND($C22="Milestone",IW$8&gt;=$G22,IW$8&lt;=$G22+$H22-1),1,""))</f>
        <v/>
      </c>
      <c r="IX22" s="69" t="str">
        <f ca="1">IF(AND($C22="Goal",IX$8&gt;=$G22,IX$8&lt;=$G22+$H22-1),2,IF(AND($C22="Milestone",IX$8&gt;=$G22,IX$8&lt;=$G22+$H22-1),1,""))</f>
        <v/>
      </c>
      <c r="IY22" s="69" t="str">
        <f ca="1">IF(AND($C22="Goal",IY$8&gt;=$G22,IY$8&lt;=$G22+$H22-1),2,IF(AND($C22="Milestone",IY$8&gt;=$G22,IY$8&lt;=$G22+$H22-1),1,""))</f>
        <v/>
      </c>
      <c r="IZ22" s="69" t="str">
        <f ca="1">IF(AND($C22="Goal",IZ$8&gt;=$G22,IZ$8&lt;=$G22+$H22-1),2,IF(AND($C22="Milestone",IZ$8&gt;=$G22,IZ$8&lt;=$G22+$H22-1),1,""))</f>
        <v/>
      </c>
      <c r="JA22" s="69" t="str">
        <f ca="1">IF(AND($C22="Goal",JA$8&gt;=$G22,JA$8&lt;=$G22+$H22-1),2,IF(AND($C22="Milestone",JA$8&gt;=$G22,JA$8&lt;=$G22+$H22-1),1,""))</f>
        <v/>
      </c>
      <c r="JB22" s="69" t="str">
        <f ca="1">IF(AND($C22="Goal",JB$8&gt;=$G22,JB$8&lt;=$G22+$H22-1),2,IF(AND($C22="Milestone",JB$8&gt;=$G22,JB$8&lt;=$G22+$H22-1),1,""))</f>
        <v/>
      </c>
      <c r="JC22" s="69" t="str">
        <f ca="1">IF(AND($C22="Goal",JC$8&gt;=$G22,JC$8&lt;=$G22+$H22-1),2,IF(AND($C22="Milestone",JC$8&gt;=$G22,JC$8&lt;=$G22+$H22-1),1,""))</f>
        <v/>
      </c>
      <c r="JD22" s="69" t="str">
        <f ca="1">IF(AND($C22="Goal",JD$8&gt;=$G22,JD$8&lt;=$G22+$H22-1),2,IF(AND($C22="Milestone",JD$8&gt;=$G22,JD$8&lt;=$G22+$H22-1),1,""))</f>
        <v/>
      </c>
      <c r="JE22" s="69" t="str">
        <f ca="1">IF(AND($C22="Goal",JE$8&gt;=$G22,JE$8&lt;=$G22+$H22-1),2,IF(AND($C22="Milestone",JE$8&gt;=$G22,JE$8&lt;=$G22+$H22-1),1,""))</f>
        <v/>
      </c>
      <c r="JF22" s="69" t="str">
        <f ca="1">IF(AND($C22="Goal",JF$8&gt;=$G22,JF$8&lt;=$G22+$H22-1),2,IF(AND($C22="Milestone",JF$8&gt;=$G22,JF$8&lt;=$G22+$H22-1),1,""))</f>
        <v/>
      </c>
      <c r="JG22" s="69" t="str">
        <f ca="1">IF(AND($C22="Goal",JG$8&gt;=$G22,JG$8&lt;=$G22+$H22-1),2,IF(AND($C22="Milestone",JG$8&gt;=$G22,JG$8&lt;=$G22+$H22-1),1,""))</f>
        <v/>
      </c>
      <c r="JH22" s="69" t="str">
        <f ca="1">IF(AND($C22="Goal",JH$8&gt;=$G22,JH$8&lt;=$G22+$H22-1),2,IF(AND($C22="Milestone",JH$8&gt;=$G22,JH$8&lt;=$G22+$H22-1),1,""))</f>
        <v/>
      </c>
      <c r="JI22" s="69" t="str">
        <f ca="1">IF(AND($C22="Goal",JI$8&gt;=$G22,JI$8&lt;=$G22+$H22-1),2,IF(AND($C22="Milestone",JI$8&gt;=$G22,JI$8&lt;=$G22+$H22-1),1,""))</f>
        <v/>
      </c>
      <c r="JJ22" s="69" t="str">
        <f ca="1">IF(AND($C22="Goal",JJ$8&gt;=$G22,JJ$8&lt;=$G22+$H22-1),2,IF(AND($C22="Milestone",JJ$8&gt;=$G22,JJ$8&lt;=$G22+$H22-1),1,""))</f>
        <v/>
      </c>
      <c r="JK22" s="69" t="str">
        <f ca="1">IF(AND($C22="Goal",JK$8&gt;=$G22,JK$8&lt;=$G22+$H22-1),2,IF(AND($C22="Milestone",JK$8&gt;=$G22,JK$8&lt;=$G22+$H22-1),1,""))</f>
        <v/>
      </c>
      <c r="JL22" s="69" t="str">
        <f ca="1">IF(AND($C22="Goal",JL$8&gt;=$G22,JL$8&lt;=$G22+$H22-1),2,IF(AND($C22="Milestone",JL$8&gt;=$G22,JL$8&lt;=$G22+$H22-1),1,""))</f>
        <v/>
      </c>
      <c r="JM22" s="69" t="str">
        <f ca="1">IF(AND($C22="Goal",JM$8&gt;=$G22,JM$8&lt;=$G22+$H22-1),2,IF(AND($C22="Milestone",JM$8&gt;=$G22,JM$8&lt;=$G22+$H22-1),1,""))</f>
        <v/>
      </c>
      <c r="JN22" s="69" t="str">
        <f ca="1">IF(AND($C22="Goal",JN$8&gt;=$G22,JN$8&lt;=$G22+$H22-1),2,IF(AND($C22="Milestone",JN$8&gt;=$G22,JN$8&lt;=$G22+$H22-1),1,""))</f>
        <v/>
      </c>
      <c r="JO22" s="69" t="str">
        <f ca="1">IF(AND($C22="Goal",JO$8&gt;=$G22,JO$8&lt;=$G22+$H22-1),2,IF(AND($C22="Milestone",JO$8&gt;=$G22,JO$8&lt;=$G22+$H22-1),1,""))</f>
        <v/>
      </c>
      <c r="JP22" s="69" t="str">
        <f ca="1">IF(AND($C22="Goal",JP$8&gt;=$G22,JP$8&lt;=$G22+$H22-1),2,IF(AND($C22="Milestone",JP$8&gt;=$G22,JP$8&lt;=$G22+$H22-1),1,""))</f>
        <v/>
      </c>
      <c r="JQ22" s="69" t="str">
        <f ca="1">IF(AND($C22="Goal",JQ$8&gt;=$G22,JQ$8&lt;=$G22+$H22-1),2,IF(AND($C22="Milestone",JQ$8&gt;=$G22,JQ$8&lt;=$G22+$H22-1),1,""))</f>
        <v/>
      </c>
      <c r="JR22" s="69" t="str">
        <f ca="1">IF(AND($C22="Goal",JR$8&gt;=$G22,JR$8&lt;=$G22+$H22-1),2,IF(AND($C22="Milestone",JR$8&gt;=$G22,JR$8&lt;=$G22+$H22-1),1,""))</f>
        <v/>
      </c>
      <c r="JS22" s="69" t="str">
        <f ca="1">IF(AND($C22="Goal",JS$8&gt;=$G22,JS$8&lt;=$G22+$H22-1),2,IF(AND($C22="Milestone",JS$8&gt;=$G22,JS$8&lt;=$G22+$H22-1),1,""))</f>
        <v/>
      </c>
      <c r="JT22" s="69" t="str">
        <f ca="1">IF(AND($C22="Goal",JT$8&gt;=$G22,JT$8&lt;=$G22+$H22-1),2,IF(AND($C22="Milestone",JT$8&gt;=$G22,JT$8&lt;=$G22+$H22-1),1,""))</f>
        <v/>
      </c>
      <c r="JU22" s="69" t="str">
        <f ca="1">IF(AND($C22="Goal",JU$8&gt;=$G22,JU$8&lt;=$G22+$H22-1),2,IF(AND($C22="Milestone",JU$8&gt;=$G22,JU$8&lt;=$G22+$H22-1),1,""))</f>
        <v/>
      </c>
      <c r="JV22" s="69" t="str">
        <f ca="1">IF(AND($C22="Goal",JV$8&gt;=$G22,JV$8&lt;=$G22+$H22-1),2,IF(AND($C22="Milestone",JV$8&gt;=$G22,JV$8&lt;=$G22+$H22-1),1,""))</f>
        <v/>
      </c>
      <c r="JW22" s="69" t="str">
        <f ca="1">IF(AND($C22="Goal",JW$8&gt;=$G22,JW$8&lt;=$G22+$H22-1),2,IF(AND($C22="Milestone",JW$8&gt;=$G22,JW$8&lt;=$G22+$H22-1),1,""))</f>
        <v/>
      </c>
      <c r="JX22" s="69" t="str">
        <f ca="1">IF(AND($C22="Goal",JX$8&gt;=$G22,JX$8&lt;=$G22+$H22-1),2,IF(AND($C22="Milestone",JX$8&gt;=$G22,JX$8&lt;=$G22+$H22-1),1,""))</f>
        <v/>
      </c>
      <c r="JY22" s="69" t="str">
        <f ca="1">IF(AND($C22="Goal",JY$8&gt;=$G22,JY$8&lt;=$G22+$H22-1),2,IF(AND($C22="Milestone",JY$8&gt;=$G22,JY$8&lt;=$G22+$H22-1),1,""))</f>
        <v/>
      </c>
      <c r="JZ22" s="69" t="str">
        <f ca="1">IF(AND($C22="Goal",JZ$8&gt;=$G22,JZ$8&lt;=$G22+$H22-1),2,IF(AND($C22="Milestone",JZ$8&gt;=$G22,JZ$8&lt;=$G22+$H22-1),1,""))</f>
        <v/>
      </c>
      <c r="KA22" s="69" t="str">
        <f ca="1">IF(AND($C22="Goal",KA$8&gt;=$G22,KA$8&lt;=$G22+$H22-1),2,IF(AND($C22="Milestone",KA$8&gt;=$G22,KA$8&lt;=$G22+$H22-1),1,""))</f>
        <v/>
      </c>
      <c r="KB22" s="69" t="str">
        <f ca="1">IF(AND($C22="Goal",KB$8&gt;=$G22,KB$8&lt;=$G22+$H22-1),2,IF(AND($C22="Milestone",KB$8&gt;=$G22,KB$8&lt;=$G22+$H22-1),1,""))</f>
        <v/>
      </c>
      <c r="KC22" s="69" t="str">
        <f ca="1">IF(AND($C22="Goal",KC$8&gt;=$G22,KC$8&lt;=$G22+$H22-1),2,IF(AND($C22="Milestone",KC$8&gt;=$G22,KC$8&lt;=$G22+$H22-1),1,""))</f>
        <v/>
      </c>
      <c r="KD22" s="69" t="str">
        <f ca="1">IF(AND($C22="Goal",KD$8&gt;=$G22,KD$8&lt;=$G22+$H22-1),2,IF(AND($C22="Milestone",KD$8&gt;=$G22,KD$8&lt;=$G22+$H22-1),1,""))</f>
        <v/>
      </c>
      <c r="KE22" s="69" t="str">
        <f ca="1">IF(AND($C22="Goal",KE$8&gt;=$G22,KE$8&lt;=$G22+$H22-1),2,IF(AND($C22="Milestone",KE$8&gt;=$G22,KE$8&lt;=$G22+$H22-1),1,""))</f>
        <v/>
      </c>
      <c r="KF22" s="69" t="str">
        <f ca="1">IF(AND($C22="Goal",KF$8&gt;=$G22,KF$8&lt;=$G22+$H22-1),2,IF(AND($C22="Milestone",KF$8&gt;=$G22,KF$8&lt;=$G22+$H22-1),1,""))</f>
        <v/>
      </c>
      <c r="KG22" s="69" t="str">
        <f ca="1">IF(AND($C22="Goal",KG$8&gt;=$G22,KG$8&lt;=$G22+$H22-1),2,IF(AND($C22="Milestone",KG$8&gt;=$G22,KG$8&lt;=$G22+$H22-1),1,""))</f>
        <v/>
      </c>
      <c r="KH22" s="69" t="str">
        <f ca="1">IF(AND($C22="Goal",KH$8&gt;=$G22,KH$8&lt;=$G22+$H22-1),2,IF(AND($C22="Milestone",KH$8&gt;=$G22,KH$8&lt;=$G22+$H22-1),1,""))</f>
        <v/>
      </c>
      <c r="KI22" s="69" t="str">
        <f ca="1">IF(AND($C22="Goal",KI$8&gt;=$G22,KI$8&lt;=$G22+$H22-1),2,IF(AND($C22="Milestone",KI$8&gt;=$G22,KI$8&lt;=$G22+$H22-1),1,""))</f>
        <v/>
      </c>
      <c r="KJ22" s="69" t="str">
        <f ca="1">IF(AND($C22="Goal",KJ$8&gt;=$G22,KJ$8&lt;=$G22+$H22-1),2,IF(AND($C22="Milestone",KJ$8&gt;=$G22,KJ$8&lt;=$G22+$H22-1),1,""))</f>
        <v/>
      </c>
      <c r="KK22" s="69" t="str">
        <f ca="1">IF(AND($C22="Goal",KK$8&gt;=$G22,KK$8&lt;=$G22+$H22-1),2,IF(AND($C22="Milestone",KK$8&gt;=$G22,KK$8&lt;=$G22+$H22-1),1,""))</f>
        <v/>
      </c>
      <c r="KL22" s="69" t="str">
        <f ca="1">IF(AND($C22="Goal",KL$8&gt;=$G22,KL$8&lt;=$G22+$H22-1),2,IF(AND($C22="Milestone",KL$8&gt;=$G22,KL$8&lt;=$G22+$H22-1),1,""))</f>
        <v/>
      </c>
      <c r="KM22" s="69" t="str">
        <f ca="1">IF(AND($C22="Goal",KM$8&gt;=$G22,KM$8&lt;=$G22+$H22-1),2,IF(AND($C22="Milestone",KM$8&gt;=$G22,KM$8&lt;=$G22+$H22-1),1,""))</f>
        <v/>
      </c>
      <c r="KN22" s="69" t="str">
        <f ca="1">IF(AND($C22="Goal",KN$8&gt;=$G22,KN$8&lt;=$G22+$H22-1),2,IF(AND($C22="Milestone",KN$8&gt;=$G22,KN$8&lt;=$G22+$H22-1),1,""))</f>
        <v/>
      </c>
      <c r="KO22" s="69" t="str">
        <f ca="1">IF(AND($C22="Goal",KO$8&gt;=$G22,KO$8&lt;=$G22+$H22-1),2,IF(AND($C22="Milestone",KO$8&gt;=$G22,KO$8&lt;=$G22+$H22-1),1,""))</f>
        <v/>
      </c>
      <c r="KP22" s="69" t="str">
        <f ca="1">IF(AND($C22="Goal",KP$8&gt;=$G22,KP$8&lt;=$G22+$H22-1),2,IF(AND($C22="Milestone",KP$8&gt;=$G22,KP$8&lt;=$G22+$H22-1),1,""))</f>
        <v/>
      </c>
      <c r="KQ22" s="69" t="str">
        <f ca="1">IF(AND($C22="Goal",KQ$8&gt;=$G22,KQ$8&lt;=$G22+$H22-1),2,IF(AND($C22="Milestone",KQ$8&gt;=$G22,KQ$8&lt;=$G22+$H22-1),1,""))</f>
        <v/>
      </c>
      <c r="KR22" s="69" t="str">
        <f ca="1">IF(AND($C22="Goal",KR$8&gt;=$G22,KR$8&lt;=$G22+$H22-1),2,IF(AND($C22="Milestone",KR$8&gt;=$G22,KR$8&lt;=$G22+$H22-1),1,""))</f>
        <v/>
      </c>
      <c r="KS22" s="69" t="str">
        <f ca="1">IF(AND($C22="Goal",KS$8&gt;=$G22,KS$8&lt;=$G22+$H22-1),2,IF(AND($C22="Milestone",KS$8&gt;=$G22,KS$8&lt;=$G22+$H22-1),1,""))</f>
        <v/>
      </c>
      <c r="KT22" s="69" t="str">
        <f ca="1">IF(AND($C22="Goal",KT$8&gt;=$G22,KT$8&lt;=$G22+$H22-1),2,IF(AND($C22="Milestone",KT$8&gt;=$G22,KT$8&lt;=$G22+$H22-1),1,""))</f>
        <v/>
      </c>
      <c r="KU22" s="69" t="str">
        <f ca="1">IF(AND($C22="Goal",KU$8&gt;=$G22,KU$8&lt;=$G22+$H22-1),2,IF(AND($C22="Milestone",KU$8&gt;=$G22,KU$8&lt;=$G22+$H22-1),1,""))</f>
        <v/>
      </c>
      <c r="KV22" s="69" t="str">
        <f ca="1">IF(AND($C22="Goal",KV$8&gt;=$G22,KV$8&lt;=$G22+$H22-1),2,IF(AND($C22="Milestone",KV$8&gt;=$G22,KV$8&lt;=$G22+$H22-1),1,""))</f>
        <v/>
      </c>
      <c r="KW22" s="69" t="str">
        <f ca="1">IF(AND($C22="Goal",KW$8&gt;=$G22,KW$8&lt;=$G22+$H22-1),2,IF(AND($C22="Milestone",KW$8&gt;=$G22,KW$8&lt;=$G22+$H22-1),1,""))</f>
        <v/>
      </c>
      <c r="KX22" s="69" t="str">
        <f ca="1">IF(AND($C22="Goal",KX$8&gt;=$G22,KX$8&lt;=$G22+$H22-1),2,IF(AND($C22="Milestone",KX$8&gt;=$G22,KX$8&lt;=$G22+$H22-1),1,""))</f>
        <v/>
      </c>
      <c r="KY22" s="69" t="str">
        <f ca="1">IF(AND($C22="Goal",KY$8&gt;=$G22,KY$8&lt;=$G22+$H22-1),2,IF(AND($C22="Milestone",KY$8&gt;=$G22,KY$8&lt;=$G22+$H22-1),1,""))</f>
        <v/>
      </c>
      <c r="KZ22" s="69" t="str">
        <f ca="1">IF(AND($C22="Goal",KZ$8&gt;=$G22,KZ$8&lt;=$G22+$H22-1),2,IF(AND($C22="Milestone",KZ$8&gt;=$G22,KZ$8&lt;=$G22+$H22-1),1,""))</f>
        <v/>
      </c>
      <c r="LA22" s="69" t="str">
        <f ca="1">IF(AND($C22="Goal",LA$8&gt;=$G22,LA$8&lt;=$G22+$H22-1),2,IF(AND($C22="Milestone",LA$8&gt;=$G22,LA$8&lt;=$G22+$H22-1),1,""))</f>
        <v/>
      </c>
      <c r="LB22" s="69" t="str">
        <f ca="1">IF(AND($C22="Goal",LB$8&gt;=$G22,LB$8&lt;=$G22+$H22-1),2,IF(AND($C22="Milestone",LB$8&gt;=$G22,LB$8&lt;=$G22+$H22-1),1,""))</f>
        <v/>
      </c>
      <c r="LC22" s="69" t="str">
        <f ca="1">IF(AND($C22="Goal",LC$8&gt;=$G22,LC$8&lt;=$G22+$H22-1),2,IF(AND($C22="Milestone",LC$8&gt;=$G22,LC$8&lt;=$G22+$H22-1),1,""))</f>
        <v/>
      </c>
      <c r="LD22" s="69" t="str">
        <f ca="1">IF(AND($C22="Goal",LD$8&gt;=$G22,LD$8&lt;=$G22+$H22-1),2,IF(AND($C22="Milestone",LD$8&gt;=$G22,LD$8&lt;=$G22+$H22-1),1,""))</f>
        <v/>
      </c>
      <c r="LE22" s="69" t="str">
        <f ca="1">IF(AND($C22="Goal",LE$8&gt;=$G22,LE$8&lt;=$G22+$H22-1),2,IF(AND($C22="Milestone",LE$8&gt;=$G22,LE$8&lt;=$G22+$H22-1),1,""))</f>
        <v/>
      </c>
      <c r="LF22" s="69" t="str">
        <f ca="1">IF(AND($C22="Goal",LF$8&gt;=$G22,LF$8&lt;=$G22+$H22-1),2,IF(AND($C22="Milestone",LF$8&gt;=$G22,LF$8&lt;=$G22+$H22-1),1,""))</f>
        <v/>
      </c>
      <c r="LG22" s="69" t="str">
        <f ca="1">IF(AND($C22="Goal",LG$8&gt;=$G22,LG$8&lt;=$G22+$H22-1),2,IF(AND($C22="Milestone",LG$8&gt;=$G22,LG$8&lt;=$G22+$H22-1),1,""))</f>
        <v/>
      </c>
      <c r="LH22" s="69" t="str">
        <f ca="1">IF(AND($C22="Goal",LH$8&gt;=$G22,LH$8&lt;=$G22+$H22-1),2,IF(AND($C22="Milestone",LH$8&gt;=$G22,LH$8&lt;=$G22+$H22-1),1,""))</f>
        <v/>
      </c>
      <c r="LI22" s="69" t="str">
        <f ca="1">IF(AND($C22="Goal",LI$8&gt;=$G22,LI$8&lt;=$G22+$H22-1),2,IF(AND($C22="Milestone",LI$8&gt;=$G22,LI$8&lt;=$G22+$H22-1),1,""))</f>
        <v/>
      </c>
      <c r="LJ22" s="69" t="str">
        <f ca="1">IF(AND($C22="Goal",LJ$8&gt;=$G22,LJ$8&lt;=$G22+$H22-1),2,IF(AND($C22="Milestone",LJ$8&gt;=$G22,LJ$8&lt;=$G22+$H22-1),1,""))</f>
        <v/>
      </c>
      <c r="LK22" s="69" t="str">
        <f ca="1">IF(AND($C22="Goal",LK$8&gt;=$G22,LK$8&lt;=$G22+$H22-1),2,IF(AND($C22="Milestone",LK$8&gt;=$G22,LK$8&lt;=$G22+$H22-1),1,""))</f>
        <v/>
      </c>
      <c r="LL22" s="69" t="str">
        <f ca="1">IF(AND($C22="Goal",LL$8&gt;=$G22,LL$8&lt;=$G22+$H22-1),2,IF(AND($C22="Milestone",LL$8&gt;=$G22,LL$8&lt;=$G22+$H22-1),1,""))</f>
        <v/>
      </c>
      <c r="LM22" s="69" t="str">
        <f ca="1">IF(AND($C22="Goal",LM$8&gt;=$G22,LM$8&lt;=$G22+$H22-1),2,IF(AND($C22="Milestone",LM$8&gt;=$G22,LM$8&lt;=$G22+$H22-1),1,""))</f>
        <v/>
      </c>
      <c r="LN22" s="69" t="str">
        <f ca="1">IF(AND($C22="Goal",LN$8&gt;=$G22,LN$8&lt;=$G22+$H22-1),2,IF(AND($C22="Milestone",LN$8&gt;=$G22,LN$8&lt;=$G22+$H22-1),1,""))</f>
        <v/>
      </c>
      <c r="LO22" s="69" t="str">
        <f ca="1">IF(AND($C22="Goal",LO$8&gt;=$G22,LO$8&lt;=$G22+$H22-1),2,IF(AND($C22="Milestone",LO$8&gt;=$G22,LO$8&lt;=$G22+$H22-1),1,""))</f>
        <v/>
      </c>
      <c r="LP22" s="69" t="str">
        <f ca="1">IF(AND($C22="Goal",LP$8&gt;=$G22,LP$8&lt;=$G22+$H22-1),2,IF(AND($C22="Milestone",LP$8&gt;=$G22,LP$8&lt;=$G22+$H22-1),1,""))</f>
        <v/>
      </c>
      <c r="LQ22" s="69" t="str">
        <f ca="1">IF(AND($C22="Goal",LQ$8&gt;=$G22,LQ$8&lt;=$G22+$H22-1),2,IF(AND($C22="Milestone",LQ$8&gt;=$G22,LQ$8&lt;=$G22+$H22-1),1,""))</f>
        <v/>
      </c>
      <c r="LR22" s="69" t="str">
        <f ca="1">IF(AND($C22="Goal",LR$8&gt;=$G22,LR$8&lt;=$G22+$H22-1),2,IF(AND($C22="Milestone",LR$8&gt;=$G22,LR$8&lt;=$G22+$H22-1),1,""))</f>
        <v/>
      </c>
      <c r="LS22" s="69" t="str">
        <f ca="1">IF(AND($C22="Goal",LS$8&gt;=$G22,LS$8&lt;=$G22+$H22-1),2,IF(AND($C22="Milestone",LS$8&gt;=$G22,LS$8&lt;=$G22+$H22-1),1,""))</f>
        <v/>
      </c>
      <c r="LT22" s="69" t="str">
        <f ca="1">IF(AND($C22="Goal",LT$8&gt;=$G22,LT$8&lt;=$G22+$H22-1),2,IF(AND($C22="Milestone",LT$8&gt;=$G22,LT$8&lt;=$G22+$H22-1),1,""))</f>
        <v/>
      </c>
      <c r="LU22" s="69" t="str">
        <f ca="1">IF(AND($C22="Goal",LU$8&gt;=$G22,LU$8&lt;=$G22+$H22-1),2,IF(AND($C22="Milestone",LU$8&gt;=$G22,LU$8&lt;=$G22+$H22-1),1,""))</f>
        <v/>
      </c>
      <c r="LV22" s="69" t="str">
        <f ca="1">IF(AND($C22="Goal",LV$8&gt;=$G22,LV$8&lt;=$G22+$H22-1),2,IF(AND($C22="Milestone",LV$8&gt;=$G22,LV$8&lt;=$G22+$H22-1),1,""))</f>
        <v/>
      </c>
      <c r="LW22" s="69" t="str">
        <f ca="1">IF(AND($C22="Goal",LW$8&gt;=$G22,LW$8&lt;=$G22+$H22-1),2,IF(AND($C22="Milestone",LW$8&gt;=$G22,LW$8&lt;=$G22+$H22-1),1,""))</f>
        <v/>
      </c>
      <c r="LX22" s="69" t="str">
        <f ca="1">IF(AND($C22="Goal",LX$8&gt;=$G22,LX$8&lt;=$G22+$H22-1),2,IF(AND($C22="Milestone",LX$8&gt;=$G22,LX$8&lt;=$G22+$H22-1),1,""))</f>
        <v/>
      </c>
    </row>
    <row r="23" spans="1:336" s="1" customFormat="1" ht="27.5" customHeight="1" x14ac:dyDescent="0.25">
      <c r="A23" s="6"/>
      <c r="B23" s="75" t="s">
        <v>25</v>
      </c>
      <c r="C23" s="53"/>
      <c r="D23" s="53" t="str">
        <f ca="1">IF(G23="","",
IF(G23+Milestones4352[[#This Row],[Days]]="","",
IF(OR(F23=1,F23=100%),"Complete",
CHOOSE(
  1
  + --(((1-IF(F23&gt;1,F23/100,F23))*POWER(2.718281828,(60-MAX(0,G23+Milestones4352[[#This Row],[Days]]-TODAY()))/12))&gt;=0.6)
  + --(((1-IF(F23&gt;1,F23/100,F23))*POWER(2.718281828,(60-MAX(0,G23+Milestones4352[[#This Row],[Days]]-TODAY()))/12))&gt;=1.2)
  + --(((1-IF(F23&gt;1,F23/100,F23))*POWER(2.718281828,(60-MAX(0,G23+Milestones4352[[#This Row],[Days]]-TODAY()))/12))&gt;=2),
  "On track","Low risk","Medium risk","High risk"
))))</f>
        <v/>
      </c>
      <c r="E23" s="53"/>
      <c r="F23" s="10"/>
      <c r="G23" s="20"/>
      <c r="H23" s="12"/>
      <c r="I23" s="12" t="str">
        <f t="shared" si="207"/>
        <v/>
      </c>
      <c r="J23" s="12" t="str">
        <f ca="1">IF(OR(Milestones4352[[#This Row],[Start]]="",Milestones4352[[#This Row],[Days]]=""),"",(Milestones4352[[#This Row],[Start]]+Milestones4352[[#This Row],[Days]])-TODAY())</f>
        <v/>
      </c>
      <c r="K23" s="9"/>
      <c r="L23" s="69" t="str">
        <f ca="1">IF(AND($C23="Goal",L$8&gt;=$G23,L$8&lt;=$G23+$H23-1),2,IF(AND($C23="Milestone",L$8&gt;=$G23,L$8&lt;=$G23+$H23-1),1,""))</f>
        <v/>
      </c>
      <c r="M23" s="69" t="str">
        <f ca="1">IF(AND($C23="Goal",M$8&gt;=$G23,M$8&lt;=$G23+$H23-1),2,IF(AND($C23="Milestone",M$8&gt;=$G23,M$8&lt;=$G23+$H23-1),1,""))</f>
        <v/>
      </c>
      <c r="N23" s="69" t="str">
        <f ca="1">IF(AND($C23="Goal",N$8&gt;=$G23,N$8&lt;=$G23+$H23-1),2,IF(AND($C23="Milestone",N$8&gt;=$G23,N$8&lt;=$G23+$H23-1),1,""))</f>
        <v/>
      </c>
      <c r="O23" s="69" t="str">
        <f ca="1">IF(AND($C23="Goal",O$8&gt;=$G23,O$8&lt;=$G23+$H23-1),2,IF(AND($C23="Milestone",O$8&gt;=$G23,O$8&lt;=$G23+$H23-1),1,""))</f>
        <v/>
      </c>
      <c r="P23" s="69" t="str">
        <f ca="1">IF(AND($C23="Goal",P$8&gt;=$G23,P$8&lt;=$G23+$H23-1),2,IF(AND($C23="Milestone",P$8&gt;=$G23,P$8&lt;=$G23+$H23-1),1,""))</f>
        <v/>
      </c>
      <c r="Q23" s="69" t="str">
        <f ca="1">IF(AND($C23="Goal",Q$8&gt;=$G23,Q$8&lt;=$G23+$H23-1),2,IF(AND($C23="Milestone",Q$8&gt;=$G23,Q$8&lt;=$G23+$H23-1),1,""))</f>
        <v/>
      </c>
      <c r="R23" s="69" t="str">
        <f ca="1">IF(AND($C23="Goal",R$8&gt;=$G23,R$8&lt;=$G23+$H23-1),2,IF(AND($C23="Milestone",R$8&gt;=$G23,R$8&lt;=$G23+$H23-1),1,""))</f>
        <v/>
      </c>
      <c r="S23" s="69" t="str">
        <f ca="1">IF(AND($C23="Goal",S$8&gt;=$G23,S$8&lt;=$G23+$H23-1),2,IF(AND($C23="Milestone",S$8&gt;=$G23,S$8&lt;=$G23+$H23-1),1,""))</f>
        <v/>
      </c>
      <c r="T23" s="69" t="str">
        <f ca="1">IF(AND($C23="Goal",T$8&gt;=$G23,T$8&lt;=$G23+$H23-1),2,IF(AND($C23="Milestone",T$8&gt;=$G23,T$8&lt;=$G23+$H23-1),1,""))</f>
        <v/>
      </c>
      <c r="U23" s="69" t="str">
        <f ca="1">IF(AND($C23="Goal",U$8&gt;=$G23,U$8&lt;=$G23+$H23-1),2,IF(AND($C23="Milestone",U$8&gt;=$G23,U$8&lt;=$G23+$H23-1),1,""))</f>
        <v/>
      </c>
      <c r="V23" s="69" t="str">
        <f ca="1">IF(AND($C23="Goal",V$8&gt;=$G23,V$8&lt;=$G23+$H23-1),2,IF(AND($C23="Milestone",V$8&gt;=$G23,V$8&lt;=$G23+$H23-1),1,""))</f>
        <v/>
      </c>
      <c r="W23" s="69" t="str">
        <f ca="1">IF(AND($C23="Goal",W$8&gt;=$G23,W$8&lt;=$G23+$H23-1),2,IF(AND($C23="Milestone",W$8&gt;=$G23,W$8&lt;=$G23+$H23-1),1,""))</f>
        <v/>
      </c>
      <c r="X23" s="69" t="str">
        <f ca="1">IF(AND($C23="Goal",X$8&gt;=$G23,X$8&lt;=$G23+$H23-1),2,IF(AND($C23="Milestone",X$8&gt;=$G23,X$8&lt;=$G23+$H23-1),1,""))</f>
        <v/>
      </c>
      <c r="Y23" s="69" t="str">
        <f ca="1">IF(AND($C23="Goal",Y$8&gt;=$G23,Y$8&lt;=$G23+$H23-1),2,IF(AND($C23="Milestone",Y$8&gt;=$G23,Y$8&lt;=$G23+$H23-1),1,""))</f>
        <v/>
      </c>
      <c r="Z23" s="69" t="str">
        <f ca="1">IF(AND($C23="Goal",Z$8&gt;=$G23,Z$8&lt;=$G23+$H23-1),2,IF(AND($C23="Milestone",Z$8&gt;=$G23,Z$8&lt;=$G23+$H23-1),1,""))</f>
        <v/>
      </c>
      <c r="AA23" s="69" t="str">
        <f ca="1">IF(AND($C23="Goal",AA$8&gt;=$G23,AA$8&lt;=$G23+$H23-1),2,IF(AND($C23="Milestone",AA$8&gt;=$G23,AA$8&lt;=$G23+$H23-1),1,""))</f>
        <v/>
      </c>
      <c r="AB23" s="69" t="str">
        <f ca="1">IF(AND($C23="Goal",AB$8&gt;=$G23,AB$8&lt;=$G23+$H23-1),2,IF(AND($C23="Milestone",AB$8&gt;=$G23,AB$8&lt;=$G23+$H23-1),1,""))</f>
        <v/>
      </c>
      <c r="AC23" s="69" t="str">
        <f ca="1">IF(AND($C23="Goal",AC$8&gt;=$G23,AC$8&lt;=$G23+$H23-1),2,IF(AND($C23="Milestone",AC$8&gt;=$G23,AC$8&lt;=$G23+$H23-1),1,""))</f>
        <v/>
      </c>
      <c r="AD23" s="69" t="str">
        <f ca="1">IF(AND($C23="Goal",AD$8&gt;=$G23,AD$8&lt;=$G23+$H23-1),2,IF(AND($C23="Milestone",AD$8&gt;=$G23,AD$8&lt;=$G23+$H23-1),1,""))</f>
        <v/>
      </c>
      <c r="AE23" s="69" t="str">
        <f ca="1">IF(AND($C23="Goal",AE$8&gt;=$G23,AE$8&lt;=$G23+$H23-1),2,IF(AND($C23="Milestone",AE$8&gt;=$G23,AE$8&lt;=$G23+$H23-1),1,""))</f>
        <v/>
      </c>
      <c r="AF23" s="69" t="str">
        <f ca="1">IF(AND($C23="Goal",AF$8&gt;=$G23,AF$8&lt;=$G23+$H23-1),2,IF(AND($C23="Milestone",AF$8&gt;=$G23,AF$8&lt;=$G23+$H23-1),1,""))</f>
        <v/>
      </c>
      <c r="AG23" s="69" t="str">
        <f ca="1">IF(AND($C23="Goal",AG$8&gt;=$G23,AG$8&lt;=$G23+$H23-1),2,IF(AND($C23="Milestone",AG$8&gt;=$G23,AG$8&lt;=$G23+$H23-1),1,""))</f>
        <v/>
      </c>
      <c r="AH23" s="69" t="str">
        <f ca="1">IF(AND($C23="Goal",AH$8&gt;=$G23,AH$8&lt;=$G23+$H23-1),2,IF(AND($C23="Milestone",AH$8&gt;=$G23,AH$8&lt;=$G23+$H23-1),1,""))</f>
        <v/>
      </c>
      <c r="AI23" s="69" t="str">
        <f ca="1">IF(AND($C23="Goal",AI$8&gt;=$G23,AI$8&lt;=$G23+$H23-1),2,IF(AND($C23="Milestone",AI$8&gt;=$G23,AI$8&lt;=$G23+$H23-1),1,""))</f>
        <v/>
      </c>
      <c r="AJ23" s="69" t="str">
        <f ca="1">IF(AND($C23="Goal",AJ$8&gt;=$G23,AJ$8&lt;=$G23+$H23-1),2,IF(AND($C23="Milestone",AJ$8&gt;=$G23,AJ$8&lt;=$G23+$H23-1),1,""))</f>
        <v/>
      </c>
      <c r="AK23" s="69" t="str">
        <f ca="1">IF(AND($C23="Goal",AK$8&gt;=$G23,AK$8&lt;=$G23+$H23-1),2,IF(AND($C23="Milestone",AK$8&gt;=$G23,AK$8&lt;=$G23+$H23-1),1,""))</f>
        <v/>
      </c>
      <c r="AL23" s="69" t="str">
        <f ca="1">IF(AND($C23="Goal",AL$8&gt;=$G23,AL$8&lt;=$G23+$H23-1),2,IF(AND($C23="Milestone",AL$8&gt;=$G23,AL$8&lt;=$G23+$H23-1),1,""))</f>
        <v/>
      </c>
      <c r="AM23" s="69" t="str">
        <f ca="1">IF(AND($C23="Goal",AM$8&gt;=$G23,AM$8&lt;=$G23+$H23-1),2,IF(AND($C23="Milestone",AM$8&gt;=$G23,AM$8&lt;=$G23+$H23-1),1,""))</f>
        <v/>
      </c>
      <c r="AN23" s="69" t="str">
        <f ca="1">IF(AND($C23="Goal",AN$8&gt;=$G23,AN$8&lt;=$G23+$H23-1),2,IF(AND($C23="Milestone",AN$8&gt;=$G23,AN$8&lt;=$G23+$H23-1),1,""))</f>
        <v/>
      </c>
      <c r="AO23" s="69" t="str">
        <f ca="1">IF(AND($C23="Goal",AO$8&gt;=$G23,AO$8&lt;=$G23+$H23-1),2,IF(AND($C23="Milestone",AO$8&gt;=$G23,AO$8&lt;=$G23+$H23-1),1,""))</f>
        <v/>
      </c>
      <c r="AP23" s="69" t="str">
        <f ca="1">IF(AND($C23="Goal",AP$8&gt;=$G23,AP$8&lt;=$G23+$H23-1),2,IF(AND($C23="Milestone",AP$8&gt;=$G23,AP$8&lt;=$G23+$H23-1),1,""))</f>
        <v/>
      </c>
      <c r="AQ23" s="69" t="str">
        <f ca="1">IF(AND($C23="Goal",AQ$8&gt;=$G23,AQ$8&lt;=$G23+$H23-1),2,IF(AND($C23="Milestone",AQ$8&gt;=$G23,AQ$8&lt;=$G23+$H23-1),1,""))</f>
        <v/>
      </c>
      <c r="AR23" s="69" t="str">
        <f ca="1">IF(AND($C23="Goal",AR$8&gt;=$G23,AR$8&lt;=$G23+$H23-1),2,IF(AND($C23="Milestone",AR$8&gt;=$G23,AR$8&lt;=$G23+$H23-1),1,""))</f>
        <v/>
      </c>
      <c r="AS23" s="69" t="str">
        <f ca="1">IF(AND($C23="Goal",AS$8&gt;=$G23,AS$8&lt;=$G23+$H23-1),2,IF(AND($C23="Milestone",AS$8&gt;=$G23,AS$8&lt;=$G23+$H23-1),1,""))</f>
        <v/>
      </c>
      <c r="AT23" s="69" t="str">
        <f ca="1">IF(AND($C23="Goal",AT$8&gt;=$G23,AT$8&lt;=$G23+$H23-1),2,IF(AND($C23="Milestone",AT$8&gt;=$G23,AT$8&lt;=$G23+$H23-1),1,""))</f>
        <v/>
      </c>
      <c r="AU23" s="69" t="str">
        <f ca="1">IF(AND($C23="Goal",AU$8&gt;=$G23,AU$8&lt;=$G23+$H23-1),2,IF(AND($C23="Milestone",AU$8&gt;=$G23,AU$8&lt;=$G23+$H23-1),1,""))</f>
        <v/>
      </c>
      <c r="AV23" s="69" t="str">
        <f ca="1">IF(AND($C23="Goal",AV$8&gt;=$G23,AV$8&lt;=$G23+$H23-1),2,IF(AND($C23="Milestone",AV$8&gt;=$G23,AV$8&lt;=$G23+$H23-1),1,""))</f>
        <v/>
      </c>
      <c r="AW23" s="69" t="str">
        <f ca="1">IF(AND($C23="Goal",AW$8&gt;=$G23,AW$8&lt;=$G23+$H23-1),2,IF(AND($C23="Milestone",AW$8&gt;=$G23,AW$8&lt;=$G23+$H23-1),1,""))</f>
        <v/>
      </c>
      <c r="AX23" s="69" t="str">
        <f ca="1">IF(AND($C23="Goal",AX$8&gt;=$G23,AX$8&lt;=$G23+$H23-1),2,IF(AND($C23="Milestone",AX$8&gt;=$G23,AX$8&lt;=$G23+$H23-1),1,""))</f>
        <v/>
      </c>
      <c r="AY23" s="69" t="str">
        <f ca="1">IF(AND($C23="Goal",AY$8&gt;=$G23,AY$8&lt;=$G23+$H23-1),2,IF(AND($C23="Milestone",AY$8&gt;=$G23,AY$8&lt;=$G23+$H23-1),1,""))</f>
        <v/>
      </c>
      <c r="AZ23" s="69" t="str">
        <f ca="1">IF(AND($C23="Goal",AZ$8&gt;=$G23,AZ$8&lt;=$G23+$H23-1),2,IF(AND($C23="Milestone",AZ$8&gt;=$G23,AZ$8&lt;=$G23+$H23-1),1,""))</f>
        <v/>
      </c>
      <c r="BA23" s="69" t="str">
        <f ca="1">IF(AND($C23="Goal",BA$8&gt;=$G23,BA$8&lt;=$G23+$H23-1),2,IF(AND($C23="Milestone",BA$8&gt;=$G23,BA$8&lt;=$G23+$H23-1),1,""))</f>
        <v/>
      </c>
      <c r="BB23" s="69" t="str">
        <f ca="1">IF(AND($C23="Goal",BB$8&gt;=$G23,BB$8&lt;=$G23+$H23-1),2,IF(AND($C23="Milestone",BB$8&gt;=$G23,BB$8&lt;=$G23+$H23-1),1,""))</f>
        <v/>
      </c>
      <c r="BC23" s="69" t="str">
        <f ca="1">IF(AND($C23="Goal",BC$8&gt;=$G23,BC$8&lt;=$G23+$H23-1),2,IF(AND($C23="Milestone",BC$8&gt;=$G23,BC$8&lt;=$G23+$H23-1),1,""))</f>
        <v/>
      </c>
      <c r="BD23" s="69" t="str">
        <f ca="1">IF(AND($C23="Goal",BD$8&gt;=$G23,BD$8&lt;=$G23+$H23-1),2,IF(AND($C23="Milestone",BD$8&gt;=$G23,BD$8&lt;=$G23+$H23-1),1,""))</f>
        <v/>
      </c>
      <c r="BE23" s="69" t="str">
        <f ca="1">IF(AND($C23="Goal",BE$8&gt;=$G23,BE$8&lt;=$G23+$H23-1),2,IF(AND($C23="Milestone",BE$8&gt;=$G23,BE$8&lt;=$G23+$H23-1),1,""))</f>
        <v/>
      </c>
      <c r="BF23" s="69" t="str">
        <f ca="1">IF(AND($C23="Goal",BF$8&gt;=$G23,BF$8&lt;=$G23+$H23-1),2,IF(AND($C23="Milestone",BF$8&gt;=$G23,BF$8&lt;=$G23+$H23-1),1,""))</f>
        <v/>
      </c>
      <c r="BG23" s="69" t="str">
        <f ca="1">IF(AND($C23="Goal",BG$8&gt;=$G23,BG$8&lt;=$G23+$H23-1),2,IF(AND($C23="Milestone",BG$8&gt;=$G23,BG$8&lt;=$G23+$H23-1),1,""))</f>
        <v/>
      </c>
      <c r="BH23" s="69" t="str">
        <f ca="1">IF(AND($C23="Goal",BH$8&gt;=$G23,BH$8&lt;=$G23+$H23-1),2,IF(AND($C23="Milestone",BH$8&gt;=$G23,BH$8&lt;=$G23+$H23-1),1,""))</f>
        <v/>
      </c>
      <c r="BI23" s="69" t="str">
        <f ca="1">IF(AND($C23="Goal",BI$8&gt;=$G23,BI$8&lt;=$G23+$H23-1),2,IF(AND($C23="Milestone",BI$8&gt;=$G23,BI$8&lt;=$G23+$H23-1),1,""))</f>
        <v/>
      </c>
      <c r="BJ23" s="69" t="str">
        <f ca="1">IF(AND($C23="Goal",BJ$8&gt;=$G23,BJ$8&lt;=$G23+$H23-1),2,IF(AND($C23="Milestone",BJ$8&gt;=$G23,BJ$8&lt;=$G23+$H23-1),1,""))</f>
        <v/>
      </c>
      <c r="BK23" s="69" t="str">
        <f ca="1">IF(AND($C23="Goal",BK$8&gt;=$G23,BK$8&lt;=$G23+$H23-1),2,IF(AND($C23="Milestone",BK$8&gt;=$G23,BK$8&lt;=$G23+$H23-1),1,""))</f>
        <v/>
      </c>
      <c r="BL23" s="69" t="str">
        <f ca="1">IF(AND($C23="Goal",BL$8&gt;=$G23,BL$8&lt;=$G23+$H23-1),2,IF(AND($C23="Milestone",BL$8&gt;=$G23,BL$8&lt;=$G23+$H23-1),1,""))</f>
        <v/>
      </c>
      <c r="BM23" s="69" t="str">
        <f ca="1">IF(AND($C23="Goal",BM$8&gt;=$G23,BM$8&lt;=$G23+$H23-1),2,IF(AND($C23="Milestone",BM$8&gt;=$G23,BM$8&lt;=$G23+$H23-1),1,""))</f>
        <v/>
      </c>
      <c r="BN23" s="69" t="str">
        <f ca="1">IF(AND($C23="Goal",BN$8&gt;=$G23,BN$8&lt;=$G23+$H23-1),2,IF(AND($C23="Milestone",BN$8&gt;=$G23,BN$8&lt;=$G23+$H23-1),1,""))</f>
        <v/>
      </c>
      <c r="BO23" s="69" t="str">
        <f ca="1">IF(AND($C23="Goal",BO$8&gt;=$G23,BO$8&lt;=$G23+$H23-1),2,IF(AND($C23="Milestone",BO$8&gt;=$G23,BO$8&lt;=$G23+$H23-1),1,""))</f>
        <v/>
      </c>
      <c r="BP23" s="69" t="str">
        <f ca="1">IF(AND($C23="Goal",BP$8&gt;=$G23,BP$8&lt;=$G23+$H23-1),2,IF(AND($C23="Milestone",BP$8&gt;=$G23,BP$8&lt;=$G23+$H23-1),1,""))</f>
        <v/>
      </c>
      <c r="BQ23" s="69" t="str">
        <f ca="1">IF(AND($C23="Goal",BQ$8&gt;=$G23,BQ$8&lt;=$G23+$H23-1),2,IF(AND($C23="Milestone",BQ$8&gt;=$G23,BQ$8&lt;=$G23+$H23-1),1,""))</f>
        <v/>
      </c>
      <c r="BR23" s="69" t="str">
        <f ca="1">IF(AND($C23="Goal",BR$8&gt;=$G23,BR$8&lt;=$G23+$H23-1),2,IF(AND($C23="Milestone",BR$8&gt;=$G23,BR$8&lt;=$G23+$H23-1),1,""))</f>
        <v/>
      </c>
      <c r="BS23" s="69" t="str">
        <f ca="1">IF(AND($C23="Goal",BS$8&gt;=$G23,BS$8&lt;=$G23+$H23-1),2,IF(AND($C23="Milestone",BS$8&gt;=$G23,BS$8&lt;=$G23+$H23-1),1,""))</f>
        <v/>
      </c>
      <c r="BT23" s="69" t="str">
        <f ca="1">IF(AND($C23="Goal",BT$8&gt;=$G23,BT$8&lt;=$G23+$H23-1),2,IF(AND($C23="Milestone",BT$8&gt;=$G23,BT$8&lt;=$G23+$H23-1),1,""))</f>
        <v/>
      </c>
      <c r="BU23" s="69" t="str">
        <f ca="1">IF(AND($C23="Goal",BU$8&gt;=$G23,BU$8&lt;=$G23+$H23-1),2,IF(AND($C23="Milestone",BU$8&gt;=$G23,BU$8&lt;=$G23+$H23-1),1,""))</f>
        <v/>
      </c>
      <c r="BV23" s="69" t="str">
        <f ca="1">IF(AND($C23="Goal",BV$8&gt;=$G23,BV$8&lt;=$G23+$H23-1),2,IF(AND($C23="Milestone",BV$8&gt;=$G23,BV$8&lt;=$G23+$H23-1),1,""))</f>
        <v/>
      </c>
      <c r="BW23" s="69" t="str">
        <f ca="1">IF(AND($C23="Goal",BW$8&gt;=$G23,BW$8&lt;=$G23+$H23-1),2,IF(AND($C23="Milestone",BW$8&gt;=$G23,BW$8&lt;=$G23+$H23-1),1,""))</f>
        <v/>
      </c>
      <c r="BX23" s="69" t="str">
        <f ca="1">IF(AND($C23="Goal",BX$8&gt;=$G23,BX$8&lt;=$G23+$H23-1),2,IF(AND($C23="Milestone",BX$8&gt;=$G23,BX$8&lt;=$G23+$H23-1),1,""))</f>
        <v/>
      </c>
      <c r="BY23" s="69" t="str">
        <f ca="1">IF(AND($C23="Goal",BY$8&gt;=$G23,BY$8&lt;=$G23+$H23-1),2,IF(AND($C23="Milestone",BY$8&gt;=$G23,BY$8&lt;=$G23+$H23-1),1,""))</f>
        <v/>
      </c>
      <c r="BZ23" s="69" t="str">
        <f ca="1">IF(AND($C23="Goal",BZ$8&gt;=$G23,BZ$8&lt;=$G23+$H23-1),2,IF(AND($C23="Milestone",BZ$8&gt;=$G23,BZ$8&lt;=$G23+$H23-1),1,""))</f>
        <v/>
      </c>
      <c r="CA23" s="69" t="str">
        <f ca="1">IF(AND($C23="Goal",CA$8&gt;=$G23,CA$8&lt;=$G23+$H23-1),2,IF(AND($C23="Milestone",CA$8&gt;=$G23,CA$8&lt;=$G23+$H23-1),1,""))</f>
        <v/>
      </c>
      <c r="CB23" s="69" t="str">
        <f ca="1">IF(AND($C23="Goal",CB$8&gt;=$G23,CB$8&lt;=$G23+$H23-1),2,IF(AND($C23="Milestone",CB$8&gt;=$G23,CB$8&lt;=$G23+$H23-1),1,""))</f>
        <v/>
      </c>
      <c r="CC23" s="69" t="str">
        <f ca="1">IF(AND($C23="Goal",CC$8&gt;=$G23,CC$8&lt;=$G23+$H23-1),2,IF(AND($C23="Milestone",CC$8&gt;=$G23,CC$8&lt;=$G23+$H23-1),1,""))</f>
        <v/>
      </c>
      <c r="CD23" s="69" t="str">
        <f ca="1">IF(AND($C23="Goal",CD$8&gt;=$G23,CD$8&lt;=$G23+$H23-1),2,IF(AND($C23="Milestone",CD$8&gt;=$G23,CD$8&lt;=$G23+$H23-1),1,""))</f>
        <v/>
      </c>
      <c r="CE23" s="69" t="str">
        <f ca="1">IF(AND($C23="Goal",CE$8&gt;=$G23,CE$8&lt;=$G23+$H23-1),2,IF(AND($C23="Milestone",CE$8&gt;=$G23,CE$8&lt;=$G23+$H23-1),1,""))</f>
        <v/>
      </c>
      <c r="CF23" s="69" t="str">
        <f ca="1">IF(AND($C23="Goal",CF$8&gt;=$G23,CF$8&lt;=$G23+$H23-1),2,IF(AND($C23="Milestone",CF$8&gt;=$G23,CF$8&lt;=$G23+$H23-1),1,""))</f>
        <v/>
      </c>
      <c r="CG23" s="69" t="str">
        <f ca="1">IF(AND($C23="Goal",CG$8&gt;=$G23,CG$8&lt;=$G23+$H23-1),2,IF(AND($C23="Milestone",CG$8&gt;=$G23,CG$8&lt;=$G23+$H23-1),1,""))</f>
        <v/>
      </c>
      <c r="CH23" s="69" t="str">
        <f ca="1">IF(AND($C23="Goal",CH$8&gt;=$G23,CH$8&lt;=$G23+$H23-1),2,IF(AND($C23="Milestone",CH$8&gt;=$G23,CH$8&lt;=$G23+$H23-1),1,""))</f>
        <v/>
      </c>
      <c r="CI23" s="69" t="str">
        <f ca="1">IF(AND($C23="Goal",CI$8&gt;=$G23,CI$8&lt;=$G23+$H23-1),2,IF(AND($C23="Milestone",CI$8&gt;=$G23,CI$8&lt;=$G23+$H23-1),1,""))</f>
        <v/>
      </c>
      <c r="CJ23" s="69" t="str">
        <f ca="1">IF(AND($C23="Goal",CJ$8&gt;=$G23,CJ$8&lt;=$G23+$H23-1),2,IF(AND($C23="Milestone",CJ$8&gt;=$G23,CJ$8&lt;=$G23+$H23-1),1,""))</f>
        <v/>
      </c>
      <c r="CK23" s="69" t="str">
        <f ca="1">IF(AND($C23="Goal",CK$8&gt;=$G23,CK$8&lt;=$G23+$H23-1),2,IF(AND($C23="Milestone",CK$8&gt;=$G23,CK$8&lt;=$G23+$H23-1),1,""))</f>
        <v/>
      </c>
      <c r="CL23" s="69" t="str">
        <f ca="1">IF(AND($C23="Goal",CL$8&gt;=$G23,CL$8&lt;=$G23+$H23-1),2,IF(AND($C23="Milestone",CL$8&gt;=$G23,CL$8&lt;=$G23+$H23-1),1,""))</f>
        <v/>
      </c>
      <c r="CM23" s="69" t="str">
        <f ca="1">IF(AND($C23="Goal",CM$8&gt;=$G23,CM$8&lt;=$G23+$H23-1),2,IF(AND($C23="Milestone",CM$8&gt;=$G23,CM$8&lt;=$G23+$H23-1),1,""))</f>
        <v/>
      </c>
      <c r="CN23" s="69" t="str">
        <f ca="1">IF(AND($C23="Goal",CN$8&gt;=$G23,CN$8&lt;=$G23+$H23-1),2,IF(AND($C23="Milestone",CN$8&gt;=$G23,CN$8&lt;=$G23+$H23-1),1,""))</f>
        <v/>
      </c>
      <c r="CO23" s="69" t="str">
        <f ca="1">IF(AND($C23="Goal",CO$8&gt;=$G23,CO$8&lt;=$G23+$H23-1),2,IF(AND($C23="Milestone",CO$8&gt;=$G23,CO$8&lt;=$G23+$H23-1),1,""))</f>
        <v/>
      </c>
      <c r="CP23" s="69" t="str">
        <f ca="1">IF(AND($C23="Goal",CP$8&gt;=$G23,CP$8&lt;=$G23+$H23-1),2,IF(AND($C23="Milestone",CP$8&gt;=$G23,CP$8&lt;=$G23+$H23-1),1,""))</f>
        <v/>
      </c>
      <c r="CQ23" s="69" t="str">
        <f ca="1">IF(AND($C23="Goal",CQ$8&gt;=$G23,CQ$8&lt;=$G23+$H23-1),2,IF(AND($C23="Milestone",CQ$8&gt;=$G23,CQ$8&lt;=$G23+$H23-1),1,""))</f>
        <v/>
      </c>
      <c r="CR23" s="69" t="str">
        <f ca="1">IF(AND($C23="Goal",CR$8&gt;=$G23,CR$8&lt;=$G23+$H23-1),2,IF(AND($C23="Milestone",CR$8&gt;=$G23,CR$8&lt;=$G23+$H23-1),1,""))</f>
        <v/>
      </c>
      <c r="CS23" s="69" t="str">
        <f ca="1">IF(AND($C23="Goal",CS$8&gt;=$G23,CS$8&lt;=$G23+$H23-1),2,IF(AND($C23="Milestone",CS$8&gt;=$G23,CS$8&lt;=$G23+$H23-1),1,""))</f>
        <v/>
      </c>
      <c r="CT23" s="69" t="str">
        <f ca="1">IF(AND($C23="Goal",CT$8&gt;=$G23,CT$8&lt;=$G23+$H23-1),2,IF(AND($C23="Milestone",CT$8&gt;=$G23,CT$8&lt;=$G23+$H23-1),1,""))</f>
        <v/>
      </c>
      <c r="CU23" s="69" t="str">
        <f ca="1">IF(AND($C23="Goal",CU$8&gt;=$G23,CU$8&lt;=$G23+$H23-1),2,IF(AND($C23="Milestone",CU$8&gt;=$G23,CU$8&lt;=$G23+$H23-1),1,""))</f>
        <v/>
      </c>
      <c r="CV23" s="69" t="str">
        <f ca="1">IF(AND($C23="Goal",CV$8&gt;=$G23,CV$8&lt;=$G23+$H23-1),2,IF(AND($C23="Milestone",CV$8&gt;=$G23,CV$8&lt;=$G23+$H23-1),1,""))</f>
        <v/>
      </c>
      <c r="CW23" s="69" t="str">
        <f ca="1">IF(AND($C23="Goal",CW$8&gt;=$G23,CW$8&lt;=$G23+$H23-1),2,IF(AND($C23="Milestone",CW$8&gt;=$G23,CW$8&lt;=$G23+$H23-1),1,""))</f>
        <v/>
      </c>
      <c r="CX23" s="69" t="str">
        <f ca="1">IF(AND($C23="Goal",CX$8&gt;=$G23,CX$8&lt;=$G23+$H23-1),2,IF(AND($C23="Milestone",CX$8&gt;=$G23,CX$8&lt;=$G23+$H23-1),1,""))</f>
        <v/>
      </c>
      <c r="CY23" s="69" t="str">
        <f ca="1">IF(AND($C23="Goal",CY$8&gt;=$G23,CY$8&lt;=$G23+$H23-1),2,IF(AND($C23="Milestone",CY$8&gt;=$G23,CY$8&lt;=$G23+$H23-1),1,""))</f>
        <v/>
      </c>
      <c r="CZ23" s="69" t="str">
        <f ca="1">IF(AND($C23="Goal",CZ$8&gt;=$G23,CZ$8&lt;=$G23+$H23-1),2,IF(AND($C23="Milestone",CZ$8&gt;=$G23,CZ$8&lt;=$G23+$H23-1),1,""))</f>
        <v/>
      </c>
      <c r="DA23" s="69" t="str">
        <f ca="1">IF(AND($C23="Goal",DA$8&gt;=$G23,DA$8&lt;=$G23+$H23-1),2,IF(AND($C23="Milestone",DA$8&gt;=$G23,DA$8&lt;=$G23+$H23-1),1,""))</f>
        <v/>
      </c>
      <c r="DB23" s="69" t="str">
        <f ca="1">IF(AND($C23="Goal",DB$8&gt;=$G23,DB$8&lt;=$G23+$H23-1),2,IF(AND($C23="Milestone",DB$8&gt;=$G23,DB$8&lt;=$G23+$H23-1),1,""))</f>
        <v/>
      </c>
      <c r="DC23" s="69" t="str">
        <f ca="1">IF(AND($C23="Goal",DC$8&gt;=$G23,DC$8&lt;=$G23+$H23-1),2,IF(AND($C23="Milestone",DC$8&gt;=$G23,DC$8&lt;=$G23+$H23-1),1,""))</f>
        <v/>
      </c>
      <c r="DD23" s="69" t="str">
        <f ca="1">IF(AND($C23="Goal",DD$8&gt;=$G23,DD$8&lt;=$G23+$H23-1),2,IF(AND($C23="Milestone",DD$8&gt;=$G23,DD$8&lt;=$G23+$H23-1),1,""))</f>
        <v/>
      </c>
      <c r="DE23" s="69" t="str">
        <f ca="1">IF(AND($C23="Goal",DE$8&gt;=$G23,DE$8&lt;=$G23+$H23-1),2,IF(AND($C23="Milestone",DE$8&gt;=$G23,DE$8&lt;=$G23+$H23-1),1,""))</f>
        <v/>
      </c>
      <c r="DF23" s="69" t="str">
        <f ca="1">IF(AND($C23="Goal",DF$8&gt;=$G23,DF$8&lt;=$G23+$H23-1),2,IF(AND($C23="Milestone",DF$8&gt;=$G23,DF$8&lt;=$G23+$H23-1),1,""))</f>
        <v/>
      </c>
      <c r="DG23" s="69" t="str">
        <f ca="1">IF(AND($C23="Goal",DG$8&gt;=$G23,DG$8&lt;=$G23+$H23-1),2,IF(AND($C23="Milestone",DG$8&gt;=$G23,DG$8&lt;=$G23+$H23-1),1,""))</f>
        <v/>
      </c>
      <c r="DH23" s="69" t="str">
        <f ca="1">IF(AND($C23="Goal",DH$8&gt;=$G23,DH$8&lt;=$G23+$H23-1),2,IF(AND($C23="Milestone",DH$8&gt;=$G23,DH$8&lt;=$G23+$H23-1),1,""))</f>
        <v/>
      </c>
      <c r="DI23" s="69" t="str">
        <f ca="1">IF(AND($C23="Goal",DI$8&gt;=$G23,DI$8&lt;=$G23+$H23-1),2,IF(AND($C23="Milestone",DI$8&gt;=$G23,DI$8&lt;=$G23+$H23-1),1,""))</f>
        <v/>
      </c>
      <c r="DJ23" s="69" t="str">
        <f ca="1">IF(AND($C23="Goal",DJ$8&gt;=$G23,DJ$8&lt;=$G23+$H23-1),2,IF(AND($C23="Milestone",DJ$8&gt;=$G23,DJ$8&lt;=$G23+$H23-1),1,""))</f>
        <v/>
      </c>
      <c r="DK23" s="69" t="str">
        <f ca="1">IF(AND($C23="Goal",DK$8&gt;=$G23,DK$8&lt;=$G23+$H23-1),2,IF(AND($C23="Milestone",DK$8&gt;=$G23,DK$8&lt;=$G23+$H23-1),1,""))</f>
        <v/>
      </c>
      <c r="DL23" s="69" t="str">
        <f ca="1">IF(AND($C23="Goal",DL$8&gt;=$G23,DL$8&lt;=$G23+$H23-1),2,IF(AND($C23="Milestone",DL$8&gt;=$G23,DL$8&lt;=$G23+$H23-1),1,""))</f>
        <v/>
      </c>
      <c r="DM23" s="69" t="str">
        <f ca="1">IF(AND($C23="Goal",DM$8&gt;=$G23,DM$8&lt;=$G23+$H23-1),2,IF(AND($C23="Milestone",DM$8&gt;=$G23,DM$8&lt;=$G23+$H23-1),1,""))</f>
        <v/>
      </c>
      <c r="DN23" s="69" t="str">
        <f ca="1">IF(AND($C23="Goal",DN$8&gt;=$G23,DN$8&lt;=$G23+$H23-1),2,IF(AND($C23="Milestone",DN$8&gt;=$G23,DN$8&lt;=$G23+$H23-1),1,""))</f>
        <v/>
      </c>
      <c r="DO23" s="69" t="str">
        <f ca="1">IF(AND($C23="Goal",DO$8&gt;=$G23,DO$8&lt;=$G23+$H23-1),2,IF(AND($C23="Milestone",DO$8&gt;=$G23,DO$8&lt;=$G23+$H23-1),1,""))</f>
        <v/>
      </c>
      <c r="DP23" s="69" t="str">
        <f ca="1">IF(AND($C23="Goal",DP$8&gt;=$G23,DP$8&lt;=$G23+$H23-1),2,IF(AND($C23="Milestone",DP$8&gt;=$G23,DP$8&lt;=$G23+$H23-1),1,""))</f>
        <v/>
      </c>
      <c r="DQ23" s="69" t="str">
        <f ca="1">IF(AND($C23="Goal",DQ$8&gt;=$G23,DQ$8&lt;=$G23+$H23-1),2,IF(AND($C23="Milestone",DQ$8&gt;=$G23,DQ$8&lt;=$G23+$H23-1),1,""))</f>
        <v/>
      </c>
      <c r="DR23" s="69" t="str">
        <f ca="1">IF(AND($C23="Goal",DR$8&gt;=$G23,DR$8&lt;=$G23+$H23-1),2,IF(AND($C23="Milestone",DR$8&gt;=$G23,DR$8&lt;=$G23+$H23-1),1,""))</f>
        <v/>
      </c>
      <c r="DS23" s="69" t="str">
        <f ca="1">IF(AND($C23="Goal",DS$8&gt;=$G23,DS$8&lt;=$G23+$H23-1),2,IF(AND($C23="Milestone",DS$8&gt;=$G23,DS$8&lt;=$G23+$H23-1),1,""))</f>
        <v/>
      </c>
      <c r="DT23" s="69" t="str">
        <f ca="1">IF(AND($C23="Goal",DT$8&gt;=$G23,DT$8&lt;=$G23+$H23-1),2,IF(AND($C23="Milestone",DT$8&gt;=$G23,DT$8&lt;=$G23+$H23-1),1,""))</f>
        <v/>
      </c>
      <c r="DU23" s="69" t="str">
        <f ca="1">IF(AND($C23="Goal",DU$8&gt;=$G23,DU$8&lt;=$G23+$H23-1),2,IF(AND($C23="Milestone",DU$8&gt;=$G23,DU$8&lt;=$G23+$H23-1),1,""))</f>
        <v/>
      </c>
      <c r="DV23" s="69" t="str">
        <f ca="1">IF(AND($C23="Goal",DV$8&gt;=$G23,DV$8&lt;=$G23+$H23-1),2,IF(AND($C23="Milestone",DV$8&gt;=$G23,DV$8&lt;=$G23+$H23-1),1,""))</f>
        <v/>
      </c>
      <c r="DW23" s="69" t="str">
        <f ca="1">IF(AND($C23="Goal",DW$8&gt;=$G23,DW$8&lt;=$G23+$H23-1),2,IF(AND($C23="Milestone",DW$8&gt;=$G23,DW$8&lt;=$G23+$H23-1),1,""))</f>
        <v/>
      </c>
      <c r="DX23" s="69" t="str">
        <f ca="1">IF(AND($C23="Goal",DX$8&gt;=$G23,DX$8&lt;=$G23+$H23-1),2,IF(AND($C23="Milestone",DX$8&gt;=$G23,DX$8&lt;=$G23+$H23-1),1,""))</f>
        <v/>
      </c>
      <c r="DY23" s="69" t="str">
        <f ca="1">IF(AND($C23="Goal",DY$8&gt;=$G23,DY$8&lt;=$G23+$H23-1),2,IF(AND($C23="Milestone",DY$8&gt;=$G23,DY$8&lt;=$G23+$H23-1),1,""))</f>
        <v/>
      </c>
      <c r="DZ23" s="69" t="str">
        <f ca="1">IF(AND($C23="Goal",DZ$8&gt;=$G23,DZ$8&lt;=$G23+$H23-1),2,IF(AND($C23="Milestone",DZ$8&gt;=$G23,DZ$8&lt;=$G23+$H23-1),1,""))</f>
        <v/>
      </c>
      <c r="EA23" s="69" t="str">
        <f ca="1">IF(AND($C23="Goal",EA$8&gt;=$G23,EA$8&lt;=$G23+$H23-1),2,IF(AND($C23="Milestone",EA$8&gt;=$G23,EA$8&lt;=$G23+$H23-1),1,""))</f>
        <v/>
      </c>
      <c r="EB23" s="69" t="str">
        <f ca="1">IF(AND($C23="Goal",EB$8&gt;=$G23,EB$8&lt;=$G23+$H23-1),2,IF(AND($C23="Milestone",EB$8&gt;=$G23,EB$8&lt;=$G23+$H23-1),1,""))</f>
        <v/>
      </c>
      <c r="EC23" s="69" t="str">
        <f ca="1">IF(AND($C23="Goal",EC$8&gt;=$G23,EC$8&lt;=$G23+$H23-1),2,IF(AND($C23="Milestone",EC$8&gt;=$G23,EC$8&lt;=$G23+$H23-1),1,""))</f>
        <v/>
      </c>
      <c r="ED23" s="69" t="str">
        <f ca="1">IF(AND($C23="Goal",ED$8&gt;=$G23,ED$8&lt;=$G23+$H23-1),2,IF(AND($C23="Milestone",ED$8&gt;=$G23,ED$8&lt;=$G23+$H23-1),1,""))</f>
        <v/>
      </c>
      <c r="EE23" s="69" t="str">
        <f ca="1">IF(AND($C23="Goal",EE$8&gt;=$G23,EE$8&lt;=$G23+$H23-1),2,IF(AND($C23="Milestone",EE$8&gt;=$G23,EE$8&lt;=$G23+$H23-1),1,""))</f>
        <v/>
      </c>
      <c r="EF23" s="69" t="str">
        <f ca="1">IF(AND($C23="Goal",EF$8&gt;=$G23,EF$8&lt;=$G23+$H23-1),2,IF(AND($C23="Milestone",EF$8&gt;=$G23,EF$8&lt;=$G23+$H23-1),1,""))</f>
        <v/>
      </c>
      <c r="EG23" s="69" t="str">
        <f ca="1">IF(AND($C23="Goal",EG$8&gt;=$G23,EG$8&lt;=$G23+$H23-1),2,IF(AND($C23="Milestone",EG$8&gt;=$G23,EG$8&lt;=$G23+$H23-1),1,""))</f>
        <v/>
      </c>
      <c r="EH23" s="69" t="str">
        <f ca="1">IF(AND($C23="Goal",EH$8&gt;=$G23,EH$8&lt;=$G23+$H23-1),2,IF(AND($C23="Milestone",EH$8&gt;=$G23,EH$8&lt;=$G23+$H23-1),1,""))</f>
        <v/>
      </c>
      <c r="EI23" s="69" t="str">
        <f ca="1">IF(AND($C23="Goal",EI$8&gt;=$G23,EI$8&lt;=$G23+$H23-1),2,IF(AND($C23="Milestone",EI$8&gt;=$G23,EI$8&lt;=$G23+$H23-1),1,""))</f>
        <v/>
      </c>
      <c r="EJ23" s="69" t="str">
        <f ca="1">IF(AND($C23="Goal",EJ$8&gt;=$G23,EJ$8&lt;=$G23+$H23-1),2,IF(AND($C23="Milestone",EJ$8&gt;=$G23,EJ$8&lt;=$G23+$H23-1),1,""))</f>
        <v/>
      </c>
      <c r="EK23" s="69" t="str">
        <f ca="1">IF(AND($C23="Goal",EK$8&gt;=$G23,EK$8&lt;=$G23+$H23-1),2,IF(AND($C23="Milestone",EK$8&gt;=$G23,EK$8&lt;=$G23+$H23-1),1,""))</f>
        <v/>
      </c>
      <c r="EL23" s="69" t="str">
        <f ca="1">IF(AND($C23="Goal",EL$8&gt;=$G23,EL$8&lt;=$G23+$H23-1),2,IF(AND($C23="Milestone",EL$8&gt;=$G23,EL$8&lt;=$G23+$H23-1),1,""))</f>
        <v/>
      </c>
      <c r="EM23" s="69" t="str">
        <f ca="1">IF(AND($C23="Goal",EM$8&gt;=$G23,EM$8&lt;=$G23+$H23-1),2,IF(AND($C23="Milestone",EM$8&gt;=$G23,EM$8&lt;=$G23+$H23-1),1,""))</f>
        <v/>
      </c>
      <c r="EN23" s="69" t="str">
        <f ca="1">IF(AND($C23="Goal",EN$8&gt;=$G23,EN$8&lt;=$G23+$H23-1),2,IF(AND($C23="Milestone",EN$8&gt;=$G23,EN$8&lt;=$G23+$H23-1),1,""))</f>
        <v/>
      </c>
      <c r="EO23" s="69" t="str">
        <f ca="1">IF(AND($C23="Goal",EO$8&gt;=$G23,EO$8&lt;=$G23+$H23-1),2,IF(AND($C23="Milestone",EO$8&gt;=$G23,EO$8&lt;=$G23+$H23-1),1,""))</f>
        <v/>
      </c>
      <c r="EP23" s="69" t="str">
        <f ca="1">IF(AND($C23="Goal",EP$8&gt;=$G23,EP$8&lt;=$G23+$H23-1),2,IF(AND($C23="Milestone",EP$8&gt;=$G23,EP$8&lt;=$G23+$H23-1),1,""))</f>
        <v/>
      </c>
      <c r="EQ23" s="69" t="str">
        <f ca="1">IF(AND($C23="Goal",EQ$8&gt;=$G23,EQ$8&lt;=$G23+$H23-1),2,IF(AND($C23="Milestone",EQ$8&gt;=$G23,EQ$8&lt;=$G23+$H23-1),1,""))</f>
        <v/>
      </c>
      <c r="ER23" s="69" t="str">
        <f ca="1">IF(AND($C23="Goal",ER$8&gt;=$G23,ER$8&lt;=$G23+$H23-1),2,IF(AND($C23="Milestone",ER$8&gt;=$G23,ER$8&lt;=$G23+$H23-1),1,""))</f>
        <v/>
      </c>
      <c r="ES23" s="69" t="str">
        <f ca="1">IF(AND($C23="Goal",ES$8&gt;=$G23,ES$8&lt;=$G23+$H23-1),2,IF(AND($C23="Milestone",ES$8&gt;=$G23,ES$8&lt;=$G23+$H23-1),1,""))</f>
        <v/>
      </c>
      <c r="ET23" s="69" t="str">
        <f ca="1">IF(AND($C23="Goal",ET$8&gt;=$G23,ET$8&lt;=$G23+$H23-1),2,IF(AND($C23="Milestone",ET$8&gt;=$G23,ET$8&lt;=$G23+$H23-1),1,""))</f>
        <v/>
      </c>
      <c r="EU23" s="69" t="str">
        <f ca="1">IF(AND($C23="Goal",EU$8&gt;=$G23,EU$8&lt;=$G23+$H23-1),2,IF(AND($C23="Milestone",EU$8&gt;=$G23,EU$8&lt;=$G23+$H23-1),1,""))</f>
        <v/>
      </c>
      <c r="EV23" s="69" t="str">
        <f ca="1">IF(AND($C23="Goal",EV$8&gt;=$G23,EV$8&lt;=$G23+$H23-1),2,IF(AND($C23="Milestone",EV$8&gt;=$G23,EV$8&lt;=$G23+$H23-1),1,""))</f>
        <v/>
      </c>
      <c r="EW23" s="69" t="str">
        <f ca="1">IF(AND($C23="Goal",EW$8&gt;=$G23,EW$8&lt;=$G23+$H23-1),2,IF(AND($C23="Milestone",EW$8&gt;=$G23,EW$8&lt;=$G23+$H23-1),1,""))</f>
        <v/>
      </c>
      <c r="EX23" s="69" t="str">
        <f ca="1">IF(AND($C23="Goal",EX$8&gt;=$G23,EX$8&lt;=$G23+$H23-1),2,IF(AND($C23="Milestone",EX$8&gt;=$G23,EX$8&lt;=$G23+$H23-1),1,""))</f>
        <v/>
      </c>
      <c r="EY23" s="69" t="str">
        <f ca="1">IF(AND($C23="Goal",EY$8&gt;=$G23,EY$8&lt;=$G23+$H23-1),2,IF(AND($C23="Milestone",EY$8&gt;=$G23,EY$8&lt;=$G23+$H23-1),1,""))</f>
        <v/>
      </c>
      <c r="EZ23" s="69" t="str">
        <f ca="1">IF(AND($C23="Goal",EZ$8&gt;=$G23,EZ$8&lt;=$G23+$H23-1),2,IF(AND($C23="Milestone",EZ$8&gt;=$G23,EZ$8&lt;=$G23+$H23-1),1,""))</f>
        <v/>
      </c>
      <c r="FA23" s="69" t="str">
        <f ca="1">IF(AND($C23="Goal",FA$8&gt;=$G23,FA$8&lt;=$G23+$H23-1),2,IF(AND($C23="Milestone",FA$8&gt;=$G23,FA$8&lt;=$G23+$H23-1),1,""))</f>
        <v/>
      </c>
      <c r="FB23" s="69" t="str">
        <f ca="1">IF(AND($C23="Goal",FB$8&gt;=$G23,FB$8&lt;=$G23+$H23-1),2,IF(AND($C23="Milestone",FB$8&gt;=$G23,FB$8&lt;=$G23+$H23-1),1,""))</f>
        <v/>
      </c>
      <c r="FC23" s="69" t="str">
        <f ca="1">IF(AND($C23="Goal",FC$8&gt;=$G23,FC$8&lt;=$G23+$H23-1),2,IF(AND($C23="Milestone",FC$8&gt;=$G23,FC$8&lt;=$G23+$H23-1),1,""))</f>
        <v/>
      </c>
      <c r="FD23" s="69" t="str">
        <f ca="1">IF(AND($C23="Goal",FD$8&gt;=$G23,FD$8&lt;=$G23+$H23-1),2,IF(AND($C23="Milestone",FD$8&gt;=$G23,FD$8&lt;=$G23+$H23-1),1,""))</f>
        <v/>
      </c>
      <c r="FE23" s="69" t="str">
        <f ca="1">IF(AND($C23="Goal",FE$8&gt;=$G23,FE$8&lt;=$G23+$H23-1),2,IF(AND($C23="Milestone",FE$8&gt;=$G23,FE$8&lt;=$G23+$H23-1),1,""))</f>
        <v/>
      </c>
      <c r="FF23" s="69" t="str">
        <f ca="1">IF(AND($C23="Goal",FF$8&gt;=$G23,FF$8&lt;=$G23+$H23-1),2,IF(AND($C23="Milestone",FF$8&gt;=$G23,FF$8&lt;=$G23+$H23-1),1,""))</f>
        <v/>
      </c>
      <c r="FG23" s="69" t="str">
        <f ca="1">IF(AND($C23="Goal",FG$8&gt;=$G23,FG$8&lt;=$G23+$H23-1),2,IF(AND($C23="Milestone",FG$8&gt;=$G23,FG$8&lt;=$G23+$H23-1),1,""))</f>
        <v/>
      </c>
      <c r="FH23" s="69" t="str">
        <f ca="1">IF(AND($C23="Goal",FH$8&gt;=$G23,FH$8&lt;=$G23+$H23-1),2,IF(AND($C23="Milestone",FH$8&gt;=$G23,FH$8&lt;=$G23+$H23-1),1,""))</f>
        <v/>
      </c>
      <c r="FI23" s="69" t="str">
        <f ca="1">IF(AND($C23="Goal",FI$8&gt;=$G23,FI$8&lt;=$G23+$H23-1),2,IF(AND($C23="Milestone",FI$8&gt;=$G23,FI$8&lt;=$G23+$H23-1),1,""))</f>
        <v/>
      </c>
      <c r="FJ23" s="69" t="str">
        <f ca="1">IF(AND($C23="Goal",FJ$8&gt;=$G23,FJ$8&lt;=$G23+$H23-1),2,IF(AND($C23="Milestone",FJ$8&gt;=$G23,FJ$8&lt;=$G23+$H23-1),1,""))</f>
        <v/>
      </c>
      <c r="FK23" s="69" t="str">
        <f ca="1">IF(AND($C23="Goal",FK$8&gt;=$G23,FK$8&lt;=$G23+$H23-1),2,IF(AND($C23="Milestone",FK$8&gt;=$G23,FK$8&lt;=$G23+$H23-1),1,""))</f>
        <v/>
      </c>
      <c r="FL23" s="69" t="str">
        <f ca="1">IF(AND($C23="Goal",FL$8&gt;=$G23,FL$8&lt;=$G23+$H23-1),2,IF(AND($C23="Milestone",FL$8&gt;=$G23,FL$8&lt;=$G23+$H23-1),1,""))</f>
        <v/>
      </c>
      <c r="FM23" s="69" t="str">
        <f ca="1">IF(AND($C23="Goal",FM$8&gt;=$G23,FM$8&lt;=$G23+$H23-1),2,IF(AND($C23="Milestone",FM$8&gt;=$G23,FM$8&lt;=$G23+$H23-1),1,""))</f>
        <v/>
      </c>
      <c r="FN23" s="69" t="str">
        <f ca="1">IF(AND($C23="Goal",FN$8&gt;=$G23,FN$8&lt;=$G23+$H23-1),2,IF(AND($C23="Milestone",FN$8&gt;=$G23,FN$8&lt;=$G23+$H23-1),1,""))</f>
        <v/>
      </c>
      <c r="FO23" s="69" t="str">
        <f ca="1">IF(AND($C23="Goal",FO$8&gt;=$G23,FO$8&lt;=$G23+$H23-1),2,IF(AND($C23="Milestone",FO$8&gt;=$G23,FO$8&lt;=$G23+$H23-1),1,""))</f>
        <v/>
      </c>
      <c r="FP23" s="69" t="str">
        <f ca="1">IF(AND($C23="Goal",FP$8&gt;=$G23,FP$8&lt;=$G23+$H23-1),2,IF(AND($C23="Milestone",FP$8&gt;=$G23,FP$8&lt;=$G23+$H23-1),1,""))</f>
        <v/>
      </c>
      <c r="FQ23" s="69" t="str">
        <f ca="1">IF(AND($C23="Goal",FQ$8&gt;=$G23,FQ$8&lt;=$G23+$H23-1),2,IF(AND($C23="Milestone",FQ$8&gt;=$G23,FQ$8&lt;=$G23+$H23-1),1,""))</f>
        <v/>
      </c>
      <c r="FR23" s="69" t="str">
        <f ca="1">IF(AND($C23="Goal",FR$8&gt;=$G23,FR$8&lt;=$G23+$H23-1),2,IF(AND($C23="Milestone",FR$8&gt;=$G23,FR$8&lt;=$G23+$H23-1),1,""))</f>
        <v/>
      </c>
      <c r="FS23" s="69" t="str">
        <f ca="1">IF(AND($C23="Goal",FS$8&gt;=$G23,FS$8&lt;=$G23+$H23-1),2,IF(AND($C23="Milestone",FS$8&gt;=$G23,FS$8&lt;=$G23+$H23-1),1,""))</f>
        <v/>
      </c>
      <c r="FT23" s="69" t="str">
        <f ca="1">IF(AND($C23="Goal",FT$8&gt;=$G23,FT$8&lt;=$G23+$H23-1),2,IF(AND($C23="Milestone",FT$8&gt;=$G23,FT$8&lt;=$G23+$H23-1),1,""))</f>
        <v/>
      </c>
      <c r="FU23" s="69" t="str">
        <f ca="1">IF(AND($C23="Goal",FU$8&gt;=$G23,FU$8&lt;=$G23+$H23-1),2,IF(AND($C23="Milestone",FU$8&gt;=$G23,FU$8&lt;=$G23+$H23-1),1,""))</f>
        <v/>
      </c>
      <c r="FV23" s="69" t="str">
        <f ca="1">IF(AND($C23="Goal",FV$8&gt;=$G23,FV$8&lt;=$G23+$H23-1),2,IF(AND($C23="Milestone",FV$8&gt;=$G23,FV$8&lt;=$G23+$H23-1),1,""))</f>
        <v/>
      </c>
      <c r="FW23" s="69" t="str">
        <f ca="1">IF(AND($C23="Goal",FW$8&gt;=$G23,FW$8&lt;=$G23+$H23-1),2,IF(AND($C23="Milestone",FW$8&gt;=$G23,FW$8&lt;=$G23+$H23-1),1,""))</f>
        <v/>
      </c>
      <c r="FX23" s="69" t="str">
        <f ca="1">IF(AND($C23="Goal",FX$8&gt;=$G23,FX$8&lt;=$G23+$H23-1),2,IF(AND($C23="Milestone",FX$8&gt;=$G23,FX$8&lt;=$G23+$H23-1),1,""))</f>
        <v/>
      </c>
      <c r="FY23" s="69" t="str">
        <f ca="1">IF(AND($C23="Goal",FY$8&gt;=$G23,FY$8&lt;=$G23+$H23-1),2,IF(AND($C23="Milestone",FY$8&gt;=$G23,FY$8&lt;=$G23+$H23-1),1,""))</f>
        <v/>
      </c>
      <c r="FZ23" s="69" t="str">
        <f ca="1">IF(AND($C23="Goal",FZ$8&gt;=$G23,FZ$8&lt;=$G23+$H23-1),2,IF(AND($C23="Milestone",FZ$8&gt;=$G23,FZ$8&lt;=$G23+$H23-1),1,""))</f>
        <v/>
      </c>
      <c r="GA23" s="69" t="str">
        <f ca="1">IF(AND($C23="Goal",GA$8&gt;=$G23,GA$8&lt;=$G23+$H23-1),2,IF(AND($C23="Milestone",GA$8&gt;=$G23,GA$8&lt;=$G23+$H23-1),1,""))</f>
        <v/>
      </c>
      <c r="GB23" s="69" t="str">
        <f ca="1">IF(AND($C23="Goal",GB$8&gt;=$G23,GB$8&lt;=$G23+$H23-1),2,IF(AND($C23="Milestone",GB$8&gt;=$G23,GB$8&lt;=$G23+$H23-1),1,""))</f>
        <v/>
      </c>
      <c r="GC23" s="69" t="str">
        <f ca="1">IF(AND($C23="Goal",GC$8&gt;=$G23,GC$8&lt;=$G23+$H23-1),2,IF(AND($C23="Milestone",GC$8&gt;=$G23,GC$8&lt;=$G23+$H23-1),1,""))</f>
        <v/>
      </c>
      <c r="GD23" s="69" t="str">
        <f ca="1">IF(AND($C23="Goal",GD$8&gt;=$G23,GD$8&lt;=$G23+$H23-1),2,IF(AND($C23="Milestone",GD$8&gt;=$G23,GD$8&lt;=$G23+$H23-1),1,""))</f>
        <v/>
      </c>
      <c r="GE23" s="69" t="str">
        <f ca="1">IF(AND($C23="Goal",GE$8&gt;=$G23,GE$8&lt;=$G23+$H23-1),2,IF(AND($C23="Milestone",GE$8&gt;=$G23,GE$8&lt;=$G23+$H23-1),1,""))</f>
        <v/>
      </c>
      <c r="GF23" s="69" t="str">
        <f ca="1">IF(AND($C23="Goal",GF$8&gt;=$G23,GF$8&lt;=$G23+$H23-1),2,IF(AND($C23="Milestone",GF$8&gt;=$G23,GF$8&lt;=$G23+$H23-1),1,""))</f>
        <v/>
      </c>
      <c r="GG23" s="69" t="str">
        <f ca="1">IF(AND($C23="Goal",GG$8&gt;=$G23,GG$8&lt;=$G23+$H23-1),2,IF(AND($C23="Milestone",GG$8&gt;=$G23,GG$8&lt;=$G23+$H23-1),1,""))</f>
        <v/>
      </c>
      <c r="GH23" s="69" t="str">
        <f ca="1">IF(AND($C23="Goal",GH$8&gt;=$G23,GH$8&lt;=$G23+$H23-1),2,IF(AND($C23="Milestone",GH$8&gt;=$G23,GH$8&lt;=$G23+$H23-1),1,""))</f>
        <v/>
      </c>
      <c r="GI23" s="69" t="str">
        <f ca="1">IF(AND($C23="Goal",GI$8&gt;=$G23,GI$8&lt;=$G23+$H23-1),2,IF(AND($C23="Milestone",GI$8&gt;=$G23,GI$8&lt;=$G23+$H23-1),1,""))</f>
        <v/>
      </c>
      <c r="GJ23" s="69" t="str">
        <f ca="1">IF(AND($C23="Goal",GJ$8&gt;=$G23,GJ$8&lt;=$G23+$H23-1),2,IF(AND($C23="Milestone",GJ$8&gt;=$G23,GJ$8&lt;=$G23+$H23-1),1,""))</f>
        <v/>
      </c>
      <c r="GK23" s="69" t="str">
        <f ca="1">IF(AND($C23="Goal",GK$8&gt;=$G23,GK$8&lt;=$G23+$H23-1),2,IF(AND($C23="Milestone",GK$8&gt;=$G23,GK$8&lt;=$G23+$H23-1),1,""))</f>
        <v/>
      </c>
      <c r="GL23" s="69" t="str">
        <f ca="1">IF(AND($C23="Goal",GL$8&gt;=$G23,GL$8&lt;=$G23+$H23-1),2,IF(AND($C23="Milestone",GL$8&gt;=$G23,GL$8&lt;=$G23+$H23-1),1,""))</f>
        <v/>
      </c>
      <c r="GM23" s="69" t="str">
        <f ca="1">IF(AND($C23="Goal",GM$8&gt;=$G23,GM$8&lt;=$G23+$H23-1),2,IF(AND($C23="Milestone",GM$8&gt;=$G23,GM$8&lt;=$G23+$H23-1),1,""))</f>
        <v/>
      </c>
      <c r="GN23" s="69" t="str">
        <f ca="1">IF(AND($C23="Goal",GN$8&gt;=$G23,GN$8&lt;=$G23+$H23-1),2,IF(AND($C23="Milestone",GN$8&gt;=$G23,GN$8&lt;=$G23+$H23-1),1,""))</f>
        <v/>
      </c>
      <c r="GO23" s="69" t="str">
        <f ca="1">IF(AND($C23="Goal",GO$8&gt;=$G23,GO$8&lt;=$G23+$H23-1),2,IF(AND($C23="Milestone",GO$8&gt;=$G23,GO$8&lt;=$G23+$H23-1),1,""))</f>
        <v/>
      </c>
      <c r="GP23" s="69" t="str">
        <f ca="1">IF(AND($C23="Goal",GP$8&gt;=$G23,GP$8&lt;=$G23+$H23-1),2,IF(AND($C23="Milestone",GP$8&gt;=$G23,GP$8&lt;=$G23+$H23-1),1,""))</f>
        <v/>
      </c>
      <c r="GQ23" s="69" t="str">
        <f ca="1">IF(AND($C23="Goal",GQ$8&gt;=$G23,GQ$8&lt;=$G23+$H23-1),2,IF(AND($C23="Milestone",GQ$8&gt;=$G23,GQ$8&lt;=$G23+$H23-1),1,""))</f>
        <v/>
      </c>
      <c r="GR23" s="69" t="str">
        <f ca="1">IF(AND($C23="Goal",GR$8&gt;=$G23,GR$8&lt;=$G23+$H23-1),2,IF(AND($C23="Milestone",GR$8&gt;=$G23,GR$8&lt;=$G23+$H23-1),1,""))</f>
        <v/>
      </c>
      <c r="GS23" s="69" t="str">
        <f ca="1">IF(AND($C23="Goal",GS$8&gt;=$G23,GS$8&lt;=$G23+$H23-1),2,IF(AND($C23="Milestone",GS$8&gt;=$G23,GS$8&lt;=$G23+$H23-1),1,""))</f>
        <v/>
      </c>
      <c r="GT23" s="69" t="str">
        <f ca="1">IF(AND($C23="Goal",GT$8&gt;=$G23,GT$8&lt;=$G23+$H23-1),2,IF(AND($C23="Milestone",GT$8&gt;=$G23,GT$8&lt;=$G23+$H23-1),1,""))</f>
        <v/>
      </c>
      <c r="GU23" s="69" t="str">
        <f ca="1">IF(AND($C23="Goal",GU$8&gt;=$G23,GU$8&lt;=$G23+$H23-1),2,IF(AND($C23="Milestone",GU$8&gt;=$G23,GU$8&lt;=$G23+$H23-1),1,""))</f>
        <v/>
      </c>
      <c r="GV23" s="69" t="str">
        <f ca="1">IF(AND($C23="Goal",GV$8&gt;=$G23,GV$8&lt;=$G23+$H23-1),2,IF(AND($C23="Milestone",GV$8&gt;=$G23,GV$8&lt;=$G23+$H23-1),1,""))</f>
        <v/>
      </c>
      <c r="GW23" s="69" t="str">
        <f ca="1">IF(AND($C23="Goal",GW$8&gt;=$G23,GW$8&lt;=$G23+$H23-1),2,IF(AND($C23="Milestone",GW$8&gt;=$G23,GW$8&lt;=$G23+$H23-1),1,""))</f>
        <v/>
      </c>
      <c r="GX23" s="69" t="str">
        <f ca="1">IF(AND($C23="Goal",GX$8&gt;=$G23,GX$8&lt;=$G23+$H23-1),2,IF(AND($C23="Milestone",GX$8&gt;=$G23,GX$8&lt;=$G23+$H23-1),1,""))</f>
        <v/>
      </c>
      <c r="GY23" s="69" t="str">
        <f ca="1">IF(AND($C23="Goal",GY$8&gt;=$G23,GY$8&lt;=$G23+$H23-1),2,IF(AND($C23="Milestone",GY$8&gt;=$G23,GY$8&lt;=$G23+$H23-1),1,""))</f>
        <v/>
      </c>
      <c r="GZ23" s="69" t="str">
        <f ca="1">IF(AND($C23="Goal",GZ$8&gt;=$G23,GZ$8&lt;=$G23+$H23-1),2,IF(AND($C23="Milestone",GZ$8&gt;=$G23,GZ$8&lt;=$G23+$H23-1),1,""))</f>
        <v/>
      </c>
      <c r="HA23" s="69" t="str">
        <f ca="1">IF(AND($C23="Goal",HA$8&gt;=$G23,HA$8&lt;=$G23+$H23-1),2,IF(AND($C23="Milestone",HA$8&gt;=$G23,HA$8&lt;=$G23+$H23-1),1,""))</f>
        <v/>
      </c>
      <c r="HB23" s="69" t="str">
        <f ca="1">IF(AND($C23="Goal",HB$8&gt;=$G23,HB$8&lt;=$G23+$H23-1),2,IF(AND($C23="Milestone",HB$8&gt;=$G23,HB$8&lt;=$G23+$H23-1),1,""))</f>
        <v/>
      </c>
      <c r="HC23" s="69" t="str">
        <f ca="1">IF(AND($C23="Goal",HC$8&gt;=$G23,HC$8&lt;=$G23+$H23-1),2,IF(AND($C23="Milestone",HC$8&gt;=$G23,HC$8&lt;=$G23+$H23-1),1,""))</f>
        <v/>
      </c>
      <c r="HD23" s="69" t="str">
        <f ca="1">IF(AND($C23="Goal",HD$8&gt;=$G23,HD$8&lt;=$G23+$H23-1),2,IF(AND($C23="Milestone",HD$8&gt;=$G23,HD$8&lt;=$G23+$H23-1),1,""))</f>
        <v/>
      </c>
      <c r="HE23" s="69" t="str">
        <f ca="1">IF(AND($C23="Goal",HE$8&gt;=$G23,HE$8&lt;=$G23+$H23-1),2,IF(AND($C23="Milestone",HE$8&gt;=$G23,HE$8&lt;=$G23+$H23-1),1,""))</f>
        <v/>
      </c>
      <c r="HF23" s="69" t="str">
        <f ca="1">IF(AND($C23="Goal",HF$8&gt;=$G23,HF$8&lt;=$G23+$H23-1),2,IF(AND($C23="Milestone",HF$8&gt;=$G23,HF$8&lt;=$G23+$H23-1),1,""))</f>
        <v/>
      </c>
      <c r="HG23" s="69" t="str">
        <f ca="1">IF(AND($C23="Goal",HG$8&gt;=$G23,HG$8&lt;=$G23+$H23-1),2,IF(AND($C23="Milestone",HG$8&gt;=$G23,HG$8&lt;=$G23+$H23-1),1,""))</f>
        <v/>
      </c>
      <c r="HH23" s="69" t="str">
        <f ca="1">IF(AND($C23="Goal",HH$8&gt;=$G23,HH$8&lt;=$G23+$H23-1),2,IF(AND($C23="Milestone",HH$8&gt;=$G23,HH$8&lt;=$G23+$H23-1),1,""))</f>
        <v/>
      </c>
      <c r="HI23" s="69" t="str">
        <f ca="1">IF(AND($C23="Goal",HI$8&gt;=$G23,HI$8&lt;=$G23+$H23-1),2,IF(AND($C23="Milestone",HI$8&gt;=$G23,HI$8&lt;=$G23+$H23-1),1,""))</f>
        <v/>
      </c>
      <c r="HJ23" s="69" t="str">
        <f ca="1">IF(AND($C23="Goal",HJ$8&gt;=$G23,HJ$8&lt;=$G23+$H23-1),2,IF(AND($C23="Milestone",HJ$8&gt;=$G23,HJ$8&lt;=$G23+$H23-1),1,""))</f>
        <v/>
      </c>
      <c r="HK23" s="69" t="str">
        <f ca="1">IF(AND($C23="Goal",HK$8&gt;=$G23,HK$8&lt;=$G23+$H23-1),2,IF(AND($C23="Milestone",HK$8&gt;=$G23,HK$8&lt;=$G23+$H23-1),1,""))</f>
        <v/>
      </c>
      <c r="HL23" s="69" t="str">
        <f ca="1">IF(AND($C23="Goal",HL$8&gt;=$G23,HL$8&lt;=$G23+$H23-1),2,IF(AND($C23="Milestone",HL$8&gt;=$G23,HL$8&lt;=$G23+$H23-1),1,""))</f>
        <v/>
      </c>
      <c r="HM23" s="69" t="str">
        <f ca="1">IF(AND($C23="Goal",HM$8&gt;=$G23,HM$8&lt;=$G23+$H23-1),2,IF(AND($C23="Milestone",HM$8&gt;=$G23,HM$8&lt;=$G23+$H23-1),1,""))</f>
        <v/>
      </c>
      <c r="HN23" s="69" t="str">
        <f ca="1">IF(AND($C23="Goal",HN$8&gt;=$G23,HN$8&lt;=$G23+$H23-1),2,IF(AND($C23="Milestone",HN$8&gt;=$G23,HN$8&lt;=$G23+$H23-1),1,""))</f>
        <v/>
      </c>
      <c r="HO23" s="69" t="str">
        <f ca="1">IF(AND($C23="Goal",HO$8&gt;=$G23,HO$8&lt;=$G23+$H23-1),2,IF(AND($C23="Milestone",HO$8&gt;=$G23,HO$8&lt;=$G23+$H23-1),1,""))</f>
        <v/>
      </c>
      <c r="HP23" s="69" t="str">
        <f ca="1">IF(AND($C23="Goal",HP$8&gt;=$G23,HP$8&lt;=$G23+$H23-1),2,IF(AND($C23="Milestone",HP$8&gt;=$G23,HP$8&lt;=$G23+$H23-1),1,""))</f>
        <v/>
      </c>
      <c r="HQ23" s="69" t="str">
        <f ca="1">IF(AND($C23="Goal",HQ$8&gt;=$G23,HQ$8&lt;=$G23+$H23-1),2,IF(AND($C23="Milestone",HQ$8&gt;=$G23,HQ$8&lt;=$G23+$H23-1),1,""))</f>
        <v/>
      </c>
      <c r="HR23" s="69" t="str">
        <f ca="1">IF(AND($C23="Goal",HR$8&gt;=$G23,HR$8&lt;=$G23+$H23-1),2,IF(AND($C23="Milestone",HR$8&gt;=$G23,HR$8&lt;=$G23+$H23-1),1,""))</f>
        <v/>
      </c>
      <c r="HS23" s="69" t="str">
        <f ca="1">IF(AND($C23="Goal",HS$8&gt;=$G23,HS$8&lt;=$G23+$H23-1),2,IF(AND($C23="Milestone",HS$8&gt;=$G23,HS$8&lt;=$G23+$H23-1),1,""))</f>
        <v/>
      </c>
      <c r="HT23" s="69" t="str">
        <f ca="1">IF(AND($C23="Goal",HT$8&gt;=$G23,HT$8&lt;=$G23+$H23-1),2,IF(AND($C23="Milestone",HT$8&gt;=$G23,HT$8&lt;=$G23+$H23-1),1,""))</f>
        <v/>
      </c>
      <c r="HU23" s="69" t="str">
        <f ca="1">IF(AND($C23="Goal",HU$8&gt;=$G23,HU$8&lt;=$G23+$H23-1),2,IF(AND($C23="Milestone",HU$8&gt;=$G23,HU$8&lt;=$G23+$H23-1),1,""))</f>
        <v/>
      </c>
      <c r="HV23" s="69" t="str">
        <f ca="1">IF(AND($C23="Goal",HV$8&gt;=$G23,HV$8&lt;=$G23+$H23-1),2,IF(AND($C23="Milestone",HV$8&gt;=$G23,HV$8&lt;=$G23+$H23-1),1,""))</f>
        <v/>
      </c>
      <c r="HW23" s="69" t="str">
        <f ca="1">IF(AND($C23="Goal",HW$8&gt;=$G23,HW$8&lt;=$G23+$H23-1),2,IF(AND($C23="Milestone",HW$8&gt;=$G23,HW$8&lt;=$G23+$H23-1),1,""))</f>
        <v/>
      </c>
      <c r="HX23" s="69" t="str">
        <f ca="1">IF(AND($C23="Goal",HX$8&gt;=$G23,HX$8&lt;=$G23+$H23-1),2,IF(AND($C23="Milestone",HX$8&gt;=$G23,HX$8&lt;=$G23+$H23-1),1,""))</f>
        <v/>
      </c>
      <c r="HY23" s="69" t="str">
        <f ca="1">IF(AND($C23="Goal",HY$8&gt;=$G23,HY$8&lt;=$G23+$H23-1),2,IF(AND($C23="Milestone",HY$8&gt;=$G23,HY$8&lt;=$G23+$H23-1),1,""))</f>
        <v/>
      </c>
      <c r="HZ23" s="69" t="str">
        <f ca="1">IF(AND($C23="Goal",HZ$8&gt;=$G23,HZ$8&lt;=$G23+$H23-1),2,IF(AND($C23="Milestone",HZ$8&gt;=$G23,HZ$8&lt;=$G23+$H23-1),1,""))</f>
        <v/>
      </c>
      <c r="IA23" s="69" t="str">
        <f ca="1">IF(AND($C23="Goal",IA$8&gt;=$G23,IA$8&lt;=$G23+$H23-1),2,IF(AND($C23="Milestone",IA$8&gt;=$G23,IA$8&lt;=$G23+$H23-1),1,""))</f>
        <v/>
      </c>
      <c r="IB23" s="69" t="str">
        <f ca="1">IF(AND($C23="Goal",IB$8&gt;=$G23,IB$8&lt;=$G23+$H23-1),2,IF(AND($C23="Milestone",IB$8&gt;=$G23,IB$8&lt;=$G23+$H23-1),1,""))</f>
        <v/>
      </c>
      <c r="IC23" s="69" t="str">
        <f ca="1">IF(AND($C23="Goal",IC$8&gt;=$G23,IC$8&lt;=$G23+$H23-1),2,IF(AND($C23="Milestone",IC$8&gt;=$G23,IC$8&lt;=$G23+$H23-1),1,""))</f>
        <v/>
      </c>
      <c r="ID23" s="69" t="str">
        <f ca="1">IF(AND($C23="Goal",ID$8&gt;=$G23,ID$8&lt;=$G23+$H23-1),2,IF(AND($C23="Milestone",ID$8&gt;=$G23,ID$8&lt;=$G23+$H23-1),1,""))</f>
        <v/>
      </c>
      <c r="IE23" s="69" t="str">
        <f ca="1">IF(AND($C23="Goal",IE$8&gt;=$G23,IE$8&lt;=$G23+$H23-1),2,IF(AND($C23="Milestone",IE$8&gt;=$G23,IE$8&lt;=$G23+$H23-1),1,""))</f>
        <v/>
      </c>
      <c r="IF23" s="69" t="str">
        <f ca="1">IF(AND($C23="Goal",IF$8&gt;=$G23,IF$8&lt;=$G23+$H23-1),2,IF(AND($C23="Milestone",IF$8&gt;=$G23,IF$8&lt;=$G23+$H23-1),1,""))</f>
        <v/>
      </c>
      <c r="IG23" s="69" t="str">
        <f ca="1">IF(AND($C23="Goal",IG$8&gt;=$G23,IG$8&lt;=$G23+$H23-1),2,IF(AND($C23="Milestone",IG$8&gt;=$G23,IG$8&lt;=$G23+$H23-1),1,""))</f>
        <v/>
      </c>
      <c r="IH23" s="69" t="str">
        <f ca="1">IF(AND($C23="Goal",IH$8&gt;=$G23,IH$8&lt;=$G23+$H23-1),2,IF(AND($C23="Milestone",IH$8&gt;=$G23,IH$8&lt;=$G23+$H23-1),1,""))</f>
        <v/>
      </c>
      <c r="II23" s="69" t="str">
        <f ca="1">IF(AND($C23="Goal",II$8&gt;=$G23,II$8&lt;=$G23+$H23-1),2,IF(AND($C23="Milestone",II$8&gt;=$G23,II$8&lt;=$G23+$H23-1),1,""))</f>
        <v/>
      </c>
      <c r="IJ23" s="69" t="str">
        <f ca="1">IF(AND($C23="Goal",IJ$8&gt;=$G23,IJ$8&lt;=$G23+$H23-1),2,IF(AND($C23="Milestone",IJ$8&gt;=$G23,IJ$8&lt;=$G23+$H23-1),1,""))</f>
        <v/>
      </c>
      <c r="IK23" s="69" t="str">
        <f ca="1">IF(AND($C23="Goal",IK$8&gt;=$G23,IK$8&lt;=$G23+$H23-1),2,IF(AND($C23="Milestone",IK$8&gt;=$G23,IK$8&lt;=$G23+$H23-1),1,""))</f>
        <v/>
      </c>
      <c r="IL23" s="69" t="str">
        <f ca="1">IF(AND($C23="Goal",IL$8&gt;=$G23,IL$8&lt;=$G23+$H23-1),2,IF(AND($C23="Milestone",IL$8&gt;=$G23,IL$8&lt;=$G23+$H23-1),1,""))</f>
        <v/>
      </c>
      <c r="IM23" s="69" t="str">
        <f ca="1">IF(AND($C23="Goal",IM$8&gt;=$G23,IM$8&lt;=$G23+$H23-1),2,IF(AND($C23="Milestone",IM$8&gt;=$G23,IM$8&lt;=$G23+$H23-1),1,""))</f>
        <v/>
      </c>
      <c r="IN23" s="69" t="str">
        <f ca="1">IF(AND($C23="Goal",IN$8&gt;=$G23,IN$8&lt;=$G23+$H23-1),2,IF(AND($C23="Milestone",IN$8&gt;=$G23,IN$8&lt;=$G23+$H23-1),1,""))</f>
        <v/>
      </c>
      <c r="IO23" s="69" t="str">
        <f ca="1">IF(AND($C23="Goal",IO$8&gt;=$G23,IO$8&lt;=$G23+$H23-1),2,IF(AND($C23="Milestone",IO$8&gt;=$G23,IO$8&lt;=$G23+$H23-1),1,""))</f>
        <v/>
      </c>
      <c r="IP23" s="69" t="str">
        <f ca="1">IF(AND($C23="Goal",IP$8&gt;=$G23,IP$8&lt;=$G23+$H23-1),2,IF(AND($C23="Milestone",IP$8&gt;=$G23,IP$8&lt;=$G23+$H23-1),1,""))</f>
        <v/>
      </c>
      <c r="IQ23" s="69" t="str">
        <f ca="1">IF(AND($C23="Goal",IQ$8&gt;=$G23,IQ$8&lt;=$G23+$H23-1),2,IF(AND($C23="Milestone",IQ$8&gt;=$G23,IQ$8&lt;=$G23+$H23-1),1,""))</f>
        <v/>
      </c>
      <c r="IR23" s="69" t="str">
        <f ca="1">IF(AND($C23="Goal",IR$8&gt;=$G23,IR$8&lt;=$G23+$H23-1),2,IF(AND($C23="Milestone",IR$8&gt;=$G23,IR$8&lt;=$G23+$H23-1),1,""))</f>
        <v/>
      </c>
      <c r="IS23" s="69" t="str">
        <f ca="1">IF(AND($C23="Goal",IS$8&gt;=$G23,IS$8&lt;=$G23+$H23-1),2,IF(AND($C23="Milestone",IS$8&gt;=$G23,IS$8&lt;=$G23+$H23-1),1,""))</f>
        <v/>
      </c>
      <c r="IT23" s="69" t="str">
        <f ca="1">IF(AND($C23="Goal",IT$8&gt;=$G23,IT$8&lt;=$G23+$H23-1),2,IF(AND($C23="Milestone",IT$8&gt;=$G23,IT$8&lt;=$G23+$H23-1),1,""))</f>
        <v/>
      </c>
      <c r="IU23" s="69" t="str">
        <f ca="1">IF(AND($C23="Goal",IU$8&gt;=$G23,IU$8&lt;=$G23+$H23-1),2,IF(AND($C23="Milestone",IU$8&gt;=$G23,IU$8&lt;=$G23+$H23-1),1,""))</f>
        <v/>
      </c>
      <c r="IV23" s="69" t="str">
        <f ca="1">IF(AND($C23="Goal",IV$8&gt;=$G23,IV$8&lt;=$G23+$H23-1),2,IF(AND($C23="Milestone",IV$8&gt;=$G23,IV$8&lt;=$G23+$H23-1),1,""))</f>
        <v/>
      </c>
      <c r="IW23" s="69" t="str">
        <f ca="1">IF(AND($C23="Goal",IW$8&gt;=$G23,IW$8&lt;=$G23+$H23-1),2,IF(AND($C23="Milestone",IW$8&gt;=$G23,IW$8&lt;=$G23+$H23-1),1,""))</f>
        <v/>
      </c>
      <c r="IX23" s="69" t="str">
        <f ca="1">IF(AND($C23="Goal",IX$8&gt;=$G23,IX$8&lt;=$G23+$H23-1),2,IF(AND($C23="Milestone",IX$8&gt;=$G23,IX$8&lt;=$G23+$H23-1),1,""))</f>
        <v/>
      </c>
      <c r="IY23" s="69" t="str">
        <f ca="1">IF(AND($C23="Goal",IY$8&gt;=$G23,IY$8&lt;=$G23+$H23-1),2,IF(AND($C23="Milestone",IY$8&gt;=$G23,IY$8&lt;=$G23+$H23-1),1,""))</f>
        <v/>
      </c>
      <c r="IZ23" s="69" t="str">
        <f ca="1">IF(AND($C23="Goal",IZ$8&gt;=$G23,IZ$8&lt;=$G23+$H23-1),2,IF(AND($C23="Milestone",IZ$8&gt;=$G23,IZ$8&lt;=$G23+$H23-1),1,""))</f>
        <v/>
      </c>
      <c r="JA23" s="69" t="str">
        <f ca="1">IF(AND($C23="Goal",JA$8&gt;=$G23,JA$8&lt;=$G23+$H23-1),2,IF(AND($C23="Milestone",JA$8&gt;=$G23,JA$8&lt;=$G23+$H23-1),1,""))</f>
        <v/>
      </c>
      <c r="JB23" s="69" t="str">
        <f ca="1">IF(AND($C23="Goal",JB$8&gt;=$G23,JB$8&lt;=$G23+$H23-1),2,IF(AND($C23="Milestone",JB$8&gt;=$G23,JB$8&lt;=$G23+$H23-1),1,""))</f>
        <v/>
      </c>
      <c r="JC23" s="69" t="str">
        <f ca="1">IF(AND($C23="Goal",JC$8&gt;=$G23,JC$8&lt;=$G23+$H23-1),2,IF(AND($C23="Milestone",JC$8&gt;=$G23,JC$8&lt;=$G23+$H23-1),1,""))</f>
        <v/>
      </c>
      <c r="JD23" s="69" t="str">
        <f ca="1">IF(AND($C23="Goal",JD$8&gt;=$G23,JD$8&lt;=$G23+$H23-1),2,IF(AND($C23="Milestone",JD$8&gt;=$G23,JD$8&lt;=$G23+$H23-1),1,""))</f>
        <v/>
      </c>
      <c r="JE23" s="69" t="str">
        <f ca="1">IF(AND($C23="Goal",JE$8&gt;=$G23,JE$8&lt;=$G23+$H23-1),2,IF(AND($C23="Milestone",JE$8&gt;=$G23,JE$8&lt;=$G23+$H23-1),1,""))</f>
        <v/>
      </c>
      <c r="JF23" s="69" t="str">
        <f ca="1">IF(AND($C23="Goal",JF$8&gt;=$G23,JF$8&lt;=$G23+$H23-1),2,IF(AND($C23="Milestone",JF$8&gt;=$G23,JF$8&lt;=$G23+$H23-1),1,""))</f>
        <v/>
      </c>
      <c r="JG23" s="69" t="str">
        <f ca="1">IF(AND($C23="Goal",JG$8&gt;=$G23,JG$8&lt;=$G23+$H23-1),2,IF(AND($C23="Milestone",JG$8&gt;=$G23,JG$8&lt;=$G23+$H23-1),1,""))</f>
        <v/>
      </c>
      <c r="JH23" s="69" t="str">
        <f ca="1">IF(AND($C23="Goal",JH$8&gt;=$G23,JH$8&lt;=$G23+$H23-1),2,IF(AND($C23="Milestone",JH$8&gt;=$G23,JH$8&lt;=$G23+$H23-1),1,""))</f>
        <v/>
      </c>
      <c r="JI23" s="69" t="str">
        <f ca="1">IF(AND($C23="Goal",JI$8&gt;=$G23,JI$8&lt;=$G23+$H23-1),2,IF(AND($C23="Milestone",JI$8&gt;=$G23,JI$8&lt;=$G23+$H23-1),1,""))</f>
        <v/>
      </c>
      <c r="JJ23" s="69" t="str">
        <f ca="1">IF(AND($C23="Goal",JJ$8&gt;=$G23,JJ$8&lt;=$G23+$H23-1),2,IF(AND($C23="Milestone",JJ$8&gt;=$G23,JJ$8&lt;=$G23+$H23-1),1,""))</f>
        <v/>
      </c>
      <c r="JK23" s="69" t="str">
        <f ca="1">IF(AND($C23="Goal",JK$8&gt;=$G23,JK$8&lt;=$G23+$H23-1),2,IF(AND($C23="Milestone",JK$8&gt;=$G23,JK$8&lt;=$G23+$H23-1),1,""))</f>
        <v/>
      </c>
      <c r="JL23" s="69" t="str">
        <f ca="1">IF(AND($C23="Goal",JL$8&gt;=$G23,JL$8&lt;=$G23+$H23-1),2,IF(AND($C23="Milestone",JL$8&gt;=$G23,JL$8&lt;=$G23+$H23-1),1,""))</f>
        <v/>
      </c>
      <c r="JM23" s="69" t="str">
        <f ca="1">IF(AND($C23="Goal",JM$8&gt;=$G23,JM$8&lt;=$G23+$H23-1),2,IF(AND($C23="Milestone",JM$8&gt;=$G23,JM$8&lt;=$G23+$H23-1),1,""))</f>
        <v/>
      </c>
      <c r="JN23" s="69" t="str">
        <f ca="1">IF(AND($C23="Goal",JN$8&gt;=$G23,JN$8&lt;=$G23+$H23-1),2,IF(AND($C23="Milestone",JN$8&gt;=$G23,JN$8&lt;=$G23+$H23-1),1,""))</f>
        <v/>
      </c>
      <c r="JO23" s="69" t="str">
        <f ca="1">IF(AND($C23="Goal",JO$8&gt;=$G23,JO$8&lt;=$G23+$H23-1),2,IF(AND($C23="Milestone",JO$8&gt;=$G23,JO$8&lt;=$G23+$H23-1),1,""))</f>
        <v/>
      </c>
      <c r="JP23" s="69" t="str">
        <f ca="1">IF(AND($C23="Goal",JP$8&gt;=$G23,JP$8&lt;=$G23+$H23-1),2,IF(AND($C23="Milestone",JP$8&gt;=$G23,JP$8&lt;=$G23+$H23-1),1,""))</f>
        <v/>
      </c>
      <c r="JQ23" s="69" t="str">
        <f ca="1">IF(AND($C23="Goal",JQ$8&gt;=$G23,JQ$8&lt;=$G23+$H23-1),2,IF(AND($C23="Milestone",JQ$8&gt;=$G23,JQ$8&lt;=$G23+$H23-1),1,""))</f>
        <v/>
      </c>
      <c r="JR23" s="69" t="str">
        <f ca="1">IF(AND($C23="Goal",JR$8&gt;=$G23,JR$8&lt;=$G23+$H23-1),2,IF(AND($C23="Milestone",JR$8&gt;=$G23,JR$8&lt;=$G23+$H23-1),1,""))</f>
        <v/>
      </c>
      <c r="JS23" s="69" t="str">
        <f ca="1">IF(AND($C23="Goal",JS$8&gt;=$G23,JS$8&lt;=$G23+$H23-1),2,IF(AND($C23="Milestone",JS$8&gt;=$G23,JS$8&lt;=$G23+$H23-1),1,""))</f>
        <v/>
      </c>
      <c r="JT23" s="69" t="str">
        <f ca="1">IF(AND($C23="Goal",JT$8&gt;=$G23,JT$8&lt;=$G23+$H23-1),2,IF(AND($C23="Milestone",JT$8&gt;=$G23,JT$8&lt;=$G23+$H23-1),1,""))</f>
        <v/>
      </c>
      <c r="JU23" s="69" t="str">
        <f ca="1">IF(AND($C23="Goal",JU$8&gt;=$G23,JU$8&lt;=$G23+$H23-1),2,IF(AND($C23="Milestone",JU$8&gt;=$G23,JU$8&lt;=$G23+$H23-1),1,""))</f>
        <v/>
      </c>
      <c r="JV23" s="69" t="str">
        <f ca="1">IF(AND($C23="Goal",JV$8&gt;=$G23,JV$8&lt;=$G23+$H23-1),2,IF(AND($C23="Milestone",JV$8&gt;=$G23,JV$8&lt;=$G23+$H23-1),1,""))</f>
        <v/>
      </c>
      <c r="JW23" s="69" t="str">
        <f ca="1">IF(AND($C23="Goal",JW$8&gt;=$G23,JW$8&lt;=$G23+$H23-1),2,IF(AND($C23="Milestone",JW$8&gt;=$G23,JW$8&lt;=$G23+$H23-1),1,""))</f>
        <v/>
      </c>
      <c r="JX23" s="69" t="str">
        <f ca="1">IF(AND($C23="Goal",JX$8&gt;=$G23,JX$8&lt;=$G23+$H23-1),2,IF(AND($C23="Milestone",JX$8&gt;=$G23,JX$8&lt;=$G23+$H23-1),1,""))</f>
        <v/>
      </c>
      <c r="JY23" s="69" t="str">
        <f ca="1">IF(AND($C23="Goal",JY$8&gt;=$G23,JY$8&lt;=$G23+$H23-1),2,IF(AND($C23="Milestone",JY$8&gt;=$G23,JY$8&lt;=$G23+$H23-1),1,""))</f>
        <v/>
      </c>
      <c r="JZ23" s="69" t="str">
        <f ca="1">IF(AND($C23="Goal",JZ$8&gt;=$G23,JZ$8&lt;=$G23+$H23-1),2,IF(AND($C23="Milestone",JZ$8&gt;=$G23,JZ$8&lt;=$G23+$H23-1),1,""))</f>
        <v/>
      </c>
      <c r="KA23" s="69" t="str">
        <f ca="1">IF(AND($C23="Goal",KA$8&gt;=$G23,KA$8&lt;=$G23+$H23-1),2,IF(AND($C23="Milestone",KA$8&gt;=$G23,KA$8&lt;=$G23+$H23-1),1,""))</f>
        <v/>
      </c>
      <c r="KB23" s="69" t="str">
        <f ca="1">IF(AND($C23="Goal",KB$8&gt;=$G23,KB$8&lt;=$G23+$H23-1),2,IF(AND($C23="Milestone",KB$8&gt;=$G23,KB$8&lt;=$G23+$H23-1),1,""))</f>
        <v/>
      </c>
      <c r="KC23" s="69" t="str">
        <f ca="1">IF(AND($C23="Goal",KC$8&gt;=$G23,KC$8&lt;=$G23+$H23-1),2,IF(AND($C23="Milestone",KC$8&gt;=$G23,KC$8&lt;=$G23+$H23-1),1,""))</f>
        <v/>
      </c>
      <c r="KD23" s="69" t="str">
        <f ca="1">IF(AND($C23="Goal",KD$8&gt;=$G23,KD$8&lt;=$G23+$H23-1),2,IF(AND($C23="Milestone",KD$8&gt;=$G23,KD$8&lt;=$G23+$H23-1),1,""))</f>
        <v/>
      </c>
      <c r="KE23" s="69" t="str">
        <f ca="1">IF(AND($C23="Goal",KE$8&gt;=$G23,KE$8&lt;=$G23+$H23-1),2,IF(AND($C23="Milestone",KE$8&gt;=$G23,KE$8&lt;=$G23+$H23-1),1,""))</f>
        <v/>
      </c>
      <c r="KF23" s="69" t="str">
        <f ca="1">IF(AND($C23="Goal",KF$8&gt;=$G23,KF$8&lt;=$G23+$H23-1),2,IF(AND($C23="Milestone",KF$8&gt;=$G23,KF$8&lt;=$G23+$H23-1),1,""))</f>
        <v/>
      </c>
      <c r="KG23" s="69" t="str">
        <f ca="1">IF(AND($C23="Goal",KG$8&gt;=$G23,KG$8&lt;=$G23+$H23-1),2,IF(AND($C23="Milestone",KG$8&gt;=$G23,KG$8&lt;=$G23+$H23-1),1,""))</f>
        <v/>
      </c>
      <c r="KH23" s="69" t="str">
        <f ca="1">IF(AND($C23="Goal",KH$8&gt;=$G23,KH$8&lt;=$G23+$H23-1),2,IF(AND($C23="Milestone",KH$8&gt;=$G23,KH$8&lt;=$G23+$H23-1),1,""))</f>
        <v/>
      </c>
      <c r="KI23" s="69" t="str">
        <f ca="1">IF(AND($C23="Goal",KI$8&gt;=$G23,KI$8&lt;=$G23+$H23-1),2,IF(AND($C23="Milestone",KI$8&gt;=$G23,KI$8&lt;=$G23+$H23-1),1,""))</f>
        <v/>
      </c>
      <c r="KJ23" s="69" t="str">
        <f ca="1">IF(AND($C23="Goal",KJ$8&gt;=$G23,KJ$8&lt;=$G23+$H23-1),2,IF(AND($C23="Milestone",KJ$8&gt;=$G23,KJ$8&lt;=$G23+$H23-1),1,""))</f>
        <v/>
      </c>
      <c r="KK23" s="69" t="str">
        <f ca="1">IF(AND($C23="Goal",KK$8&gt;=$G23,KK$8&lt;=$G23+$H23-1),2,IF(AND($C23="Milestone",KK$8&gt;=$G23,KK$8&lt;=$G23+$H23-1),1,""))</f>
        <v/>
      </c>
      <c r="KL23" s="69" t="str">
        <f ca="1">IF(AND($C23="Goal",KL$8&gt;=$G23,KL$8&lt;=$G23+$H23-1),2,IF(AND($C23="Milestone",KL$8&gt;=$G23,KL$8&lt;=$G23+$H23-1),1,""))</f>
        <v/>
      </c>
      <c r="KM23" s="69" t="str">
        <f ca="1">IF(AND($C23="Goal",KM$8&gt;=$G23,KM$8&lt;=$G23+$H23-1),2,IF(AND($C23="Milestone",KM$8&gt;=$G23,KM$8&lt;=$G23+$H23-1),1,""))</f>
        <v/>
      </c>
      <c r="KN23" s="69" t="str">
        <f ca="1">IF(AND($C23="Goal",KN$8&gt;=$G23,KN$8&lt;=$G23+$H23-1),2,IF(AND($C23="Milestone",KN$8&gt;=$G23,KN$8&lt;=$G23+$H23-1),1,""))</f>
        <v/>
      </c>
      <c r="KO23" s="69" t="str">
        <f ca="1">IF(AND($C23="Goal",KO$8&gt;=$G23,KO$8&lt;=$G23+$H23-1),2,IF(AND($C23="Milestone",KO$8&gt;=$G23,KO$8&lt;=$G23+$H23-1),1,""))</f>
        <v/>
      </c>
      <c r="KP23" s="69" t="str">
        <f ca="1">IF(AND($C23="Goal",KP$8&gt;=$G23,KP$8&lt;=$G23+$H23-1),2,IF(AND($C23="Milestone",KP$8&gt;=$G23,KP$8&lt;=$G23+$H23-1),1,""))</f>
        <v/>
      </c>
      <c r="KQ23" s="69" t="str">
        <f ca="1">IF(AND($C23="Goal",KQ$8&gt;=$G23,KQ$8&lt;=$G23+$H23-1),2,IF(AND($C23="Milestone",KQ$8&gt;=$G23,KQ$8&lt;=$G23+$H23-1),1,""))</f>
        <v/>
      </c>
      <c r="KR23" s="69" t="str">
        <f ca="1">IF(AND($C23="Goal",KR$8&gt;=$G23,KR$8&lt;=$G23+$H23-1),2,IF(AND($C23="Milestone",KR$8&gt;=$G23,KR$8&lt;=$G23+$H23-1),1,""))</f>
        <v/>
      </c>
      <c r="KS23" s="69" t="str">
        <f ca="1">IF(AND($C23="Goal",KS$8&gt;=$G23,KS$8&lt;=$G23+$H23-1),2,IF(AND($C23="Milestone",KS$8&gt;=$G23,KS$8&lt;=$G23+$H23-1),1,""))</f>
        <v/>
      </c>
      <c r="KT23" s="69" t="str">
        <f ca="1">IF(AND($C23="Goal",KT$8&gt;=$G23,KT$8&lt;=$G23+$H23-1),2,IF(AND($C23="Milestone",KT$8&gt;=$G23,KT$8&lt;=$G23+$H23-1),1,""))</f>
        <v/>
      </c>
      <c r="KU23" s="69" t="str">
        <f ca="1">IF(AND($C23="Goal",KU$8&gt;=$G23,KU$8&lt;=$G23+$H23-1),2,IF(AND($C23="Milestone",KU$8&gt;=$G23,KU$8&lt;=$G23+$H23-1),1,""))</f>
        <v/>
      </c>
      <c r="KV23" s="69" t="str">
        <f ca="1">IF(AND($C23="Goal",KV$8&gt;=$G23,KV$8&lt;=$G23+$H23-1),2,IF(AND($C23="Milestone",KV$8&gt;=$G23,KV$8&lt;=$G23+$H23-1),1,""))</f>
        <v/>
      </c>
      <c r="KW23" s="69" t="str">
        <f ca="1">IF(AND($C23="Goal",KW$8&gt;=$G23,KW$8&lt;=$G23+$H23-1),2,IF(AND($C23="Milestone",KW$8&gt;=$G23,KW$8&lt;=$G23+$H23-1),1,""))</f>
        <v/>
      </c>
      <c r="KX23" s="69" t="str">
        <f ca="1">IF(AND($C23="Goal",KX$8&gt;=$G23,KX$8&lt;=$G23+$H23-1),2,IF(AND($C23="Milestone",KX$8&gt;=$G23,KX$8&lt;=$G23+$H23-1),1,""))</f>
        <v/>
      </c>
      <c r="KY23" s="69" t="str">
        <f ca="1">IF(AND($C23="Goal",KY$8&gt;=$G23,KY$8&lt;=$G23+$H23-1),2,IF(AND($C23="Milestone",KY$8&gt;=$G23,KY$8&lt;=$G23+$H23-1),1,""))</f>
        <v/>
      </c>
      <c r="KZ23" s="69" t="str">
        <f ca="1">IF(AND($C23="Goal",KZ$8&gt;=$G23,KZ$8&lt;=$G23+$H23-1),2,IF(AND($C23="Milestone",KZ$8&gt;=$G23,KZ$8&lt;=$G23+$H23-1),1,""))</f>
        <v/>
      </c>
      <c r="LA23" s="69" t="str">
        <f ca="1">IF(AND($C23="Goal",LA$8&gt;=$G23,LA$8&lt;=$G23+$H23-1),2,IF(AND($C23="Milestone",LA$8&gt;=$G23,LA$8&lt;=$G23+$H23-1),1,""))</f>
        <v/>
      </c>
      <c r="LB23" s="69" t="str">
        <f ca="1">IF(AND($C23="Goal",LB$8&gt;=$G23,LB$8&lt;=$G23+$H23-1),2,IF(AND($C23="Milestone",LB$8&gt;=$G23,LB$8&lt;=$G23+$H23-1),1,""))</f>
        <v/>
      </c>
      <c r="LC23" s="69" t="str">
        <f ca="1">IF(AND($C23="Goal",LC$8&gt;=$G23,LC$8&lt;=$G23+$H23-1),2,IF(AND($C23="Milestone",LC$8&gt;=$G23,LC$8&lt;=$G23+$H23-1),1,""))</f>
        <v/>
      </c>
      <c r="LD23" s="69" t="str">
        <f ca="1">IF(AND($C23="Goal",LD$8&gt;=$G23,LD$8&lt;=$G23+$H23-1),2,IF(AND($C23="Milestone",LD$8&gt;=$G23,LD$8&lt;=$G23+$H23-1),1,""))</f>
        <v/>
      </c>
      <c r="LE23" s="69" t="str">
        <f ca="1">IF(AND($C23="Goal",LE$8&gt;=$G23,LE$8&lt;=$G23+$H23-1),2,IF(AND($C23="Milestone",LE$8&gt;=$G23,LE$8&lt;=$G23+$H23-1),1,""))</f>
        <v/>
      </c>
      <c r="LF23" s="69" t="str">
        <f ca="1">IF(AND($C23="Goal",LF$8&gt;=$G23,LF$8&lt;=$G23+$H23-1),2,IF(AND($C23="Milestone",LF$8&gt;=$G23,LF$8&lt;=$G23+$H23-1),1,""))</f>
        <v/>
      </c>
      <c r="LG23" s="69" t="str">
        <f ca="1">IF(AND($C23="Goal",LG$8&gt;=$G23,LG$8&lt;=$G23+$H23-1),2,IF(AND($C23="Milestone",LG$8&gt;=$G23,LG$8&lt;=$G23+$H23-1),1,""))</f>
        <v/>
      </c>
      <c r="LH23" s="69" t="str">
        <f ca="1">IF(AND($C23="Goal",LH$8&gt;=$G23,LH$8&lt;=$G23+$H23-1),2,IF(AND($C23="Milestone",LH$8&gt;=$G23,LH$8&lt;=$G23+$H23-1),1,""))</f>
        <v/>
      </c>
      <c r="LI23" s="69" t="str">
        <f ca="1">IF(AND($C23="Goal",LI$8&gt;=$G23,LI$8&lt;=$G23+$H23-1),2,IF(AND($C23="Milestone",LI$8&gt;=$G23,LI$8&lt;=$G23+$H23-1),1,""))</f>
        <v/>
      </c>
      <c r="LJ23" s="69" t="str">
        <f ca="1">IF(AND($C23="Goal",LJ$8&gt;=$G23,LJ$8&lt;=$G23+$H23-1),2,IF(AND($C23="Milestone",LJ$8&gt;=$G23,LJ$8&lt;=$G23+$H23-1),1,""))</f>
        <v/>
      </c>
      <c r="LK23" s="69" t="str">
        <f ca="1">IF(AND($C23="Goal",LK$8&gt;=$G23,LK$8&lt;=$G23+$H23-1),2,IF(AND($C23="Milestone",LK$8&gt;=$G23,LK$8&lt;=$G23+$H23-1),1,""))</f>
        <v/>
      </c>
      <c r="LL23" s="69" t="str">
        <f ca="1">IF(AND($C23="Goal",LL$8&gt;=$G23,LL$8&lt;=$G23+$H23-1),2,IF(AND($C23="Milestone",LL$8&gt;=$G23,LL$8&lt;=$G23+$H23-1),1,""))</f>
        <v/>
      </c>
      <c r="LM23" s="69" t="str">
        <f ca="1">IF(AND($C23="Goal",LM$8&gt;=$G23,LM$8&lt;=$G23+$H23-1),2,IF(AND($C23="Milestone",LM$8&gt;=$G23,LM$8&lt;=$G23+$H23-1),1,""))</f>
        <v/>
      </c>
      <c r="LN23" s="69" t="str">
        <f ca="1">IF(AND($C23="Goal",LN$8&gt;=$G23,LN$8&lt;=$G23+$H23-1),2,IF(AND($C23="Milestone",LN$8&gt;=$G23,LN$8&lt;=$G23+$H23-1),1,""))</f>
        <v/>
      </c>
      <c r="LO23" s="69" t="str">
        <f ca="1">IF(AND($C23="Goal",LO$8&gt;=$G23,LO$8&lt;=$G23+$H23-1),2,IF(AND($C23="Milestone",LO$8&gt;=$G23,LO$8&lt;=$G23+$H23-1),1,""))</f>
        <v/>
      </c>
      <c r="LP23" s="69" t="str">
        <f ca="1">IF(AND($C23="Goal",LP$8&gt;=$G23,LP$8&lt;=$G23+$H23-1),2,IF(AND($C23="Milestone",LP$8&gt;=$G23,LP$8&lt;=$G23+$H23-1),1,""))</f>
        <v/>
      </c>
      <c r="LQ23" s="69" t="str">
        <f ca="1">IF(AND($C23="Goal",LQ$8&gt;=$G23,LQ$8&lt;=$G23+$H23-1),2,IF(AND($C23="Milestone",LQ$8&gt;=$G23,LQ$8&lt;=$G23+$H23-1),1,""))</f>
        <v/>
      </c>
      <c r="LR23" s="69" t="str">
        <f ca="1">IF(AND($C23="Goal",LR$8&gt;=$G23,LR$8&lt;=$G23+$H23-1),2,IF(AND($C23="Milestone",LR$8&gt;=$G23,LR$8&lt;=$G23+$H23-1),1,""))</f>
        <v/>
      </c>
      <c r="LS23" s="69" t="str">
        <f ca="1">IF(AND($C23="Goal",LS$8&gt;=$G23,LS$8&lt;=$G23+$H23-1),2,IF(AND($C23="Milestone",LS$8&gt;=$G23,LS$8&lt;=$G23+$H23-1),1,""))</f>
        <v/>
      </c>
      <c r="LT23" s="69" t="str">
        <f ca="1">IF(AND($C23="Goal",LT$8&gt;=$G23,LT$8&lt;=$G23+$H23-1),2,IF(AND($C23="Milestone",LT$8&gt;=$G23,LT$8&lt;=$G23+$H23-1),1,""))</f>
        <v/>
      </c>
      <c r="LU23" s="69" t="str">
        <f ca="1">IF(AND($C23="Goal",LU$8&gt;=$G23,LU$8&lt;=$G23+$H23-1),2,IF(AND($C23="Milestone",LU$8&gt;=$G23,LU$8&lt;=$G23+$H23-1),1,""))</f>
        <v/>
      </c>
      <c r="LV23" s="69" t="str">
        <f ca="1">IF(AND($C23="Goal",LV$8&gt;=$G23,LV$8&lt;=$G23+$H23-1),2,IF(AND($C23="Milestone",LV$8&gt;=$G23,LV$8&lt;=$G23+$H23-1),1,""))</f>
        <v/>
      </c>
      <c r="LW23" s="69" t="str">
        <f ca="1">IF(AND($C23="Goal",LW$8&gt;=$G23,LW$8&lt;=$G23+$H23-1),2,IF(AND($C23="Milestone",LW$8&gt;=$G23,LW$8&lt;=$G23+$H23-1),1,""))</f>
        <v/>
      </c>
      <c r="LX23" s="69" t="str">
        <f ca="1">IF(AND($C23="Goal",LX$8&gt;=$G23,LX$8&lt;=$G23+$H23-1),2,IF(AND($C23="Milestone",LX$8&gt;=$G23,LX$8&lt;=$G23+$H23-1),1,""))</f>
        <v/>
      </c>
    </row>
    <row r="24" spans="1:336" s="1" customFormat="1" ht="27.5" customHeight="1" x14ac:dyDescent="0.25">
      <c r="A24" s="6"/>
      <c r="B24" s="47" t="s">
        <v>26</v>
      </c>
      <c r="C24" s="58"/>
      <c r="D24" s="58" t="str">
        <f ca="1">IF(G24="","",
IF(G24+Milestones4352[[#This Row],[Days]]="","",
IF(OR(F24=1,F24=100%),"Complete",
CHOOSE(
  1
  + --(((1-IF(F24&gt;1,F24/100,F24))*POWER(2.718281828,(60-MAX(0,G24+Milestones4352[[#This Row],[Days]]-TODAY()))/12))&gt;=0.6)
  + --(((1-IF(F24&gt;1,F24/100,F24))*POWER(2.718281828,(60-MAX(0,G24+Milestones4352[[#This Row],[Days]]-TODAY()))/12))&gt;=1.2)
  + --(((1-IF(F24&gt;1,F24/100,F24))*POWER(2.718281828,(60-MAX(0,G24+Milestones4352[[#This Row],[Days]]-TODAY()))/12))&gt;=2),
  "On track","Low risk","Medium risk","High risk"
))))</f>
        <v>Medium risk</v>
      </c>
      <c r="E24" s="58"/>
      <c r="F24" s="56">
        <v>0</v>
      </c>
      <c r="G24" s="71">
        <f>G21+H21</f>
        <v>46000</v>
      </c>
      <c r="H24" s="57">
        <v>5</v>
      </c>
      <c r="I24" s="57">
        <f t="shared" si="207"/>
        <v>4</v>
      </c>
      <c r="J24" s="12">
        <f ca="1">IF(OR(Milestones4352[[#This Row],[Start]]="",Milestones4352[[#This Row],[Days]]=""),"",(Milestones4352[[#This Row],[Start]]+Milestones4352[[#This Row],[Days]])-TODAY())</f>
        <v>56</v>
      </c>
      <c r="K24" s="9"/>
      <c r="L24" s="69" t="str">
        <f ca="1">IF(AND($C24="Goal",L$8&gt;=$G24,L$8&lt;=$G24+$H24-1),2,IF(AND($C24="Milestone",L$8&gt;=$G24,L$8&lt;=$G24+$H24-1),1,""))</f>
        <v/>
      </c>
      <c r="M24" s="69" t="str">
        <f ca="1">IF(AND($C24="Goal",M$8&gt;=$G24,M$8&lt;=$G24+$H24-1),2,IF(AND($C24="Milestone",M$8&gt;=$G24,M$8&lt;=$G24+$H24-1),1,""))</f>
        <v/>
      </c>
      <c r="N24" s="69" t="str">
        <f ca="1">IF(AND($C24="Goal",N$8&gt;=$G24,N$8&lt;=$G24+$H24-1),2,IF(AND($C24="Milestone",N$8&gt;=$G24,N$8&lt;=$G24+$H24-1),1,""))</f>
        <v/>
      </c>
      <c r="O24" s="69" t="str">
        <f ca="1">IF(AND($C24="Goal",O$8&gt;=$G24,O$8&lt;=$G24+$H24-1),2,IF(AND($C24="Milestone",O$8&gt;=$G24,O$8&lt;=$G24+$H24-1),1,""))</f>
        <v/>
      </c>
      <c r="P24" s="69" t="str">
        <f ca="1">IF(AND($C24="Goal",P$8&gt;=$G24,P$8&lt;=$G24+$H24-1),2,IF(AND($C24="Milestone",P$8&gt;=$G24,P$8&lt;=$G24+$H24-1),1,""))</f>
        <v/>
      </c>
      <c r="Q24" s="69" t="str">
        <f ca="1">IF(AND($C24="Goal",Q$8&gt;=$G24,Q$8&lt;=$G24+$H24-1),2,IF(AND($C24="Milestone",Q$8&gt;=$G24,Q$8&lt;=$G24+$H24-1),1,""))</f>
        <v/>
      </c>
      <c r="R24" s="69" t="str">
        <f ca="1">IF(AND($C24="Goal",R$8&gt;=$G24,R$8&lt;=$G24+$H24-1),2,IF(AND($C24="Milestone",R$8&gt;=$G24,R$8&lt;=$G24+$H24-1),1,""))</f>
        <v/>
      </c>
      <c r="S24" s="69" t="str">
        <f ca="1">IF(AND($C24="Goal",S$8&gt;=$G24,S$8&lt;=$G24+$H24-1),2,IF(AND($C24="Milestone",S$8&gt;=$G24,S$8&lt;=$G24+$H24-1),1,""))</f>
        <v/>
      </c>
      <c r="T24" s="69" t="str">
        <f ca="1">IF(AND($C24="Goal",T$8&gt;=$G24,T$8&lt;=$G24+$H24-1),2,IF(AND($C24="Milestone",T$8&gt;=$G24,T$8&lt;=$G24+$H24-1),1,""))</f>
        <v/>
      </c>
      <c r="U24" s="69" t="str">
        <f ca="1">IF(AND($C24="Goal",U$8&gt;=$G24,U$8&lt;=$G24+$H24-1),2,IF(AND($C24="Milestone",U$8&gt;=$G24,U$8&lt;=$G24+$H24-1),1,""))</f>
        <v/>
      </c>
      <c r="V24" s="69" t="str">
        <f ca="1">IF(AND($C24="Goal",V$8&gt;=$G24,V$8&lt;=$G24+$H24-1),2,IF(AND($C24="Milestone",V$8&gt;=$G24,V$8&lt;=$G24+$H24-1),1,""))</f>
        <v/>
      </c>
      <c r="W24" s="69" t="str">
        <f ca="1">IF(AND($C24="Goal",W$8&gt;=$G24,W$8&lt;=$G24+$H24-1),2,IF(AND($C24="Milestone",W$8&gt;=$G24,W$8&lt;=$G24+$H24-1),1,""))</f>
        <v/>
      </c>
      <c r="X24" s="69" t="str">
        <f ca="1">IF(AND($C24="Goal",X$8&gt;=$G24,X$8&lt;=$G24+$H24-1),2,IF(AND($C24="Milestone",X$8&gt;=$G24,X$8&lt;=$G24+$H24-1),1,""))</f>
        <v/>
      </c>
      <c r="Y24" s="69" t="str">
        <f ca="1">IF(AND($C24="Goal",Y$8&gt;=$G24,Y$8&lt;=$G24+$H24-1),2,IF(AND($C24="Milestone",Y$8&gt;=$G24,Y$8&lt;=$G24+$H24-1),1,""))</f>
        <v/>
      </c>
      <c r="Z24" s="69" t="str">
        <f ca="1">IF(AND($C24="Goal",Z$8&gt;=$G24,Z$8&lt;=$G24+$H24-1),2,IF(AND($C24="Milestone",Z$8&gt;=$G24,Z$8&lt;=$G24+$H24-1),1,""))</f>
        <v/>
      </c>
      <c r="AA24" s="69" t="str">
        <f ca="1">IF(AND($C24="Goal",AA$8&gt;=$G24,AA$8&lt;=$G24+$H24-1),2,IF(AND($C24="Milestone",AA$8&gt;=$G24,AA$8&lt;=$G24+$H24-1),1,""))</f>
        <v/>
      </c>
      <c r="AB24" s="69" t="str">
        <f ca="1">IF(AND($C24="Goal",AB$8&gt;=$G24,AB$8&lt;=$G24+$H24-1),2,IF(AND($C24="Milestone",AB$8&gt;=$G24,AB$8&lt;=$G24+$H24-1),1,""))</f>
        <v/>
      </c>
      <c r="AC24" s="69" t="str">
        <f ca="1">IF(AND($C24="Goal",AC$8&gt;=$G24,AC$8&lt;=$G24+$H24-1),2,IF(AND($C24="Milestone",AC$8&gt;=$G24,AC$8&lt;=$G24+$H24-1),1,""))</f>
        <v/>
      </c>
      <c r="AD24" s="69" t="str">
        <f ca="1">IF(AND($C24="Goal",AD$8&gt;=$G24,AD$8&lt;=$G24+$H24-1),2,IF(AND($C24="Milestone",AD$8&gt;=$G24,AD$8&lt;=$G24+$H24-1),1,""))</f>
        <v/>
      </c>
      <c r="AE24" s="69" t="str">
        <f ca="1">IF(AND($C24="Goal",AE$8&gt;=$G24,AE$8&lt;=$G24+$H24-1),2,IF(AND($C24="Milestone",AE$8&gt;=$G24,AE$8&lt;=$G24+$H24-1),1,""))</f>
        <v/>
      </c>
      <c r="AF24" s="69" t="str">
        <f ca="1">IF(AND($C24="Goal",AF$8&gt;=$G24,AF$8&lt;=$G24+$H24-1),2,IF(AND($C24="Milestone",AF$8&gt;=$G24,AF$8&lt;=$G24+$H24-1),1,""))</f>
        <v/>
      </c>
      <c r="AG24" s="69" t="str">
        <f ca="1">IF(AND($C24="Goal",AG$8&gt;=$G24,AG$8&lt;=$G24+$H24-1),2,IF(AND($C24="Milestone",AG$8&gt;=$G24,AG$8&lt;=$G24+$H24-1),1,""))</f>
        <v/>
      </c>
      <c r="AH24" s="69" t="str">
        <f ca="1">IF(AND($C24="Goal",AH$8&gt;=$G24,AH$8&lt;=$G24+$H24-1),2,IF(AND($C24="Milestone",AH$8&gt;=$G24,AH$8&lt;=$G24+$H24-1),1,""))</f>
        <v/>
      </c>
      <c r="AI24" s="69" t="str">
        <f ca="1">IF(AND($C24="Goal",AI$8&gt;=$G24,AI$8&lt;=$G24+$H24-1),2,IF(AND($C24="Milestone",AI$8&gt;=$G24,AI$8&lt;=$G24+$H24-1),1,""))</f>
        <v/>
      </c>
      <c r="AJ24" s="69" t="str">
        <f ca="1">IF(AND($C24="Goal",AJ$8&gt;=$G24,AJ$8&lt;=$G24+$H24-1),2,IF(AND($C24="Milestone",AJ$8&gt;=$G24,AJ$8&lt;=$G24+$H24-1),1,""))</f>
        <v/>
      </c>
      <c r="AK24" s="69" t="str">
        <f ca="1">IF(AND($C24="Goal",AK$8&gt;=$G24,AK$8&lt;=$G24+$H24-1),2,IF(AND($C24="Milestone",AK$8&gt;=$G24,AK$8&lt;=$G24+$H24-1),1,""))</f>
        <v/>
      </c>
      <c r="AL24" s="69" t="str">
        <f ca="1">IF(AND($C24="Goal",AL$8&gt;=$G24,AL$8&lt;=$G24+$H24-1),2,IF(AND($C24="Milestone",AL$8&gt;=$G24,AL$8&lt;=$G24+$H24-1),1,""))</f>
        <v/>
      </c>
      <c r="AM24" s="69" t="str">
        <f ca="1">IF(AND($C24="Goal",AM$8&gt;=$G24,AM$8&lt;=$G24+$H24-1),2,IF(AND($C24="Milestone",AM$8&gt;=$G24,AM$8&lt;=$G24+$H24-1),1,""))</f>
        <v/>
      </c>
      <c r="AN24" s="69" t="str">
        <f ca="1">IF(AND($C24="Goal",AN$8&gt;=$G24,AN$8&lt;=$G24+$H24-1),2,IF(AND($C24="Milestone",AN$8&gt;=$G24,AN$8&lt;=$G24+$H24-1),1,""))</f>
        <v/>
      </c>
      <c r="AO24" s="69" t="str">
        <f ca="1">IF(AND($C24="Goal",AO$8&gt;=$G24,AO$8&lt;=$G24+$H24-1),2,IF(AND($C24="Milestone",AO$8&gt;=$G24,AO$8&lt;=$G24+$H24-1),1,""))</f>
        <v/>
      </c>
      <c r="AP24" s="69" t="str">
        <f ca="1">IF(AND($C24="Goal",AP$8&gt;=$G24,AP$8&lt;=$G24+$H24-1),2,IF(AND($C24="Milestone",AP$8&gt;=$G24,AP$8&lt;=$G24+$H24-1),1,""))</f>
        <v/>
      </c>
      <c r="AQ24" s="69" t="str">
        <f ca="1">IF(AND($C24="Goal",AQ$8&gt;=$G24,AQ$8&lt;=$G24+$H24-1),2,IF(AND($C24="Milestone",AQ$8&gt;=$G24,AQ$8&lt;=$G24+$H24-1),1,""))</f>
        <v/>
      </c>
      <c r="AR24" s="69" t="str">
        <f ca="1">IF(AND($C24="Goal",AR$8&gt;=$G24,AR$8&lt;=$G24+$H24-1),2,IF(AND($C24="Milestone",AR$8&gt;=$G24,AR$8&lt;=$G24+$H24-1),1,""))</f>
        <v/>
      </c>
      <c r="AS24" s="69" t="str">
        <f ca="1">IF(AND($C24="Goal",AS$8&gt;=$G24,AS$8&lt;=$G24+$H24-1),2,IF(AND($C24="Milestone",AS$8&gt;=$G24,AS$8&lt;=$G24+$H24-1),1,""))</f>
        <v/>
      </c>
      <c r="AT24" s="69" t="str">
        <f ca="1">IF(AND($C24="Goal",AT$8&gt;=$G24,AT$8&lt;=$G24+$H24-1),2,IF(AND($C24="Milestone",AT$8&gt;=$G24,AT$8&lt;=$G24+$H24-1),1,""))</f>
        <v/>
      </c>
      <c r="AU24" s="69" t="str">
        <f ca="1">IF(AND($C24="Goal",AU$8&gt;=$G24,AU$8&lt;=$G24+$H24-1),2,IF(AND($C24="Milestone",AU$8&gt;=$G24,AU$8&lt;=$G24+$H24-1),1,""))</f>
        <v/>
      </c>
      <c r="AV24" s="69" t="str">
        <f ca="1">IF(AND($C24="Goal",AV$8&gt;=$G24,AV$8&lt;=$G24+$H24-1),2,IF(AND($C24="Milestone",AV$8&gt;=$G24,AV$8&lt;=$G24+$H24-1),1,""))</f>
        <v/>
      </c>
      <c r="AW24" s="69" t="str">
        <f ca="1">IF(AND($C24="Goal",AW$8&gt;=$G24,AW$8&lt;=$G24+$H24-1),2,IF(AND($C24="Milestone",AW$8&gt;=$G24,AW$8&lt;=$G24+$H24-1),1,""))</f>
        <v/>
      </c>
      <c r="AX24" s="69" t="str">
        <f ca="1">IF(AND($C24="Goal",AX$8&gt;=$G24,AX$8&lt;=$G24+$H24-1),2,IF(AND($C24="Milestone",AX$8&gt;=$G24,AX$8&lt;=$G24+$H24-1),1,""))</f>
        <v/>
      </c>
      <c r="AY24" s="69" t="str">
        <f ca="1">IF(AND($C24="Goal",AY$8&gt;=$G24,AY$8&lt;=$G24+$H24-1),2,IF(AND($C24="Milestone",AY$8&gt;=$G24,AY$8&lt;=$G24+$H24-1),1,""))</f>
        <v/>
      </c>
      <c r="AZ24" s="69" t="str">
        <f ca="1">IF(AND($C24="Goal",AZ$8&gt;=$G24,AZ$8&lt;=$G24+$H24-1),2,IF(AND($C24="Milestone",AZ$8&gt;=$G24,AZ$8&lt;=$G24+$H24-1),1,""))</f>
        <v/>
      </c>
      <c r="BA24" s="69" t="str">
        <f ca="1">IF(AND($C24="Goal",BA$8&gt;=$G24,BA$8&lt;=$G24+$H24-1),2,IF(AND($C24="Milestone",BA$8&gt;=$G24,BA$8&lt;=$G24+$H24-1),1,""))</f>
        <v/>
      </c>
      <c r="BB24" s="69" t="str">
        <f ca="1">IF(AND($C24="Goal",BB$8&gt;=$G24,BB$8&lt;=$G24+$H24-1),2,IF(AND($C24="Milestone",BB$8&gt;=$G24,BB$8&lt;=$G24+$H24-1),1,""))</f>
        <v/>
      </c>
      <c r="BC24" s="69" t="str">
        <f ca="1">IF(AND($C24="Goal",BC$8&gt;=$G24,BC$8&lt;=$G24+$H24-1),2,IF(AND($C24="Milestone",BC$8&gt;=$G24,BC$8&lt;=$G24+$H24-1),1,""))</f>
        <v/>
      </c>
      <c r="BD24" s="69" t="str">
        <f ca="1">IF(AND($C24="Goal",BD$8&gt;=$G24,BD$8&lt;=$G24+$H24-1),2,IF(AND($C24="Milestone",BD$8&gt;=$G24,BD$8&lt;=$G24+$H24-1),1,""))</f>
        <v/>
      </c>
      <c r="BE24" s="69" t="str">
        <f ca="1">IF(AND($C24="Goal",BE$8&gt;=$G24,BE$8&lt;=$G24+$H24-1),2,IF(AND($C24="Milestone",BE$8&gt;=$G24,BE$8&lt;=$G24+$H24-1),1,""))</f>
        <v/>
      </c>
      <c r="BF24" s="69" t="str">
        <f ca="1">IF(AND($C24="Goal",BF$8&gt;=$G24,BF$8&lt;=$G24+$H24-1),2,IF(AND($C24="Milestone",BF$8&gt;=$G24,BF$8&lt;=$G24+$H24-1),1,""))</f>
        <v/>
      </c>
      <c r="BG24" s="69" t="str">
        <f ca="1">IF(AND($C24="Goal",BG$8&gt;=$G24,BG$8&lt;=$G24+$H24-1),2,IF(AND($C24="Milestone",BG$8&gt;=$G24,BG$8&lt;=$G24+$H24-1),1,""))</f>
        <v/>
      </c>
      <c r="BH24" s="69" t="str">
        <f ca="1">IF(AND($C24="Goal",BH$8&gt;=$G24,BH$8&lt;=$G24+$H24-1),2,IF(AND($C24="Milestone",BH$8&gt;=$G24,BH$8&lt;=$G24+$H24-1),1,""))</f>
        <v/>
      </c>
      <c r="BI24" s="69" t="str">
        <f ca="1">IF(AND($C24="Goal",BI$8&gt;=$G24,BI$8&lt;=$G24+$H24-1),2,IF(AND($C24="Milestone",BI$8&gt;=$G24,BI$8&lt;=$G24+$H24-1),1,""))</f>
        <v/>
      </c>
      <c r="BJ24" s="69" t="str">
        <f ca="1">IF(AND($C24="Goal",BJ$8&gt;=$G24,BJ$8&lt;=$G24+$H24-1),2,IF(AND($C24="Milestone",BJ$8&gt;=$G24,BJ$8&lt;=$G24+$H24-1),1,""))</f>
        <v/>
      </c>
      <c r="BK24" s="69" t="str">
        <f ca="1">IF(AND($C24="Goal",BK$8&gt;=$G24,BK$8&lt;=$G24+$H24-1),2,IF(AND($C24="Milestone",BK$8&gt;=$G24,BK$8&lt;=$G24+$H24-1),1,""))</f>
        <v/>
      </c>
      <c r="BL24" s="69" t="str">
        <f ca="1">IF(AND($C24="Goal",BL$8&gt;=$G24,BL$8&lt;=$G24+$H24-1),2,IF(AND($C24="Milestone",BL$8&gt;=$G24,BL$8&lt;=$G24+$H24-1),1,""))</f>
        <v/>
      </c>
      <c r="BM24" s="69" t="str">
        <f ca="1">IF(AND($C24="Goal",BM$8&gt;=$G24,BM$8&lt;=$G24+$H24-1),2,IF(AND($C24="Milestone",BM$8&gt;=$G24,BM$8&lt;=$G24+$H24-1),1,""))</f>
        <v/>
      </c>
      <c r="BN24" s="69" t="str">
        <f ca="1">IF(AND($C24="Goal",BN$8&gt;=$G24,BN$8&lt;=$G24+$H24-1),2,IF(AND($C24="Milestone",BN$8&gt;=$G24,BN$8&lt;=$G24+$H24-1),1,""))</f>
        <v/>
      </c>
      <c r="BO24" s="69" t="str">
        <f ca="1">IF(AND($C24="Goal",BO$8&gt;=$G24,BO$8&lt;=$G24+$H24-1),2,IF(AND($C24="Milestone",BO$8&gt;=$G24,BO$8&lt;=$G24+$H24-1),1,""))</f>
        <v/>
      </c>
      <c r="BP24" s="69" t="str">
        <f ca="1">IF(AND($C24="Goal",BP$8&gt;=$G24,BP$8&lt;=$G24+$H24-1),2,IF(AND($C24="Milestone",BP$8&gt;=$G24,BP$8&lt;=$G24+$H24-1),1,""))</f>
        <v/>
      </c>
      <c r="BQ24" s="69" t="str">
        <f ca="1">IF(AND($C24="Goal",BQ$8&gt;=$G24,BQ$8&lt;=$G24+$H24-1),2,IF(AND($C24="Milestone",BQ$8&gt;=$G24,BQ$8&lt;=$G24+$H24-1),1,""))</f>
        <v/>
      </c>
      <c r="BR24" s="69" t="str">
        <f ca="1">IF(AND($C24="Goal",BR$8&gt;=$G24,BR$8&lt;=$G24+$H24-1),2,IF(AND($C24="Milestone",BR$8&gt;=$G24,BR$8&lt;=$G24+$H24-1),1,""))</f>
        <v/>
      </c>
      <c r="BS24" s="69" t="str">
        <f ca="1">IF(AND($C24="Goal",BS$8&gt;=$G24,BS$8&lt;=$G24+$H24-1),2,IF(AND($C24="Milestone",BS$8&gt;=$G24,BS$8&lt;=$G24+$H24-1),1,""))</f>
        <v/>
      </c>
      <c r="BT24" s="69" t="str">
        <f ca="1">IF(AND($C24="Goal",BT$8&gt;=$G24,BT$8&lt;=$G24+$H24-1),2,IF(AND($C24="Milestone",BT$8&gt;=$G24,BT$8&lt;=$G24+$H24-1),1,""))</f>
        <v/>
      </c>
      <c r="BU24" s="69" t="str">
        <f ca="1">IF(AND($C24="Goal",BU$8&gt;=$G24,BU$8&lt;=$G24+$H24-1),2,IF(AND($C24="Milestone",BU$8&gt;=$G24,BU$8&lt;=$G24+$H24-1),1,""))</f>
        <v/>
      </c>
      <c r="BV24" s="69" t="str">
        <f ca="1">IF(AND($C24="Goal",BV$8&gt;=$G24,BV$8&lt;=$G24+$H24-1),2,IF(AND($C24="Milestone",BV$8&gt;=$G24,BV$8&lt;=$G24+$H24-1),1,""))</f>
        <v/>
      </c>
      <c r="BW24" s="69" t="str">
        <f ca="1">IF(AND($C24="Goal",BW$8&gt;=$G24,BW$8&lt;=$G24+$H24-1),2,IF(AND($C24="Milestone",BW$8&gt;=$G24,BW$8&lt;=$G24+$H24-1),1,""))</f>
        <v/>
      </c>
      <c r="BX24" s="69" t="str">
        <f ca="1">IF(AND($C24="Goal",BX$8&gt;=$G24,BX$8&lt;=$G24+$H24-1),2,IF(AND($C24="Milestone",BX$8&gt;=$G24,BX$8&lt;=$G24+$H24-1),1,""))</f>
        <v/>
      </c>
      <c r="BY24" s="69" t="str">
        <f ca="1">IF(AND($C24="Goal",BY$8&gt;=$G24,BY$8&lt;=$G24+$H24-1),2,IF(AND($C24="Milestone",BY$8&gt;=$G24,BY$8&lt;=$G24+$H24-1),1,""))</f>
        <v/>
      </c>
      <c r="BZ24" s="69" t="str">
        <f ca="1">IF(AND($C24="Goal",BZ$8&gt;=$G24,BZ$8&lt;=$G24+$H24-1),2,IF(AND($C24="Milestone",BZ$8&gt;=$G24,BZ$8&lt;=$G24+$H24-1),1,""))</f>
        <v/>
      </c>
      <c r="CA24" s="69" t="str">
        <f ca="1">IF(AND($C24="Goal",CA$8&gt;=$G24,CA$8&lt;=$G24+$H24-1),2,IF(AND($C24="Milestone",CA$8&gt;=$G24,CA$8&lt;=$G24+$H24-1),1,""))</f>
        <v/>
      </c>
      <c r="CB24" s="69" t="str">
        <f ca="1">IF(AND($C24="Goal",CB$8&gt;=$G24,CB$8&lt;=$G24+$H24-1),2,IF(AND($C24="Milestone",CB$8&gt;=$G24,CB$8&lt;=$G24+$H24-1),1,""))</f>
        <v/>
      </c>
      <c r="CC24" s="69" t="str">
        <f ca="1">IF(AND($C24="Goal",CC$8&gt;=$G24,CC$8&lt;=$G24+$H24-1),2,IF(AND($C24="Milestone",CC$8&gt;=$G24,CC$8&lt;=$G24+$H24-1),1,""))</f>
        <v/>
      </c>
      <c r="CD24" s="69" t="str">
        <f ca="1">IF(AND($C24="Goal",CD$8&gt;=$G24,CD$8&lt;=$G24+$H24-1),2,IF(AND($C24="Milestone",CD$8&gt;=$G24,CD$8&lt;=$G24+$H24-1),1,""))</f>
        <v/>
      </c>
      <c r="CE24" s="69" t="str">
        <f ca="1">IF(AND($C24="Goal",CE$8&gt;=$G24,CE$8&lt;=$G24+$H24-1),2,IF(AND($C24="Milestone",CE$8&gt;=$G24,CE$8&lt;=$G24+$H24-1),1,""))</f>
        <v/>
      </c>
      <c r="CF24" s="69" t="str">
        <f ca="1">IF(AND($C24="Goal",CF$8&gt;=$G24,CF$8&lt;=$G24+$H24-1),2,IF(AND($C24="Milestone",CF$8&gt;=$G24,CF$8&lt;=$G24+$H24-1),1,""))</f>
        <v/>
      </c>
      <c r="CG24" s="69" t="str">
        <f ca="1">IF(AND($C24="Goal",CG$8&gt;=$G24,CG$8&lt;=$G24+$H24-1),2,IF(AND($C24="Milestone",CG$8&gt;=$G24,CG$8&lt;=$G24+$H24-1),1,""))</f>
        <v/>
      </c>
      <c r="CH24" s="69" t="str">
        <f ca="1">IF(AND($C24="Goal",CH$8&gt;=$G24,CH$8&lt;=$G24+$H24-1),2,IF(AND($C24="Milestone",CH$8&gt;=$G24,CH$8&lt;=$G24+$H24-1),1,""))</f>
        <v/>
      </c>
      <c r="CI24" s="69" t="str">
        <f ca="1">IF(AND($C24="Goal",CI$8&gt;=$G24,CI$8&lt;=$G24+$H24-1),2,IF(AND($C24="Milestone",CI$8&gt;=$G24,CI$8&lt;=$G24+$H24-1),1,""))</f>
        <v/>
      </c>
      <c r="CJ24" s="69" t="str">
        <f ca="1">IF(AND($C24="Goal",CJ$8&gt;=$G24,CJ$8&lt;=$G24+$H24-1),2,IF(AND($C24="Milestone",CJ$8&gt;=$G24,CJ$8&lt;=$G24+$H24-1),1,""))</f>
        <v/>
      </c>
      <c r="CK24" s="69" t="str">
        <f ca="1">IF(AND($C24="Goal",CK$8&gt;=$G24,CK$8&lt;=$G24+$H24-1),2,IF(AND($C24="Milestone",CK$8&gt;=$G24,CK$8&lt;=$G24+$H24-1),1,""))</f>
        <v/>
      </c>
      <c r="CL24" s="69" t="str">
        <f ca="1">IF(AND($C24="Goal",CL$8&gt;=$G24,CL$8&lt;=$G24+$H24-1),2,IF(AND($C24="Milestone",CL$8&gt;=$G24,CL$8&lt;=$G24+$H24-1),1,""))</f>
        <v/>
      </c>
      <c r="CM24" s="69" t="str">
        <f ca="1">IF(AND($C24="Goal",CM$8&gt;=$G24,CM$8&lt;=$G24+$H24-1),2,IF(AND($C24="Milestone",CM$8&gt;=$G24,CM$8&lt;=$G24+$H24-1),1,""))</f>
        <v/>
      </c>
      <c r="CN24" s="69" t="str">
        <f ca="1">IF(AND($C24="Goal",CN$8&gt;=$G24,CN$8&lt;=$G24+$H24-1),2,IF(AND($C24="Milestone",CN$8&gt;=$G24,CN$8&lt;=$G24+$H24-1),1,""))</f>
        <v/>
      </c>
      <c r="CO24" s="69" t="str">
        <f ca="1">IF(AND($C24="Goal",CO$8&gt;=$G24,CO$8&lt;=$G24+$H24-1),2,IF(AND($C24="Milestone",CO$8&gt;=$G24,CO$8&lt;=$G24+$H24-1),1,""))</f>
        <v/>
      </c>
      <c r="CP24" s="69" t="str">
        <f ca="1">IF(AND($C24="Goal",CP$8&gt;=$G24,CP$8&lt;=$G24+$H24-1),2,IF(AND($C24="Milestone",CP$8&gt;=$G24,CP$8&lt;=$G24+$H24-1),1,""))</f>
        <v/>
      </c>
      <c r="CQ24" s="69" t="str">
        <f ca="1">IF(AND($C24="Goal",CQ$8&gt;=$G24,CQ$8&lt;=$G24+$H24-1),2,IF(AND($C24="Milestone",CQ$8&gt;=$G24,CQ$8&lt;=$G24+$H24-1),1,""))</f>
        <v/>
      </c>
      <c r="CR24" s="69" t="str">
        <f ca="1">IF(AND($C24="Goal",CR$8&gt;=$G24,CR$8&lt;=$G24+$H24-1),2,IF(AND($C24="Milestone",CR$8&gt;=$G24,CR$8&lt;=$G24+$H24-1),1,""))</f>
        <v/>
      </c>
      <c r="CS24" s="69" t="str">
        <f ca="1">IF(AND($C24="Goal",CS$8&gt;=$G24,CS$8&lt;=$G24+$H24-1),2,IF(AND($C24="Milestone",CS$8&gt;=$G24,CS$8&lt;=$G24+$H24-1),1,""))</f>
        <v/>
      </c>
      <c r="CT24" s="69" t="str">
        <f ca="1">IF(AND($C24="Goal",CT$8&gt;=$G24,CT$8&lt;=$G24+$H24-1),2,IF(AND($C24="Milestone",CT$8&gt;=$G24,CT$8&lt;=$G24+$H24-1),1,""))</f>
        <v/>
      </c>
      <c r="CU24" s="69" t="str">
        <f ca="1">IF(AND($C24="Goal",CU$8&gt;=$G24,CU$8&lt;=$G24+$H24-1),2,IF(AND($C24="Milestone",CU$8&gt;=$G24,CU$8&lt;=$G24+$H24-1),1,""))</f>
        <v/>
      </c>
      <c r="CV24" s="69" t="str">
        <f ca="1">IF(AND($C24="Goal",CV$8&gt;=$G24,CV$8&lt;=$G24+$H24-1),2,IF(AND($C24="Milestone",CV$8&gt;=$G24,CV$8&lt;=$G24+$H24-1),1,""))</f>
        <v/>
      </c>
      <c r="CW24" s="69" t="str">
        <f ca="1">IF(AND($C24="Goal",CW$8&gt;=$G24,CW$8&lt;=$G24+$H24-1),2,IF(AND($C24="Milestone",CW$8&gt;=$G24,CW$8&lt;=$G24+$H24-1),1,""))</f>
        <v/>
      </c>
      <c r="CX24" s="69" t="str">
        <f ca="1">IF(AND($C24="Goal",CX$8&gt;=$G24,CX$8&lt;=$G24+$H24-1),2,IF(AND($C24="Milestone",CX$8&gt;=$G24,CX$8&lt;=$G24+$H24-1),1,""))</f>
        <v/>
      </c>
      <c r="CY24" s="69" t="str">
        <f ca="1">IF(AND($C24="Goal",CY$8&gt;=$G24,CY$8&lt;=$G24+$H24-1),2,IF(AND($C24="Milestone",CY$8&gt;=$G24,CY$8&lt;=$G24+$H24-1),1,""))</f>
        <v/>
      </c>
      <c r="CZ24" s="69" t="str">
        <f ca="1">IF(AND($C24="Goal",CZ$8&gt;=$G24,CZ$8&lt;=$G24+$H24-1),2,IF(AND($C24="Milestone",CZ$8&gt;=$G24,CZ$8&lt;=$G24+$H24-1),1,""))</f>
        <v/>
      </c>
      <c r="DA24" s="69" t="str">
        <f ca="1">IF(AND($C24="Goal",DA$8&gt;=$G24,DA$8&lt;=$G24+$H24-1),2,IF(AND($C24="Milestone",DA$8&gt;=$G24,DA$8&lt;=$G24+$H24-1),1,""))</f>
        <v/>
      </c>
      <c r="DB24" s="69" t="str">
        <f ca="1">IF(AND($C24="Goal",DB$8&gt;=$G24,DB$8&lt;=$G24+$H24-1),2,IF(AND($C24="Milestone",DB$8&gt;=$G24,DB$8&lt;=$G24+$H24-1),1,""))</f>
        <v/>
      </c>
      <c r="DC24" s="69" t="str">
        <f ca="1">IF(AND($C24="Goal",DC$8&gt;=$G24,DC$8&lt;=$G24+$H24-1),2,IF(AND($C24="Milestone",DC$8&gt;=$G24,DC$8&lt;=$G24+$H24-1),1,""))</f>
        <v/>
      </c>
      <c r="DD24" s="69" t="str">
        <f ca="1">IF(AND($C24="Goal",DD$8&gt;=$G24,DD$8&lt;=$G24+$H24-1),2,IF(AND($C24="Milestone",DD$8&gt;=$G24,DD$8&lt;=$G24+$H24-1),1,""))</f>
        <v/>
      </c>
      <c r="DE24" s="69" t="str">
        <f ca="1">IF(AND($C24="Goal",DE$8&gt;=$G24,DE$8&lt;=$G24+$H24-1),2,IF(AND($C24="Milestone",DE$8&gt;=$G24,DE$8&lt;=$G24+$H24-1),1,""))</f>
        <v/>
      </c>
      <c r="DF24" s="69" t="str">
        <f ca="1">IF(AND($C24="Goal",DF$8&gt;=$G24,DF$8&lt;=$G24+$H24-1),2,IF(AND($C24="Milestone",DF$8&gt;=$G24,DF$8&lt;=$G24+$H24-1),1,""))</f>
        <v/>
      </c>
      <c r="DG24" s="69" t="str">
        <f ca="1">IF(AND($C24="Goal",DG$8&gt;=$G24,DG$8&lt;=$G24+$H24-1),2,IF(AND($C24="Milestone",DG$8&gt;=$G24,DG$8&lt;=$G24+$H24-1),1,""))</f>
        <v/>
      </c>
      <c r="DH24" s="69" t="str">
        <f ca="1">IF(AND($C24="Goal",DH$8&gt;=$G24,DH$8&lt;=$G24+$H24-1),2,IF(AND($C24="Milestone",DH$8&gt;=$G24,DH$8&lt;=$G24+$H24-1),1,""))</f>
        <v/>
      </c>
      <c r="DI24" s="69" t="str">
        <f ca="1">IF(AND($C24="Goal",DI$8&gt;=$G24,DI$8&lt;=$G24+$H24-1),2,IF(AND($C24="Milestone",DI$8&gt;=$G24,DI$8&lt;=$G24+$H24-1),1,""))</f>
        <v/>
      </c>
      <c r="DJ24" s="69" t="str">
        <f ca="1">IF(AND($C24="Goal",DJ$8&gt;=$G24,DJ$8&lt;=$G24+$H24-1),2,IF(AND($C24="Milestone",DJ$8&gt;=$G24,DJ$8&lt;=$G24+$H24-1),1,""))</f>
        <v/>
      </c>
      <c r="DK24" s="69" t="str">
        <f ca="1">IF(AND($C24="Goal",DK$8&gt;=$G24,DK$8&lt;=$G24+$H24-1),2,IF(AND($C24="Milestone",DK$8&gt;=$G24,DK$8&lt;=$G24+$H24-1),1,""))</f>
        <v/>
      </c>
      <c r="DL24" s="69" t="str">
        <f ca="1">IF(AND($C24="Goal",DL$8&gt;=$G24,DL$8&lt;=$G24+$H24-1),2,IF(AND($C24="Milestone",DL$8&gt;=$G24,DL$8&lt;=$G24+$H24-1),1,""))</f>
        <v/>
      </c>
      <c r="DM24" s="69" t="str">
        <f ca="1">IF(AND($C24="Goal",DM$8&gt;=$G24,DM$8&lt;=$G24+$H24-1),2,IF(AND($C24="Milestone",DM$8&gt;=$G24,DM$8&lt;=$G24+$H24-1),1,""))</f>
        <v/>
      </c>
      <c r="DN24" s="69" t="str">
        <f ca="1">IF(AND($C24="Goal",DN$8&gt;=$G24,DN$8&lt;=$G24+$H24-1),2,IF(AND($C24="Milestone",DN$8&gt;=$G24,DN$8&lt;=$G24+$H24-1),1,""))</f>
        <v/>
      </c>
      <c r="DO24" s="69" t="str">
        <f ca="1">IF(AND($C24="Goal",DO$8&gt;=$G24,DO$8&lt;=$G24+$H24-1),2,IF(AND($C24="Milestone",DO$8&gt;=$G24,DO$8&lt;=$G24+$H24-1),1,""))</f>
        <v/>
      </c>
      <c r="DP24" s="69" t="str">
        <f ca="1">IF(AND($C24="Goal",DP$8&gt;=$G24,DP$8&lt;=$G24+$H24-1),2,IF(AND($C24="Milestone",DP$8&gt;=$G24,DP$8&lt;=$G24+$H24-1),1,""))</f>
        <v/>
      </c>
      <c r="DQ24" s="69" t="str">
        <f ca="1">IF(AND($C24="Goal",DQ$8&gt;=$G24,DQ$8&lt;=$G24+$H24-1),2,IF(AND($C24="Milestone",DQ$8&gt;=$G24,DQ$8&lt;=$G24+$H24-1),1,""))</f>
        <v/>
      </c>
      <c r="DR24" s="69" t="str">
        <f ca="1">IF(AND($C24="Goal",DR$8&gt;=$G24,DR$8&lt;=$G24+$H24-1),2,IF(AND($C24="Milestone",DR$8&gt;=$G24,DR$8&lt;=$G24+$H24-1),1,""))</f>
        <v/>
      </c>
      <c r="DS24" s="69" t="str">
        <f ca="1">IF(AND($C24="Goal",DS$8&gt;=$G24,DS$8&lt;=$G24+$H24-1),2,IF(AND($C24="Milestone",DS$8&gt;=$G24,DS$8&lt;=$G24+$H24-1),1,""))</f>
        <v/>
      </c>
      <c r="DT24" s="69" t="str">
        <f ca="1">IF(AND($C24="Goal",DT$8&gt;=$G24,DT$8&lt;=$G24+$H24-1),2,IF(AND($C24="Milestone",DT$8&gt;=$G24,DT$8&lt;=$G24+$H24-1),1,""))</f>
        <v/>
      </c>
      <c r="DU24" s="69" t="str">
        <f ca="1">IF(AND($C24="Goal",DU$8&gt;=$G24,DU$8&lt;=$G24+$H24-1),2,IF(AND($C24="Milestone",DU$8&gt;=$G24,DU$8&lt;=$G24+$H24-1),1,""))</f>
        <v/>
      </c>
      <c r="DV24" s="69" t="str">
        <f ca="1">IF(AND($C24="Goal",DV$8&gt;=$G24,DV$8&lt;=$G24+$H24-1),2,IF(AND($C24="Milestone",DV$8&gt;=$G24,DV$8&lt;=$G24+$H24-1),1,""))</f>
        <v/>
      </c>
      <c r="DW24" s="69" t="str">
        <f ca="1">IF(AND($C24="Goal",DW$8&gt;=$G24,DW$8&lt;=$G24+$H24-1),2,IF(AND($C24="Milestone",DW$8&gt;=$G24,DW$8&lt;=$G24+$H24-1),1,""))</f>
        <v/>
      </c>
      <c r="DX24" s="69" t="str">
        <f ca="1">IF(AND($C24="Goal",DX$8&gt;=$G24,DX$8&lt;=$G24+$H24-1),2,IF(AND($C24="Milestone",DX$8&gt;=$G24,DX$8&lt;=$G24+$H24-1),1,""))</f>
        <v/>
      </c>
      <c r="DY24" s="69" t="str">
        <f ca="1">IF(AND($C24="Goal",DY$8&gt;=$G24,DY$8&lt;=$G24+$H24-1),2,IF(AND($C24="Milestone",DY$8&gt;=$G24,DY$8&lt;=$G24+$H24-1),1,""))</f>
        <v/>
      </c>
      <c r="DZ24" s="69" t="str">
        <f ca="1">IF(AND($C24="Goal",DZ$8&gt;=$G24,DZ$8&lt;=$G24+$H24-1),2,IF(AND($C24="Milestone",DZ$8&gt;=$G24,DZ$8&lt;=$G24+$H24-1),1,""))</f>
        <v/>
      </c>
      <c r="EA24" s="69" t="str">
        <f ca="1">IF(AND($C24="Goal",EA$8&gt;=$G24,EA$8&lt;=$G24+$H24-1),2,IF(AND($C24="Milestone",EA$8&gt;=$G24,EA$8&lt;=$G24+$H24-1),1,""))</f>
        <v/>
      </c>
      <c r="EB24" s="69" t="str">
        <f ca="1">IF(AND($C24="Goal",EB$8&gt;=$G24,EB$8&lt;=$G24+$H24-1),2,IF(AND($C24="Milestone",EB$8&gt;=$G24,EB$8&lt;=$G24+$H24-1),1,""))</f>
        <v/>
      </c>
      <c r="EC24" s="69" t="str">
        <f ca="1">IF(AND($C24="Goal",EC$8&gt;=$G24,EC$8&lt;=$G24+$H24-1),2,IF(AND($C24="Milestone",EC$8&gt;=$G24,EC$8&lt;=$G24+$H24-1),1,""))</f>
        <v/>
      </c>
      <c r="ED24" s="69" t="str">
        <f ca="1">IF(AND($C24="Goal",ED$8&gt;=$G24,ED$8&lt;=$G24+$H24-1),2,IF(AND($C24="Milestone",ED$8&gt;=$G24,ED$8&lt;=$G24+$H24-1),1,""))</f>
        <v/>
      </c>
      <c r="EE24" s="69" t="str">
        <f ca="1">IF(AND($C24="Goal",EE$8&gt;=$G24,EE$8&lt;=$G24+$H24-1),2,IF(AND($C24="Milestone",EE$8&gt;=$G24,EE$8&lt;=$G24+$H24-1),1,""))</f>
        <v/>
      </c>
      <c r="EF24" s="69" t="str">
        <f ca="1">IF(AND($C24="Goal",EF$8&gt;=$G24,EF$8&lt;=$G24+$H24-1),2,IF(AND($C24="Milestone",EF$8&gt;=$G24,EF$8&lt;=$G24+$H24-1),1,""))</f>
        <v/>
      </c>
      <c r="EG24" s="69" t="str">
        <f ca="1">IF(AND($C24="Goal",EG$8&gt;=$G24,EG$8&lt;=$G24+$H24-1),2,IF(AND($C24="Milestone",EG$8&gt;=$G24,EG$8&lt;=$G24+$H24-1),1,""))</f>
        <v/>
      </c>
      <c r="EH24" s="69" t="str">
        <f ca="1">IF(AND($C24="Goal",EH$8&gt;=$G24,EH$8&lt;=$G24+$H24-1),2,IF(AND($C24="Milestone",EH$8&gt;=$G24,EH$8&lt;=$G24+$H24-1),1,""))</f>
        <v/>
      </c>
      <c r="EI24" s="69" t="str">
        <f ca="1">IF(AND($C24="Goal",EI$8&gt;=$G24,EI$8&lt;=$G24+$H24-1),2,IF(AND($C24="Milestone",EI$8&gt;=$G24,EI$8&lt;=$G24+$H24-1),1,""))</f>
        <v/>
      </c>
      <c r="EJ24" s="69" t="str">
        <f ca="1">IF(AND($C24="Goal",EJ$8&gt;=$G24,EJ$8&lt;=$G24+$H24-1),2,IF(AND($C24="Milestone",EJ$8&gt;=$G24,EJ$8&lt;=$G24+$H24-1),1,""))</f>
        <v/>
      </c>
      <c r="EK24" s="69" t="str">
        <f ca="1">IF(AND($C24="Goal",EK$8&gt;=$G24,EK$8&lt;=$G24+$H24-1),2,IF(AND($C24="Milestone",EK$8&gt;=$G24,EK$8&lt;=$G24+$H24-1),1,""))</f>
        <v/>
      </c>
      <c r="EL24" s="69" t="str">
        <f ca="1">IF(AND($C24="Goal",EL$8&gt;=$G24,EL$8&lt;=$G24+$H24-1),2,IF(AND($C24="Milestone",EL$8&gt;=$G24,EL$8&lt;=$G24+$H24-1),1,""))</f>
        <v/>
      </c>
      <c r="EM24" s="69" t="str">
        <f ca="1">IF(AND($C24="Goal",EM$8&gt;=$G24,EM$8&lt;=$G24+$H24-1),2,IF(AND($C24="Milestone",EM$8&gt;=$G24,EM$8&lt;=$G24+$H24-1),1,""))</f>
        <v/>
      </c>
      <c r="EN24" s="69" t="str">
        <f ca="1">IF(AND($C24="Goal",EN$8&gt;=$G24,EN$8&lt;=$G24+$H24-1),2,IF(AND($C24="Milestone",EN$8&gt;=$G24,EN$8&lt;=$G24+$H24-1),1,""))</f>
        <v/>
      </c>
      <c r="EO24" s="69" t="str">
        <f ca="1">IF(AND($C24="Goal",EO$8&gt;=$G24,EO$8&lt;=$G24+$H24-1),2,IF(AND($C24="Milestone",EO$8&gt;=$G24,EO$8&lt;=$G24+$H24-1),1,""))</f>
        <v/>
      </c>
      <c r="EP24" s="69" t="str">
        <f ca="1">IF(AND($C24="Goal",EP$8&gt;=$G24,EP$8&lt;=$G24+$H24-1),2,IF(AND($C24="Milestone",EP$8&gt;=$G24,EP$8&lt;=$G24+$H24-1),1,""))</f>
        <v/>
      </c>
      <c r="EQ24" s="69" t="str">
        <f ca="1">IF(AND($C24="Goal",EQ$8&gt;=$G24,EQ$8&lt;=$G24+$H24-1),2,IF(AND($C24="Milestone",EQ$8&gt;=$G24,EQ$8&lt;=$G24+$H24-1),1,""))</f>
        <v/>
      </c>
      <c r="ER24" s="69" t="str">
        <f ca="1">IF(AND($C24="Goal",ER$8&gt;=$G24,ER$8&lt;=$G24+$H24-1),2,IF(AND($C24="Milestone",ER$8&gt;=$G24,ER$8&lt;=$G24+$H24-1),1,""))</f>
        <v/>
      </c>
      <c r="ES24" s="69" t="str">
        <f ca="1">IF(AND($C24="Goal",ES$8&gt;=$G24,ES$8&lt;=$G24+$H24-1),2,IF(AND($C24="Milestone",ES$8&gt;=$G24,ES$8&lt;=$G24+$H24-1),1,""))</f>
        <v/>
      </c>
      <c r="ET24" s="69" t="str">
        <f ca="1">IF(AND($C24="Goal",ET$8&gt;=$G24,ET$8&lt;=$G24+$H24-1),2,IF(AND($C24="Milestone",ET$8&gt;=$G24,ET$8&lt;=$G24+$H24-1),1,""))</f>
        <v/>
      </c>
      <c r="EU24" s="69" t="str">
        <f ca="1">IF(AND($C24="Goal",EU$8&gt;=$G24,EU$8&lt;=$G24+$H24-1),2,IF(AND($C24="Milestone",EU$8&gt;=$G24,EU$8&lt;=$G24+$H24-1),1,""))</f>
        <v/>
      </c>
      <c r="EV24" s="69" t="str">
        <f ca="1">IF(AND($C24="Goal",EV$8&gt;=$G24,EV$8&lt;=$G24+$H24-1),2,IF(AND($C24="Milestone",EV$8&gt;=$G24,EV$8&lt;=$G24+$H24-1),1,""))</f>
        <v/>
      </c>
      <c r="EW24" s="69" t="str">
        <f ca="1">IF(AND($C24="Goal",EW$8&gt;=$G24,EW$8&lt;=$G24+$H24-1),2,IF(AND($C24="Milestone",EW$8&gt;=$G24,EW$8&lt;=$G24+$H24-1),1,""))</f>
        <v/>
      </c>
      <c r="EX24" s="69" t="str">
        <f ca="1">IF(AND($C24="Goal",EX$8&gt;=$G24,EX$8&lt;=$G24+$H24-1),2,IF(AND($C24="Milestone",EX$8&gt;=$G24,EX$8&lt;=$G24+$H24-1),1,""))</f>
        <v/>
      </c>
      <c r="EY24" s="69" t="str">
        <f ca="1">IF(AND($C24="Goal",EY$8&gt;=$G24,EY$8&lt;=$G24+$H24-1),2,IF(AND($C24="Milestone",EY$8&gt;=$G24,EY$8&lt;=$G24+$H24-1),1,""))</f>
        <v/>
      </c>
      <c r="EZ24" s="69" t="str">
        <f ca="1">IF(AND($C24="Goal",EZ$8&gt;=$G24,EZ$8&lt;=$G24+$H24-1),2,IF(AND($C24="Milestone",EZ$8&gt;=$G24,EZ$8&lt;=$G24+$H24-1),1,""))</f>
        <v/>
      </c>
      <c r="FA24" s="69" t="str">
        <f ca="1">IF(AND($C24="Goal",FA$8&gt;=$G24,FA$8&lt;=$G24+$H24-1),2,IF(AND($C24="Milestone",FA$8&gt;=$G24,FA$8&lt;=$G24+$H24-1),1,""))</f>
        <v/>
      </c>
      <c r="FB24" s="69" t="str">
        <f ca="1">IF(AND($C24="Goal",FB$8&gt;=$G24,FB$8&lt;=$G24+$H24-1),2,IF(AND($C24="Milestone",FB$8&gt;=$G24,FB$8&lt;=$G24+$H24-1),1,""))</f>
        <v/>
      </c>
      <c r="FC24" s="69" t="str">
        <f ca="1">IF(AND($C24="Goal",FC$8&gt;=$G24,FC$8&lt;=$G24+$H24-1),2,IF(AND($C24="Milestone",FC$8&gt;=$G24,FC$8&lt;=$G24+$H24-1),1,""))</f>
        <v/>
      </c>
      <c r="FD24" s="69" t="str">
        <f ca="1">IF(AND($C24="Goal",FD$8&gt;=$G24,FD$8&lt;=$G24+$H24-1),2,IF(AND($C24="Milestone",FD$8&gt;=$G24,FD$8&lt;=$G24+$H24-1),1,""))</f>
        <v/>
      </c>
      <c r="FE24" s="69" t="str">
        <f ca="1">IF(AND($C24="Goal",FE$8&gt;=$G24,FE$8&lt;=$G24+$H24-1),2,IF(AND($C24="Milestone",FE$8&gt;=$G24,FE$8&lt;=$G24+$H24-1),1,""))</f>
        <v/>
      </c>
      <c r="FF24" s="69" t="str">
        <f ca="1">IF(AND($C24="Goal",FF$8&gt;=$G24,FF$8&lt;=$G24+$H24-1),2,IF(AND($C24="Milestone",FF$8&gt;=$G24,FF$8&lt;=$G24+$H24-1),1,""))</f>
        <v/>
      </c>
      <c r="FG24" s="69" t="str">
        <f ca="1">IF(AND($C24="Goal",FG$8&gt;=$G24,FG$8&lt;=$G24+$H24-1),2,IF(AND($C24="Milestone",FG$8&gt;=$G24,FG$8&lt;=$G24+$H24-1),1,""))</f>
        <v/>
      </c>
      <c r="FH24" s="69" t="str">
        <f ca="1">IF(AND($C24="Goal",FH$8&gt;=$G24,FH$8&lt;=$G24+$H24-1),2,IF(AND($C24="Milestone",FH$8&gt;=$G24,FH$8&lt;=$G24+$H24-1),1,""))</f>
        <v/>
      </c>
      <c r="FI24" s="69" t="str">
        <f ca="1">IF(AND($C24="Goal",FI$8&gt;=$G24,FI$8&lt;=$G24+$H24-1),2,IF(AND($C24="Milestone",FI$8&gt;=$G24,FI$8&lt;=$G24+$H24-1),1,""))</f>
        <v/>
      </c>
      <c r="FJ24" s="69" t="str">
        <f ca="1">IF(AND($C24="Goal",FJ$8&gt;=$G24,FJ$8&lt;=$G24+$H24-1),2,IF(AND($C24="Milestone",FJ$8&gt;=$G24,FJ$8&lt;=$G24+$H24-1),1,""))</f>
        <v/>
      </c>
      <c r="FK24" s="69" t="str">
        <f ca="1">IF(AND($C24="Goal",FK$8&gt;=$G24,FK$8&lt;=$G24+$H24-1),2,IF(AND($C24="Milestone",FK$8&gt;=$G24,FK$8&lt;=$G24+$H24-1),1,""))</f>
        <v/>
      </c>
      <c r="FL24" s="69" t="str">
        <f ca="1">IF(AND($C24="Goal",FL$8&gt;=$G24,FL$8&lt;=$G24+$H24-1),2,IF(AND($C24="Milestone",FL$8&gt;=$G24,FL$8&lt;=$G24+$H24-1),1,""))</f>
        <v/>
      </c>
      <c r="FM24" s="69" t="str">
        <f ca="1">IF(AND($C24="Goal",FM$8&gt;=$G24,FM$8&lt;=$G24+$H24-1),2,IF(AND($C24="Milestone",FM$8&gt;=$G24,FM$8&lt;=$G24+$H24-1),1,""))</f>
        <v/>
      </c>
      <c r="FN24" s="69" t="str">
        <f ca="1">IF(AND($C24="Goal",FN$8&gt;=$G24,FN$8&lt;=$G24+$H24-1),2,IF(AND($C24="Milestone",FN$8&gt;=$G24,FN$8&lt;=$G24+$H24-1),1,""))</f>
        <v/>
      </c>
      <c r="FO24" s="69" t="str">
        <f ca="1">IF(AND($C24="Goal",FO$8&gt;=$G24,FO$8&lt;=$G24+$H24-1),2,IF(AND($C24="Milestone",FO$8&gt;=$G24,FO$8&lt;=$G24+$H24-1),1,""))</f>
        <v/>
      </c>
      <c r="FP24" s="69" t="str">
        <f ca="1">IF(AND($C24="Goal",FP$8&gt;=$G24,FP$8&lt;=$G24+$H24-1),2,IF(AND($C24="Milestone",FP$8&gt;=$G24,FP$8&lt;=$G24+$H24-1),1,""))</f>
        <v/>
      </c>
      <c r="FQ24" s="69" t="str">
        <f ca="1">IF(AND($C24="Goal",FQ$8&gt;=$G24,FQ$8&lt;=$G24+$H24-1),2,IF(AND($C24="Milestone",FQ$8&gt;=$G24,FQ$8&lt;=$G24+$H24-1),1,""))</f>
        <v/>
      </c>
      <c r="FR24" s="69" t="str">
        <f ca="1">IF(AND($C24="Goal",FR$8&gt;=$G24,FR$8&lt;=$G24+$H24-1),2,IF(AND($C24="Milestone",FR$8&gt;=$G24,FR$8&lt;=$G24+$H24-1),1,""))</f>
        <v/>
      </c>
      <c r="FS24" s="69" t="str">
        <f ca="1">IF(AND($C24="Goal",FS$8&gt;=$G24,FS$8&lt;=$G24+$H24-1),2,IF(AND($C24="Milestone",FS$8&gt;=$G24,FS$8&lt;=$G24+$H24-1),1,""))</f>
        <v/>
      </c>
      <c r="FT24" s="69" t="str">
        <f ca="1">IF(AND($C24="Goal",FT$8&gt;=$G24,FT$8&lt;=$G24+$H24-1),2,IF(AND($C24="Milestone",FT$8&gt;=$G24,FT$8&lt;=$G24+$H24-1),1,""))</f>
        <v/>
      </c>
      <c r="FU24" s="69" t="str">
        <f ca="1">IF(AND($C24="Goal",FU$8&gt;=$G24,FU$8&lt;=$G24+$H24-1),2,IF(AND($C24="Milestone",FU$8&gt;=$G24,FU$8&lt;=$G24+$H24-1),1,""))</f>
        <v/>
      </c>
      <c r="FV24" s="69" t="str">
        <f ca="1">IF(AND($C24="Goal",FV$8&gt;=$G24,FV$8&lt;=$G24+$H24-1),2,IF(AND($C24="Milestone",FV$8&gt;=$G24,FV$8&lt;=$G24+$H24-1),1,""))</f>
        <v/>
      </c>
      <c r="FW24" s="69" t="str">
        <f ca="1">IF(AND($C24="Goal",FW$8&gt;=$G24,FW$8&lt;=$G24+$H24-1),2,IF(AND($C24="Milestone",FW$8&gt;=$G24,FW$8&lt;=$G24+$H24-1),1,""))</f>
        <v/>
      </c>
      <c r="FX24" s="69" t="str">
        <f ca="1">IF(AND($C24="Goal",FX$8&gt;=$G24,FX$8&lt;=$G24+$H24-1),2,IF(AND($C24="Milestone",FX$8&gt;=$G24,FX$8&lt;=$G24+$H24-1),1,""))</f>
        <v/>
      </c>
      <c r="FY24" s="69" t="str">
        <f ca="1">IF(AND($C24="Goal",FY$8&gt;=$G24,FY$8&lt;=$G24+$H24-1),2,IF(AND($C24="Milestone",FY$8&gt;=$G24,FY$8&lt;=$G24+$H24-1),1,""))</f>
        <v/>
      </c>
      <c r="FZ24" s="69" t="str">
        <f ca="1">IF(AND($C24="Goal",FZ$8&gt;=$G24,FZ$8&lt;=$G24+$H24-1),2,IF(AND($C24="Milestone",FZ$8&gt;=$G24,FZ$8&lt;=$G24+$H24-1),1,""))</f>
        <v/>
      </c>
      <c r="GA24" s="69" t="str">
        <f ca="1">IF(AND($C24="Goal",GA$8&gt;=$G24,GA$8&lt;=$G24+$H24-1),2,IF(AND($C24="Milestone",GA$8&gt;=$G24,GA$8&lt;=$G24+$H24-1),1,""))</f>
        <v/>
      </c>
      <c r="GB24" s="69" t="str">
        <f ca="1">IF(AND($C24="Goal",GB$8&gt;=$G24,GB$8&lt;=$G24+$H24-1),2,IF(AND($C24="Milestone",GB$8&gt;=$G24,GB$8&lt;=$G24+$H24-1),1,""))</f>
        <v/>
      </c>
      <c r="GC24" s="69" t="str">
        <f ca="1">IF(AND($C24="Goal",GC$8&gt;=$G24,GC$8&lt;=$G24+$H24-1),2,IF(AND($C24="Milestone",GC$8&gt;=$G24,GC$8&lt;=$G24+$H24-1),1,""))</f>
        <v/>
      </c>
      <c r="GD24" s="69" t="str">
        <f ca="1">IF(AND($C24="Goal",GD$8&gt;=$G24,GD$8&lt;=$G24+$H24-1),2,IF(AND($C24="Milestone",GD$8&gt;=$G24,GD$8&lt;=$G24+$H24-1),1,""))</f>
        <v/>
      </c>
      <c r="GE24" s="69" t="str">
        <f ca="1">IF(AND($C24="Goal",GE$8&gt;=$G24,GE$8&lt;=$G24+$H24-1),2,IF(AND($C24="Milestone",GE$8&gt;=$G24,GE$8&lt;=$G24+$H24-1),1,""))</f>
        <v/>
      </c>
      <c r="GF24" s="69" t="str">
        <f ca="1">IF(AND($C24="Goal",GF$8&gt;=$G24,GF$8&lt;=$G24+$H24-1),2,IF(AND($C24="Milestone",GF$8&gt;=$G24,GF$8&lt;=$G24+$H24-1),1,""))</f>
        <v/>
      </c>
      <c r="GG24" s="69" t="str">
        <f ca="1">IF(AND($C24="Goal",GG$8&gt;=$G24,GG$8&lt;=$G24+$H24-1),2,IF(AND($C24="Milestone",GG$8&gt;=$G24,GG$8&lt;=$G24+$H24-1),1,""))</f>
        <v/>
      </c>
      <c r="GH24" s="69" t="str">
        <f ca="1">IF(AND($C24="Goal",GH$8&gt;=$G24,GH$8&lt;=$G24+$H24-1),2,IF(AND($C24="Milestone",GH$8&gt;=$G24,GH$8&lt;=$G24+$H24-1),1,""))</f>
        <v/>
      </c>
      <c r="GI24" s="69" t="str">
        <f ca="1">IF(AND($C24="Goal",GI$8&gt;=$G24,GI$8&lt;=$G24+$H24-1),2,IF(AND($C24="Milestone",GI$8&gt;=$G24,GI$8&lt;=$G24+$H24-1),1,""))</f>
        <v/>
      </c>
      <c r="GJ24" s="69" t="str">
        <f ca="1">IF(AND($C24="Goal",GJ$8&gt;=$G24,GJ$8&lt;=$G24+$H24-1),2,IF(AND($C24="Milestone",GJ$8&gt;=$G24,GJ$8&lt;=$G24+$H24-1),1,""))</f>
        <v/>
      </c>
      <c r="GK24" s="69" t="str">
        <f ca="1">IF(AND($C24="Goal",GK$8&gt;=$G24,GK$8&lt;=$G24+$H24-1),2,IF(AND($C24="Milestone",GK$8&gt;=$G24,GK$8&lt;=$G24+$H24-1),1,""))</f>
        <v/>
      </c>
      <c r="GL24" s="69" t="str">
        <f ca="1">IF(AND($C24="Goal",GL$8&gt;=$G24,GL$8&lt;=$G24+$H24-1),2,IF(AND($C24="Milestone",GL$8&gt;=$G24,GL$8&lt;=$G24+$H24-1),1,""))</f>
        <v/>
      </c>
      <c r="GM24" s="69" t="str">
        <f ca="1">IF(AND($C24="Goal",GM$8&gt;=$G24,GM$8&lt;=$G24+$H24-1),2,IF(AND($C24="Milestone",GM$8&gt;=$G24,GM$8&lt;=$G24+$H24-1),1,""))</f>
        <v/>
      </c>
      <c r="GN24" s="69" t="str">
        <f ca="1">IF(AND($C24="Goal",GN$8&gt;=$G24,GN$8&lt;=$G24+$H24-1),2,IF(AND($C24="Milestone",GN$8&gt;=$G24,GN$8&lt;=$G24+$H24-1),1,""))</f>
        <v/>
      </c>
      <c r="GO24" s="69" t="str">
        <f ca="1">IF(AND($C24="Goal",GO$8&gt;=$G24,GO$8&lt;=$G24+$H24-1),2,IF(AND($C24="Milestone",GO$8&gt;=$G24,GO$8&lt;=$G24+$H24-1),1,""))</f>
        <v/>
      </c>
      <c r="GP24" s="69" t="str">
        <f ca="1">IF(AND($C24="Goal",GP$8&gt;=$G24,GP$8&lt;=$G24+$H24-1),2,IF(AND($C24="Milestone",GP$8&gt;=$G24,GP$8&lt;=$G24+$H24-1),1,""))</f>
        <v/>
      </c>
      <c r="GQ24" s="69" t="str">
        <f ca="1">IF(AND($C24="Goal",GQ$8&gt;=$G24,GQ$8&lt;=$G24+$H24-1),2,IF(AND($C24="Milestone",GQ$8&gt;=$G24,GQ$8&lt;=$G24+$H24-1),1,""))</f>
        <v/>
      </c>
      <c r="GR24" s="69" t="str">
        <f ca="1">IF(AND($C24="Goal",GR$8&gt;=$G24,GR$8&lt;=$G24+$H24-1),2,IF(AND($C24="Milestone",GR$8&gt;=$G24,GR$8&lt;=$G24+$H24-1),1,""))</f>
        <v/>
      </c>
      <c r="GS24" s="69" t="str">
        <f ca="1">IF(AND($C24="Goal",GS$8&gt;=$G24,GS$8&lt;=$G24+$H24-1),2,IF(AND($C24="Milestone",GS$8&gt;=$G24,GS$8&lt;=$G24+$H24-1),1,""))</f>
        <v/>
      </c>
      <c r="GT24" s="69" t="str">
        <f ca="1">IF(AND($C24="Goal",GT$8&gt;=$G24,GT$8&lt;=$G24+$H24-1),2,IF(AND($C24="Milestone",GT$8&gt;=$G24,GT$8&lt;=$G24+$H24-1),1,""))</f>
        <v/>
      </c>
      <c r="GU24" s="69" t="str">
        <f ca="1">IF(AND($C24="Goal",GU$8&gt;=$G24,GU$8&lt;=$G24+$H24-1),2,IF(AND($C24="Milestone",GU$8&gt;=$G24,GU$8&lt;=$G24+$H24-1),1,""))</f>
        <v/>
      </c>
      <c r="GV24" s="69" t="str">
        <f ca="1">IF(AND($C24="Goal",GV$8&gt;=$G24,GV$8&lt;=$G24+$H24-1),2,IF(AND($C24="Milestone",GV$8&gt;=$G24,GV$8&lt;=$G24+$H24-1),1,""))</f>
        <v/>
      </c>
      <c r="GW24" s="69" t="str">
        <f ca="1">IF(AND($C24="Goal",GW$8&gt;=$G24,GW$8&lt;=$G24+$H24-1),2,IF(AND($C24="Milestone",GW$8&gt;=$G24,GW$8&lt;=$G24+$H24-1),1,""))</f>
        <v/>
      </c>
      <c r="GX24" s="69" t="str">
        <f ca="1">IF(AND($C24="Goal",GX$8&gt;=$G24,GX$8&lt;=$G24+$H24-1),2,IF(AND($C24="Milestone",GX$8&gt;=$G24,GX$8&lt;=$G24+$H24-1),1,""))</f>
        <v/>
      </c>
      <c r="GY24" s="69" t="str">
        <f ca="1">IF(AND($C24="Goal",GY$8&gt;=$G24,GY$8&lt;=$G24+$H24-1),2,IF(AND($C24="Milestone",GY$8&gt;=$G24,GY$8&lt;=$G24+$H24-1),1,""))</f>
        <v/>
      </c>
      <c r="GZ24" s="69" t="str">
        <f ca="1">IF(AND($C24="Goal",GZ$8&gt;=$G24,GZ$8&lt;=$G24+$H24-1),2,IF(AND($C24="Milestone",GZ$8&gt;=$G24,GZ$8&lt;=$G24+$H24-1),1,""))</f>
        <v/>
      </c>
      <c r="HA24" s="69" t="str">
        <f ca="1">IF(AND($C24="Goal",HA$8&gt;=$G24,HA$8&lt;=$G24+$H24-1),2,IF(AND($C24="Milestone",HA$8&gt;=$G24,HA$8&lt;=$G24+$H24-1),1,""))</f>
        <v/>
      </c>
      <c r="HB24" s="69" t="str">
        <f ca="1">IF(AND($C24="Goal",HB$8&gt;=$G24,HB$8&lt;=$G24+$H24-1),2,IF(AND($C24="Milestone",HB$8&gt;=$G24,HB$8&lt;=$G24+$H24-1),1,""))</f>
        <v/>
      </c>
      <c r="HC24" s="69" t="str">
        <f ca="1">IF(AND($C24="Goal",HC$8&gt;=$G24,HC$8&lt;=$G24+$H24-1),2,IF(AND($C24="Milestone",HC$8&gt;=$G24,HC$8&lt;=$G24+$H24-1),1,""))</f>
        <v/>
      </c>
      <c r="HD24" s="69" t="str">
        <f ca="1">IF(AND($C24="Goal",HD$8&gt;=$G24,HD$8&lt;=$G24+$H24-1),2,IF(AND($C24="Milestone",HD$8&gt;=$G24,HD$8&lt;=$G24+$H24-1),1,""))</f>
        <v/>
      </c>
      <c r="HE24" s="69" t="str">
        <f ca="1">IF(AND($C24="Goal",HE$8&gt;=$G24,HE$8&lt;=$G24+$H24-1),2,IF(AND($C24="Milestone",HE$8&gt;=$G24,HE$8&lt;=$G24+$H24-1),1,""))</f>
        <v/>
      </c>
      <c r="HF24" s="69" t="str">
        <f ca="1">IF(AND($C24="Goal",HF$8&gt;=$G24,HF$8&lt;=$G24+$H24-1),2,IF(AND($C24="Milestone",HF$8&gt;=$G24,HF$8&lt;=$G24+$H24-1),1,""))</f>
        <v/>
      </c>
      <c r="HG24" s="69" t="str">
        <f ca="1">IF(AND($C24="Goal",HG$8&gt;=$G24,HG$8&lt;=$G24+$H24-1),2,IF(AND($C24="Milestone",HG$8&gt;=$G24,HG$8&lt;=$G24+$H24-1),1,""))</f>
        <v/>
      </c>
      <c r="HH24" s="69" t="str">
        <f ca="1">IF(AND($C24="Goal",HH$8&gt;=$G24,HH$8&lt;=$G24+$H24-1),2,IF(AND($C24="Milestone",HH$8&gt;=$G24,HH$8&lt;=$G24+$H24-1),1,""))</f>
        <v/>
      </c>
      <c r="HI24" s="69" t="str">
        <f ca="1">IF(AND($C24="Goal",HI$8&gt;=$G24,HI$8&lt;=$G24+$H24-1),2,IF(AND($C24="Milestone",HI$8&gt;=$G24,HI$8&lt;=$G24+$H24-1),1,""))</f>
        <v/>
      </c>
      <c r="HJ24" s="69" t="str">
        <f ca="1">IF(AND($C24="Goal",HJ$8&gt;=$G24,HJ$8&lt;=$G24+$H24-1),2,IF(AND($C24="Milestone",HJ$8&gt;=$G24,HJ$8&lt;=$G24+$H24-1),1,""))</f>
        <v/>
      </c>
      <c r="HK24" s="69" t="str">
        <f ca="1">IF(AND($C24="Goal",HK$8&gt;=$G24,HK$8&lt;=$G24+$H24-1),2,IF(AND($C24="Milestone",HK$8&gt;=$G24,HK$8&lt;=$G24+$H24-1),1,""))</f>
        <v/>
      </c>
      <c r="HL24" s="69" t="str">
        <f ca="1">IF(AND($C24="Goal",HL$8&gt;=$G24,HL$8&lt;=$G24+$H24-1),2,IF(AND($C24="Milestone",HL$8&gt;=$G24,HL$8&lt;=$G24+$H24-1),1,""))</f>
        <v/>
      </c>
      <c r="HM24" s="69" t="str">
        <f ca="1">IF(AND($C24="Goal",HM$8&gt;=$G24,HM$8&lt;=$G24+$H24-1),2,IF(AND($C24="Milestone",HM$8&gt;=$G24,HM$8&lt;=$G24+$H24-1),1,""))</f>
        <v/>
      </c>
      <c r="HN24" s="69" t="str">
        <f ca="1">IF(AND($C24="Goal",HN$8&gt;=$G24,HN$8&lt;=$G24+$H24-1),2,IF(AND($C24="Milestone",HN$8&gt;=$G24,HN$8&lt;=$G24+$H24-1),1,""))</f>
        <v/>
      </c>
      <c r="HO24" s="69" t="str">
        <f ca="1">IF(AND($C24="Goal",HO$8&gt;=$G24,HO$8&lt;=$G24+$H24-1),2,IF(AND($C24="Milestone",HO$8&gt;=$G24,HO$8&lt;=$G24+$H24-1),1,""))</f>
        <v/>
      </c>
      <c r="HP24" s="69" t="str">
        <f ca="1">IF(AND($C24="Goal",HP$8&gt;=$G24,HP$8&lt;=$G24+$H24-1),2,IF(AND($C24="Milestone",HP$8&gt;=$G24,HP$8&lt;=$G24+$H24-1),1,""))</f>
        <v/>
      </c>
      <c r="HQ24" s="69" t="str">
        <f ca="1">IF(AND($C24="Goal",HQ$8&gt;=$G24,HQ$8&lt;=$G24+$H24-1),2,IF(AND($C24="Milestone",HQ$8&gt;=$G24,HQ$8&lt;=$G24+$H24-1),1,""))</f>
        <v/>
      </c>
      <c r="HR24" s="69" t="str">
        <f ca="1">IF(AND($C24="Goal",HR$8&gt;=$G24,HR$8&lt;=$G24+$H24-1),2,IF(AND($C24="Milestone",HR$8&gt;=$G24,HR$8&lt;=$G24+$H24-1),1,""))</f>
        <v/>
      </c>
      <c r="HS24" s="69" t="str">
        <f ca="1">IF(AND($C24="Goal",HS$8&gt;=$G24,HS$8&lt;=$G24+$H24-1),2,IF(AND($C24="Milestone",HS$8&gt;=$G24,HS$8&lt;=$G24+$H24-1),1,""))</f>
        <v/>
      </c>
      <c r="HT24" s="69" t="str">
        <f ca="1">IF(AND($C24="Goal",HT$8&gt;=$G24,HT$8&lt;=$G24+$H24-1),2,IF(AND($C24="Milestone",HT$8&gt;=$G24,HT$8&lt;=$G24+$H24-1),1,""))</f>
        <v/>
      </c>
      <c r="HU24" s="69" t="str">
        <f ca="1">IF(AND($C24="Goal",HU$8&gt;=$G24,HU$8&lt;=$G24+$H24-1),2,IF(AND($C24="Milestone",HU$8&gt;=$G24,HU$8&lt;=$G24+$H24-1),1,""))</f>
        <v/>
      </c>
      <c r="HV24" s="69" t="str">
        <f ca="1">IF(AND($C24="Goal",HV$8&gt;=$G24,HV$8&lt;=$G24+$H24-1),2,IF(AND($C24="Milestone",HV$8&gt;=$G24,HV$8&lt;=$G24+$H24-1),1,""))</f>
        <v/>
      </c>
      <c r="HW24" s="69" t="str">
        <f ca="1">IF(AND($C24="Goal",HW$8&gt;=$G24,HW$8&lt;=$G24+$H24-1),2,IF(AND($C24="Milestone",HW$8&gt;=$G24,HW$8&lt;=$G24+$H24-1),1,""))</f>
        <v/>
      </c>
      <c r="HX24" s="69" t="str">
        <f ca="1">IF(AND($C24="Goal",HX$8&gt;=$G24,HX$8&lt;=$G24+$H24-1),2,IF(AND($C24="Milestone",HX$8&gt;=$G24,HX$8&lt;=$G24+$H24-1),1,""))</f>
        <v/>
      </c>
      <c r="HY24" s="69" t="str">
        <f ca="1">IF(AND($C24="Goal",HY$8&gt;=$G24,HY$8&lt;=$G24+$H24-1),2,IF(AND($C24="Milestone",HY$8&gt;=$G24,HY$8&lt;=$G24+$H24-1),1,""))</f>
        <v/>
      </c>
      <c r="HZ24" s="69" t="str">
        <f ca="1">IF(AND($C24="Goal",HZ$8&gt;=$G24,HZ$8&lt;=$G24+$H24-1),2,IF(AND($C24="Milestone",HZ$8&gt;=$G24,HZ$8&lt;=$G24+$H24-1),1,""))</f>
        <v/>
      </c>
      <c r="IA24" s="69" t="str">
        <f ca="1">IF(AND($C24="Goal",IA$8&gt;=$G24,IA$8&lt;=$G24+$H24-1),2,IF(AND($C24="Milestone",IA$8&gt;=$G24,IA$8&lt;=$G24+$H24-1),1,""))</f>
        <v/>
      </c>
      <c r="IB24" s="69" t="str">
        <f ca="1">IF(AND($C24="Goal",IB$8&gt;=$G24,IB$8&lt;=$G24+$H24-1),2,IF(AND($C24="Milestone",IB$8&gt;=$G24,IB$8&lt;=$G24+$H24-1),1,""))</f>
        <v/>
      </c>
      <c r="IC24" s="69" t="str">
        <f ca="1">IF(AND($C24="Goal",IC$8&gt;=$G24,IC$8&lt;=$G24+$H24-1),2,IF(AND($C24="Milestone",IC$8&gt;=$G24,IC$8&lt;=$G24+$H24-1),1,""))</f>
        <v/>
      </c>
      <c r="ID24" s="69" t="str">
        <f ca="1">IF(AND($C24="Goal",ID$8&gt;=$G24,ID$8&lt;=$G24+$H24-1),2,IF(AND($C24="Milestone",ID$8&gt;=$G24,ID$8&lt;=$G24+$H24-1),1,""))</f>
        <v/>
      </c>
      <c r="IE24" s="69" t="str">
        <f ca="1">IF(AND($C24="Goal",IE$8&gt;=$G24,IE$8&lt;=$G24+$H24-1),2,IF(AND($C24="Milestone",IE$8&gt;=$G24,IE$8&lt;=$G24+$H24-1),1,""))</f>
        <v/>
      </c>
      <c r="IF24" s="69" t="str">
        <f ca="1">IF(AND($C24="Goal",IF$8&gt;=$G24,IF$8&lt;=$G24+$H24-1),2,IF(AND($C24="Milestone",IF$8&gt;=$G24,IF$8&lt;=$G24+$H24-1),1,""))</f>
        <v/>
      </c>
      <c r="IG24" s="69" t="str">
        <f ca="1">IF(AND($C24="Goal",IG$8&gt;=$G24,IG$8&lt;=$G24+$H24-1),2,IF(AND($C24="Milestone",IG$8&gt;=$G24,IG$8&lt;=$G24+$H24-1),1,""))</f>
        <v/>
      </c>
      <c r="IH24" s="69" t="str">
        <f ca="1">IF(AND($C24="Goal",IH$8&gt;=$G24,IH$8&lt;=$G24+$H24-1),2,IF(AND($C24="Milestone",IH$8&gt;=$G24,IH$8&lt;=$G24+$H24-1),1,""))</f>
        <v/>
      </c>
      <c r="II24" s="69" t="str">
        <f ca="1">IF(AND($C24="Goal",II$8&gt;=$G24,II$8&lt;=$G24+$H24-1),2,IF(AND($C24="Milestone",II$8&gt;=$G24,II$8&lt;=$G24+$H24-1),1,""))</f>
        <v/>
      </c>
      <c r="IJ24" s="69" t="str">
        <f ca="1">IF(AND($C24="Goal",IJ$8&gt;=$G24,IJ$8&lt;=$G24+$H24-1),2,IF(AND($C24="Milestone",IJ$8&gt;=$G24,IJ$8&lt;=$G24+$H24-1),1,""))</f>
        <v/>
      </c>
      <c r="IK24" s="69" t="str">
        <f ca="1">IF(AND($C24="Goal",IK$8&gt;=$G24,IK$8&lt;=$G24+$H24-1),2,IF(AND($C24="Milestone",IK$8&gt;=$G24,IK$8&lt;=$G24+$H24-1),1,""))</f>
        <v/>
      </c>
      <c r="IL24" s="69" t="str">
        <f ca="1">IF(AND($C24="Goal",IL$8&gt;=$G24,IL$8&lt;=$G24+$H24-1),2,IF(AND($C24="Milestone",IL$8&gt;=$G24,IL$8&lt;=$G24+$H24-1),1,""))</f>
        <v/>
      </c>
      <c r="IM24" s="69" t="str">
        <f ca="1">IF(AND($C24="Goal",IM$8&gt;=$G24,IM$8&lt;=$G24+$H24-1),2,IF(AND($C24="Milestone",IM$8&gt;=$G24,IM$8&lt;=$G24+$H24-1),1,""))</f>
        <v/>
      </c>
      <c r="IN24" s="69" t="str">
        <f ca="1">IF(AND($C24="Goal",IN$8&gt;=$G24,IN$8&lt;=$G24+$H24-1),2,IF(AND($C24="Milestone",IN$8&gt;=$G24,IN$8&lt;=$G24+$H24-1),1,""))</f>
        <v/>
      </c>
      <c r="IO24" s="69" t="str">
        <f ca="1">IF(AND($C24="Goal",IO$8&gt;=$G24,IO$8&lt;=$G24+$H24-1),2,IF(AND($C24="Milestone",IO$8&gt;=$G24,IO$8&lt;=$G24+$H24-1),1,""))</f>
        <v/>
      </c>
      <c r="IP24" s="69" t="str">
        <f ca="1">IF(AND($C24="Goal",IP$8&gt;=$G24,IP$8&lt;=$G24+$H24-1),2,IF(AND($C24="Milestone",IP$8&gt;=$G24,IP$8&lt;=$G24+$H24-1),1,""))</f>
        <v/>
      </c>
      <c r="IQ24" s="69" t="str">
        <f ca="1">IF(AND($C24="Goal",IQ$8&gt;=$G24,IQ$8&lt;=$G24+$H24-1),2,IF(AND($C24="Milestone",IQ$8&gt;=$G24,IQ$8&lt;=$G24+$H24-1),1,""))</f>
        <v/>
      </c>
      <c r="IR24" s="69" t="str">
        <f ca="1">IF(AND($C24="Goal",IR$8&gt;=$G24,IR$8&lt;=$G24+$H24-1),2,IF(AND($C24="Milestone",IR$8&gt;=$G24,IR$8&lt;=$G24+$H24-1),1,""))</f>
        <v/>
      </c>
      <c r="IS24" s="69" t="str">
        <f ca="1">IF(AND($C24="Goal",IS$8&gt;=$G24,IS$8&lt;=$G24+$H24-1),2,IF(AND($C24="Milestone",IS$8&gt;=$G24,IS$8&lt;=$G24+$H24-1),1,""))</f>
        <v/>
      </c>
      <c r="IT24" s="69" t="str">
        <f ca="1">IF(AND($C24="Goal",IT$8&gt;=$G24,IT$8&lt;=$G24+$H24-1),2,IF(AND($C24="Milestone",IT$8&gt;=$G24,IT$8&lt;=$G24+$H24-1),1,""))</f>
        <v/>
      </c>
      <c r="IU24" s="69" t="str">
        <f ca="1">IF(AND($C24="Goal",IU$8&gt;=$G24,IU$8&lt;=$G24+$H24-1),2,IF(AND($C24="Milestone",IU$8&gt;=$G24,IU$8&lt;=$G24+$H24-1),1,""))</f>
        <v/>
      </c>
      <c r="IV24" s="69" t="str">
        <f ca="1">IF(AND($C24="Goal",IV$8&gt;=$G24,IV$8&lt;=$G24+$H24-1),2,IF(AND($C24="Milestone",IV$8&gt;=$G24,IV$8&lt;=$G24+$H24-1),1,""))</f>
        <v/>
      </c>
      <c r="IW24" s="69" t="str">
        <f ca="1">IF(AND($C24="Goal",IW$8&gt;=$G24,IW$8&lt;=$G24+$H24-1),2,IF(AND($C24="Milestone",IW$8&gt;=$G24,IW$8&lt;=$G24+$H24-1),1,""))</f>
        <v/>
      </c>
      <c r="IX24" s="69" t="str">
        <f ca="1">IF(AND($C24="Goal",IX$8&gt;=$G24,IX$8&lt;=$G24+$H24-1),2,IF(AND($C24="Milestone",IX$8&gt;=$G24,IX$8&lt;=$G24+$H24-1),1,""))</f>
        <v/>
      </c>
      <c r="IY24" s="69" t="str">
        <f ca="1">IF(AND($C24="Goal",IY$8&gt;=$G24,IY$8&lt;=$G24+$H24-1),2,IF(AND($C24="Milestone",IY$8&gt;=$G24,IY$8&lt;=$G24+$H24-1),1,""))</f>
        <v/>
      </c>
      <c r="IZ24" s="69" t="str">
        <f ca="1">IF(AND($C24="Goal",IZ$8&gt;=$G24,IZ$8&lt;=$G24+$H24-1),2,IF(AND($C24="Milestone",IZ$8&gt;=$G24,IZ$8&lt;=$G24+$H24-1),1,""))</f>
        <v/>
      </c>
      <c r="JA24" s="69" t="str">
        <f ca="1">IF(AND($C24="Goal",JA$8&gt;=$G24,JA$8&lt;=$G24+$H24-1),2,IF(AND($C24="Milestone",JA$8&gt;=$G24,JA$8&lt;=$G24+$H24-1),1,""))</f>
        <v/>
      </c>
      <c r="JB24" s="69" t="str">
        <f ca="1">IF(AND($C24="Goal",JB$8&gt;=$G24,JB$8&lt;=$G24+$H24-1),2,IF(AND($C24="Milestone",JB$8&gt;=$G24,JB$8&lt;=$G24+$H24-1),1,""))</f>
        <v/>
      </c>
      <c r="JC24" s="69" t="str">
        <f ca="1">IF(AND($C24="Goal",JC$8&gt;=$G24,JC$8&lt;=$G24+$H24-1),2,IF(AND($C24="Milestone",JC$8&gt;=$G24,JC$8&lt;=$G24+$H24-1),1,""))</f>
        <v/>
      </c>
      <c r="JD24" s="69" t="str">
        <f ca="1">IF(AND($C24="Goal",JD$8&gt;=$G24,JD$8&lt;=$G24+$H24-1),2,IF(AND($C24="Milestone",JD$8&gt;=$G24,JD$8&lt;=$G24+$H24-1),1,""))</f>
        <v/>
      </c>
      <c r="JE24" s="69" t="str">
        <f ca="1">IF(AND($C24="Goal",JE$8&gt;=$G24,JE$8&lt;=$G24+$H24-1),2,IF(AND($C24="Milestone",JE$8&gt;=$G24,JE$8&lt;=$G24+$H24-1),1,""))</f>
        <v/>
      </c>
      <c r="JF24" s="69" t="str">
        <f ca="1">IF(AND($C24="Goal",JF$8&gt;=$G24,JF$8&lt;=$G24+$H24-1),2,IF(AND($C24="Milestone",JF$8&gt;=$G24,JF$8&lt;=$G24+$H24-1),1,""))</f>
        <v/>
      </c>
      <c r="JG24" s="69" t="str">
        <f ca="1">IF(AND($C24="Goal",JG$8&gt;=$G24,JG$8&lt;=$G24+$H24-1),2,IF(AND($C24="Milestone",JG$8&gt;=$G24,JG$8&lt;=$G24+$H24-1),1,""))</f>
        <v/>
      </c>
      <c r="JH24" s="69" t="str">
        <f ca="1">IF(AND($C24="Goal",JH$8&gt;=$G24,JH$8&lt;=$G24+$H24-1),2,IF(AND($C24="Milestone",JH$8&gt;=$G24,JH$8&lt;=$G24+$H24-1),1,""))</f>
        <v/>
      </c>
      <c r="JI24" s="69" t="str">
        <f ca="1">IF(AND($C24="Goal",JI$8&gt;=$G24,JI$8&lt;=$G24+$H24-1),2,IF(AND($C24="Milestone",JI$8&gt;=$G24,JI$8&lt;=$G24+$H24-1),1,""))</f>
        <v/>
      </c>
      <c r="JJ24" s="69" t="str">
        <f ca="1">IF(AND($C24="Goal",JJ$8&gt;=$G24,JJ$8&lt;=$G24+$H24-1),2,IF(AND($C24="Milestone",JJ$8&gt;=$G24,JJ$8&lt;=$G24+$H24-1),1,""))</f>
        <v/>
      </c>
      <c r="JK24" s="69" t="str">
        <f ca="1">IF(AND($C24="Goal",JK$8&gt;=$G24,JK$8&lt;=$G24+$H24-1),2,IF(AND($C24="Milestone",JK$8&gt;=$G24,JK$8&lt;=$G24+$H24-1),1,""))</f>
        <v/>
      </c>
      <c r="JL24" s="69" t="str">
        <f ca="1">IF(AND($C24="Goal",JL$8&gt;=$G24,JL$8&lt;=$G24+$H24-1),2,IF(AND($C24="Milestone",JL$8&gt;=$G24,JL$8&lt;=$G24+$H24-1),1,""))</f>
        <v/>
      </c>
      <c r="JM24" s="69" t="str">
        <f ca="1">IF(AND($C24="Goal",JM$8&gt;=$G24,JM$8&lt;=$G24+$H24-1),2,IF(AND($C24="Milestone",JM$8&gt;=$G24,JM$8&lt;=$G24+$H24-1),1,""))</f>
        <v/>
      </c>
      <c r="JN24" s="69" t="str">
        <f ca="1">IF(AND($C24="Goal",JN$8&gt;=$G24,JN$8&lt;=$G24+$H24-1),2,IF(AND($C24="Milestone",JN$8&gt;=$G24,JN$8&lt;=$G24+$H24-1),1,""))</f>
        <v/>
      </c>
      <c r="JO24" s="69" t="str">
        <f ca="1">IF(AND($C24="Goal",JO$8&gt;=$G24,JO$8&lt;=$G24+$H24-1),2,IF(AND($C24="Milestone",JO$8&gt;=$G24,JO$8&lt;=$G24+$H24-1),1,""))</f>
        <v/>
      </c>
      <c r="JP24" s="69" t="str">
        <f ca="1">IF(AND($C24="Goal",JP$8&gt;=$G24,JP$8&lt;=$G24+$H24-1),2,IF(AND($C24="Milestone",JP$8&gt;=$G24,JP$8&lt;=$G24+$H24-1),1,""))</f>
        <v/>
      </c>
      <c r="JQ24" s="69" t="str">
        <f ca="1">IF(AND($C24="Goal",JQ$8&gt;=$G24,JQ$8&lt;=$G24+$H24-1),2,IF(AND($C24="Milestone",JQ$8&gt;=$G24,JQ$8&lt;=$G24+$H24-1),1,""))</f>
        <v/>
      </c>
      <c r="JR24" s="69" t="str">
        <f ca="1">IF(AND($C24="Goal",JR$8&gt;=$G24,JR$8&lt;=$G24+$H24-1),2,IF(AND($C24="Milestone",JR$8&gt;=$G24,JR$8&lt;=$G24+$H24-1),1,""))</f>
        <v/>
      </c>
      <c r="JS24" s="69" t="str">
        <f ca="1">IF(AND($C24="Goal",JS$8&gt;=$G24,JS$8&lt;=$G24+$H24-1),2,IF(AND($C24="Milestone",JS$8&gt;=$G24,JS$8&lt;=$G24+$H24-1),1,""))</f>
        <v/>
      </c>
      <c r="JT24" s="69" t="str">
        <f ca="1">IF(AND($C24="Goal",JT$8&gt;=$G24,JT$8&lt;=$G24+$H24-1),2,IF(AND($C24="Milestone",JT$8&gt;=$G24,JT$8&lt;=$G24+$H24-1),1,""))</f>
        <v/>
      </c>
      <c r="JU24" s="69" t="str">
        <f ca="1">IF(AND($C24="Goal",JU$8&gt;=$G24,JU$8&lt;=$G24+$H24-1),2,IF(AND($C24="Milestone",JU$8&gt;=$G24,JU$8&lt;=$G24+$H24-1),1,""))</f>
        <v/>
      </c>
      <c r="JV24" s="69" t="str">
        <f ca="1">IF(AND($C24="Goal",JV$8&gt;=$G24,JV$8&lt;=$G24+$H24-1),2,IF(AND($C24="Milestone",JV$8&gt;=$G24,JV$8&lt;=$G24+$H24-1),1,""))</f>
        <v/>
      </c>
      <c r="JW24" s="69" t="str">
        <f ca="1">IF(AND($C24="Goal",JW$8&gt;=$G24,JW$8&lt;=$G24+$H24-1),2,IF(AND($C24="Milestone",JW$8&gt;=$G24,JW$8&lt;=$G24+$H24-1),1,""))</f>
        <v/>
      </c>
      <c r="JX24" s="69" t="str">
        <f ca="1">IF(AND($C24="Goal",JX$8&gt;=$G24,JX$8&lt;=$G24+$H24-1),2,IF(AND($C24="Milestone",JX$8&gt;=$G24,JX$8&lt;=$G24+$H24-1),1,""))</f>
        <v/>
      </c>
      <c r="JY24" s="69" t="str">
        <f ca="1">IF(AND($C24="Goal",JY$8&gt;=$G24,JY$8&lt;=$G24+$H24-1),2,IF(AND($C24="Milestone",JY$8&gt;=$G24,JY$8&lt;=$G24+$H24-1),1,""))</f>
        <v/>
      </c>
      <c r="JZ24" s="69" t="str">
        <f ca="1">IF(AND($C24="Goal",JZ$8&gt;=$G24,JZ$8&lt;=$G24+$H24-1),2,IF(AND($C24="Milestone",JZ$8&gt;=$G24,JZ$8&lt;=$G24+$H24-1),1,""))</f>
        <v/>
      </c>
      <c r="KA24" s="69" t="str">
        <f ca="1">IF(AND($C24="Goal",KA$8&gt;=$G24,KA$8&lt;=$G24+$H24-1),2,IF(AND($C24="Milestone",KA$8&gt;=$G24,KA$8&lt;=$G24+$H24-1),1,""))</f>
        <v/>
      </c>
      <c r="KB24" s="69" t="str">
        <f ca="1">IF(AND($C24="Goal",KB$8&gt;=$G24,KB$8&lt;=$G24+$H24-1),2,IF(AND($C24="Milestone",KB$8&gt;=$G24,KB$8&lt;=$G24+$H24-1),1,""))</f>
        <v/>
      </c>
      <c r="KC24" s="69" t="str">
        <f ca="1">IF(AND($C24="Goal",KC$8&gt;=$G24,KC$8&lt;=$G24+$H24-1),2,IF(AND($C24="Milestone",KC$8&gt;=$G24,KC$8&lt;=$G24+$H24-1),1,""))</f>
        <v/>
      </c>
      <c r="KD24" s="69" t="str">
        <f ca="1">IF(AND($C24="Goal",KD$8&gt;=$G24,KD$8&lt;=$G24+$H24-1),2,IF(AND($C24="Milestone",KD$8&gt;=$G24,KD$8&lt;=$G24+$H24-1),1,""))</f>
        <v/>
      </c>
      <c r="KE24" s="69" t="str">
        <f ca="1">IF(AND($C24="Goal",KE$8&gt;=$G24,KE$8&lt;=$G24+$H24-1),2,IF(AND($C24="Milestone",KE$8&gt;=$G24,KE$8&lt;=$G24+$H24-1),1,""))</f>
        <v/>
      </c>
      <c r="KF24" s="69" t="str">
        <f ca="1">IF(AND($C24="Goal",KF$8&gt;=$G24,KF$8&lt;=$G24+$H24-1),2,IF(AND($C24="Milestone",KF$8&gt;=$G24,KF$8&lt;=$G24+$H24-1),1,""))</f>
        <v/>
      </c>
      <c r="KG24" s="69" t="str">
        <f ca="1">IF(AND($C24="Goal",KG$8&gt;=$G24,KG$8&lt;=$G24+$H24-1),2,IF(AND($C24="Milestone",KG$8&gt;=$G24,KG$8&lt;=$G24+$H24-1),1,""))</f>
        <v/>
      </c>
      <c r="KH24" s="69" t="str">
        <f ca="1">IF(AND($C24="Goal",KH$8&gt;=$G24,KH$8&lt;=$G24+$H24-1),2,IF(AND($C24="Milestone",KH$8&gt;=$G24,KH$8&lt;=$G24+$H24-1),1,""))</f>
        <v/>
      </c>
      <c r="KI24" s="69" t="str">
        <f ca="1">IF(AND($C24="Goal",KI$8&gt;=$G24,KI$8&lt;=$G24+$H24-1),2,IF(AND($C24="Milestone",KI$8&gt;=$G24,KI$8&lt;=$G24+$H24-1),1,""))</f>
        <v/>
      </c>
      <c r="KJ24" s="69" t="str">
        <f ca="1">IF(AND($C24="Goal",KJ$8&gt;=$G24,KJ$8&lt;=$G24+$H24-1),2,IF(AND($C24="Milestone",KJ$8&gt;=$G24,KJ$8&lt;=$G24+$H24-1),1,""))</f>
        <v/>
      </c>
      <c r="KK24" s="69" t="str">
        <f ca="1">IF(AND($C24="Goal",KK$8&gt;=$G24,KK$8&lt;=$G24+$H24-1),2,IF(AND($C24="Milestone",KK$8&gt;=$G24,KK$8&lt;=$G24+$H24-1),1,""))</f>
        <v/>
      </c>
      <c r="KL24" s="69" t="str">
        <f ca="1">IF(AND($C24="Goal",KL$8&gt;=$G24,KL$8&lt;=$G24+$H24-1),2,IF(AND($C24="Milestone",KL$8&gt;=$G24,KL$8&lt;=$G24+$H24-1),1,""))</f>
        <v/>
      </c>
      <c r="KM24" s="69" t="str">
        <f ca="1">IF(AND($C24="Goal",KM$8&gt;=$G24,KM$8&lt;=$G24+$H24-1),2,IF(AND($C24="Milestone",KM$8&gt;=$G24,KM$8&lt;=$G24+$H24-1),1,""))</f>
        <v/>
      </c>
      <c r="KN24" s="69" t="str">
        <f ca="1">IF(AND($C24="Goal",KN$8&gt;=$G24,KN$8&lt;=$G24+$H24-1),2,IF(AND($C24="Milestone",KN$8&gt;=$G24,KN$8&lt;=$G24+$H24-1),1,""))</f>
        <v/>
      </c>
      <c r="KO24" s="69" t="str">
        <f ca="1">IF(AND($C24="Goal",KO$8&gt;=$G24,KO$8&lt;=$G24+$H24-1),2,IF(AND($C24="Milestone",KO$8&gt;=$G24,KO$8&lt;=$G24+$H24-1),1,""))</f>
        <v/>
      </c>
      <c r="KP24" s="69" t="str">
        <f ca="1">IF(AND($C24="Goal",KP$8&gt;=$G24,KP$8&lt;=$G24+$H24-1),2,IF(AND($C24="Milestone",KP$8&gt;=$G24,KP$8&lt;=$G24+$H24-1),1,""))</f>
        <v/>
      </c>
      <c r="KQ24" s="69" t="str">
        <f ca="1">IF(AND($C24="Goal",KQ$8&gt;=$G24,KQ$8&lt;=$G24+$H24-1),2,IF(AND($C24="Milestone",KQ$8&gt;=$G24,KQ$8&lt;=$G24+$H24-1),1,""))</f>
        <v/>
      </c>
      <c r="KR24" s="69" t="str">
        <f ca="1">IF(AND($C24="Goal",KR$8&gt;=$G24,KR$8&lt;=$G24+$H24-1),2,IF(AND($C24="Milestone",KR$8&gt;=$G24,KR$8&lt;=$G24+$H24-1),1,""))</f>
        <v/>
      </c>
      <c r="KS24" s="69" t="str">
        <f ca="1">IF(AND($C24="Goal",KS$8&gt;=$G24,KS$8&lt;=$G24+$H24-1),2,IF(AND($C24="Milestone",KS$8&gt;=$G24,KS$8&lt;=$G24+$H24-1),1,""))</f>
        <v/>
      </c>
      <c r="KT24" s="69" t="str">
        <f ca="1">IF(AND($C24="Goal",KT$8&gt;=$G24,KT$8&lt;=$G24+$H24-1),2,IF(AND($C24="Milestone",KT$8&gt;=$G24,KT$8&lt;=$G24+$H24-1),1,""))</f>
        <v/>
      </c>
      <c r="KU24" s="69" t="str">
        <f ca="1">IF(AND($C24="Goal",KU$8&gt;=$G24,KU$8&lt;=$G24+$H24-1),2,IF(AND($C24="Milestone",KU$8&gt;=$G24,KU$8&lt;=$G24+$H24-1),1,""))</f>
        <v/>
      </c>
      <c r="KV24" s="69" t="str">
        <f ca="1">IF(AND($C24="Goal",KV$8&gt;=$G24,KV$8&lt;=$G24+$H24-1),2,IF(AND($C24="Milestone",KV$8&gt;=$G24,KV$8&lt;=$G24+$H24-1),1,""))</f>
        <v/>
      </c>
      <c r="KW24" s="69" t="str">
        <f ca="1">IF(AND($C24="Goal",KW$8&gt;=$G24,KW$8&lt;=$G24+$H24-1),2,IF(AND($C24="Milestone",KW$8&gt;=$G24,KW$8&lt;=$G24+$H24-1),1,""))</f>
        <v/>
      </c>
      <c r="KX24" s="69" t="str">
        <f ca="1">IF(AND($C24="Goal",KX$8&gt;=$G24,KX$8&lt;=$G24+$H24-1),2,IF(AND($C24="Milestone",KX$8&gt;=$G24,KX$8&lt;=$G24+$H24-1),1,""))</f>
        <v/>
      </c>
      <c r="KY24" s="69" t="str">
        <f ca="1">IF(AND($C24="Goal",KY$8&gt;=$G24,KY$8&lt;=$G24+$H24-1),2,IF(AND($C24="Milestone",KY$8&gt;=$G24,KY$8&lt;=$G24+$H24-1),1,""))</f>
        <v/>
      </c>
      <c r="KZ24" s="69" t="str">
        <f ca="1">IF(AND($C24="Goal",KZ$8&gt;=$G24,KZ$8&lt;=$G24+$H24-1),2,IF(AND($C24="Milestone",KZ$8&gt;=$G24,KZ$8&lt;=$G24+$H24-1),1,""))</f>
        <v/>
      </c>
      <c r="LA24" s="69" t="str">
        <f ca="1">IF(AND($C24="Goal",LA$8&gt;=$G24,LA$8&lt;=$G24+$H24-1),2,IF(AND($C24="Milestone",LA$8&gt;=$G24,LA$8&lt;=$G24+$H24-1),1,""))</f>
        <v/>
      </c>
      <c r="LB24" s="69" t="str">
        <f ca="1">IF(AND($C24="Goal",LB$8&gt;=$G24,LB$8&lt;=$G24+$H24-1),2,IF(AND($C24="Milestone",LB$8&gt;=$G24,LB$8&lt;=$G24+$H24-1),1,""))</f>
        <v/>
      </c>
      <c r="LC24" s="69" t="str">
        <f ca="1">IF(AND($C24="Goal",LC$8&gt;=$G24,LC$8&lt;=$G24+$H24-1),2,IF(AND($C24="Milestone",LC$8&gt;=$G24,LC$8&lt;=$G24+$H24-1),1,""))</f>
        <v/>
      </c>
      <c r="LD24" s="69" t="str">
        <f ca="1">IF(AND($C24="Goal",LD$8&gt;=$G24,LD$8&lt;=$G24+$H24-1),2,IF(AND($C24="Milestone",LD$8&gt;=$G24,LD$8&lt;=$G24+$H24-1),1,""))</f>
        <v/>
      </c>
      <c r="LE24" s="69" t="str">
        <f ca="1">IF(AND($C24="Goal",LE$8&gt;=$G24,LE$8&lt;=$G24+$H24-1),2,IF(AND($C24="Milestone",LE$8&gt;=$G24,LE$8&lt;=$G24+$H24-1),1,""))</f>
        <v/>
      </c>
      <c r="LF24" s="69" t="str">
        <f ca="1">IF(AND($C24="Goal",LF$8&gt;=$G24,LF$8&lt;=$G24+$H24-1),2,IF(AND($C24="Milestone",LF$8&gt;=$G24,LF$8&lt;=$G24+$H24-1),1,""))</f>
        <v/>
      </c>
      <c r="LG24" s="69" t="str">
        <f ca="1">IF(AND($C24="Goal",LG$8&gt;=$G24,LG$8&lt;=$G24+$H24-1),2,IF(AND($C24="Milestone",LG$8&gt;=$G24,LG$8&lt;=$G24+$H24-1),1,""))</f>
        <v/>
      </c>
      <c r="LH24" s="69" t="str">
        <f ca="1">IF(AND($C24="Goal",LH$8&gt;=$G24,LH$8&lt;=$G24+$H24-1),2,IF(AND($C24="Milestone",LH$8&gt;=$G24,LH$8&lt;=$G24+$H24-1),1,""))</f>
        <v/>
      </c>
      <c r="LI24" s="69" t="str">
        <f ca="1">IF(AND($C24="Goal",LI$8&gt;=$G24,LI$8&lt;=$G24+$H24-1),2,IF(AND($C24="Milestone",LI$8&gt;=$G24,LI$8&lt;=$G24+$H24-1),1,""))</f>
        <v/>
      </c>
      <c r="LJ24" s="69" t="str">
        <f ca="1">IF(AND($C24="Goal",LJ$8&gt;=$G24,LJ$8&lt;=$G24+$H24-1),2,IF(AND($C24="Milestone",LJ$8&gt;=$G24,LJ$8&lt;=$G24+$H24-1),1,""))</f>
        <v/>
      </c>
      <c r="LK24" s="69" t="str">
        <f ca="1">IF(AND($C24="Goal",LK$8&gt;=$G24,LK$8&lt;=$G24+$H24-1),2,IF(AND($C24="Milestone",LK$8&gt;=$G24,LK$8&lt;=$G24+$H24-1),1,""))</f>
        <v/>
      </c>
      <c r="LL24" s="69" t="str">
        <f ca="1">IF(AND($C24="Goal",LL$8&gt;=$G24,LL$8&lt;=$G24+$H24-1),2,IF(AND($C24="Milestone",LL$8&gt;=$G24,LL$8&lt;=$G24+$H24-1),1,""))</f>
        <v/>
      </c>
      <c r="LM24" s="69" t="str">
        <f ca="1">IF(AND($C24="Goal",LM$8&gt;=$G24,LM$8&lt;=$G24+$H24-1),2,IF(AND($C24="Milestone",LM$8&gt;=$G24,LM$8&lt;=$G24+$H24-1),1,""))</f>
        <v/>
      </c>
      <c r="LN24" s="69" t="str">
        <f ca="1">IF(AND($C24="Goal",LN$8&gt;=$G24,LN$8&lt;=$G24+$H24-1),2,IF(AND($C24="Milestone",LN$8&gt;=$G24,LN$8&lt;=$G24+$H24-1),1,""))</f>
        <v/>
      </c>
      <c r="LO24" s="69" t="str">
        <f ca="1">IF(AND($C24="Goal",LO$8&gt;=$G24,LO$8&lt;=$G24+$H24-1),2,IF(AND($C24="Milestone",LO$8&gt;=$G24,LO$8&lt;=$G24+$H24-1),1,""))</f>
        <v/>
      </c>
      <c r="LP24" s="69" t="str">
        <f ca="1">IF(AND($C24="Goal",LP$8&gt;=$G24,LP$8&lt;=$G24+$H24-1),2,IF(AND($C24="Milestone",LP$8&gt;=$G24,LP$8&lt;=$G24+$H24-1),1,""))</f>
        <v/>
      </c>
      <c r="LQ24" s="69" t="str">
        <f ca="1">IF(AND($C24="Goal",LQ$8&gt;=$G24,LQ$8&lt;=$G24+$H24-1),2,IF(AND($C24="Milestone",LQ$8&gt;=$G24,LQ$8&lt;=$G24+$H24-1),1,""))</f>
        <v/>
      </c>
      <c r="LR24" s="69" t="str">
        <f ca="1">IF(AND($C24="Goal",LR$8&gt;=$G24,LR$8&lt;=$G24+$H24-1),2,IF(AND($C24="Milestone",LR$8&gt;=$G24,LR$8&lt;=$G24+$H24-1),1,""))</f>
        <v/>
      </c>
      <c r="LS24" s="69" t="str">
        <f ca="1">IF(AND($C24="Goal",LS$8&gt;=$G24,LS$8&lt;=$G24+$H24-1),2,IF(AND($C24="Milestone",LS$8&gt;=$G24,LS$8&lt;=$G24+$H24-1),1,""))</f>
        <v/>
      </c>
      <c r="LT24" s="69" t="str">
        <f ca="1">IF(AND($C24="Goal",LT$8&gt;=$G24,LT$8&lt;=$G24+$H24-1),2,IF(AND($C24="Milestone",LT$8&gt;=$G24,LT$8&lt;=$G24+$H24-1),1,""))</f>
        <v/>
      </c>
      <c r="LU24" s="69" t="str">
        <f ca="1">IF(AND($C24="Goal",LU$8&gt;=$G24,LU$8&lt;=$G24+$H24-1),2,IF(AND($C24="Milestone",LU$8&gt;=$G24,LU$8&lt;=$G24+$H24-1),1,""))</f>
        <v/>
      </c>
      <c r="LV24" s="69" t="str">
        <f ca="1">IF(AND($C24="Goal",LV$8&gt;=$G24,LV$8&lt;=$G24+$H24-1),2,IF(AND($C24="Milestone",LV$8&gt;=$G24,LV$8&lt;=$G24+$H24-1),1,""))</f>
        <v/>
      </c>
      <c r="LW24" s="69" t="str">
        <f ca="1">IF(AND($C24="Goal",LW$8&gt;=$G24,LW$8&lt;=$G24+$H24-1),2,IF(AND($C24="Milestone",LW$8&gt;=$G24,LW$8&lt;=$G24+$H24-1),1,""))</f>
        <v/>
      </c>
      <c r="LX24" s="69" t="str">
        <f ca="1">IF(AND($C24="Goal",LX$8&gt;=$G24,LX$8&lt;=$G24+$H24-1),2,IF(AND($C24="Milestone",LX$8&gt;=$G24,LX$8&lt;=$G24+$H24-1),1,""))</f>
        <v/>
      </c>
    </row>
    <row r="25" spans="1:336" s="1" customFormat="1" ht="27.5" customHeight="1" x14ac:dyDescent="0.25">
      <c r="A25" s="6"/>
      <c r="B25" s="47" t="s">
        <v>27</v>
      </c>
      <c r="C25" s="58"/>
      <c r="D25" s="58" t="str">
        <f ca="1">IF(G25="","",
IF(G25+Milestones4352[[#This Row],[Days]]="","",
IF(OR(F25=1,F25=100%),"Complete",
CHOOSE(
  1
  + --(((1-IF(F25&gt;1,F25/100,F25))*POWER(2.718281828,(60-MAX(0,G25+Milestones4352[[#This Row],[Days]]-TODAY()))/12))&gt;=0.6)
  + --(((1-IF(F25&gt;1,F25/100,F25))*POWER(2.718281828,(60-MAX(0,G25+Milestones4352[[#This Row],[Days]]-TODAY()))/12))&gt;=1.2)
  + --(((1-IF(F25&gt;1,F25/100,F25))*POWER(2.718281828,(60-MAX(0,G25+Milestones4352[[#This Row],[Days]]-TODAY()))/12))&gt;=2),
  "On track","Low risk","Medium risk","High risk"
))))</f>
        <v>Low risk</v>
      </c>
      <c r="E25" s="58"/>
      <c r="F25" s="56">
        <v>0</v>
      </c>
      <c r="G25" s="70">
        <f t="shared" ref="G25:G26" si="210">G24+H24</f>
        <v>46005</v>
      </c>
      <c r="H25" s="57">
        <v>7</v>
      </c>
      <c r="I25" s="57">
        <f t="shared" si="207"/>
        <v>5</v>
      </c>
      <c r="J25" s="12">
        <f ca="1">IF(OR(Milestones4352[[#This Row],[Start]]="",Milestones4352[[#This Row],[Days]]=""),"",(Milestones4352[[#This Row],[Start]]+Milestones4352[[#This Row],[Days]])-TODAY())</f>
        <v>63</v>
      </c>
      <c r="K25" s="9"/>
      <c r="L25" s="69" t="str">
        <f ca="1">IF(AND($C25="Goal",L$8&gt;=$G25,L$8&lt;=$G25+$H25-1),2,IF(AND($C25="Milestone",L$8&gt;=$G25,L$8&lt;=$G25+$H25-1),1,""))</f>
        <v/>
      </c>
      <c r="M25" s="69" t="str">
        <f ca="1">IF(AND($C25="Goal",M$8&gt;=$G25,M$8&lt;=$G25+$H25-1),2,IF(AND($C25="Milestone",M$8&gt;=$G25,M$8&lt;=$G25+$H25-1),1,""))</f>
        <v/>
      </c>
      <c r="N25" s="69" t="str">
        <f ca="1">IF(AND($C25="Goal",N$8&gt;=$G25,N$8&lt;=$G25+$H25-1),2,IF(AND($C25="Milestone",N$8&gt;=$G25,N$8&lt;=$G25+$H25-1),1,""))</f>
        <v/>
      </c>
      <c r="O25" s="69" t="str">
        <f ca="1">IF(AND($C25="Goal",O$8&gt;=$G25,O$8&lt;=$G25+$H25-1),2,IF(AND($C25="Milestone",O$8&gt;=$G25,O$8&lt;=$G25+$H25-1),1,""))</f>
        <v/>
      </c>
      <c r="P25" s="69" t="str">
        <f ca="1">IF(AND($C25="Goal",P$8&gt;=$G25,P$8&lt;=$G25+$H25-1),2,IF(AND($C25="Milestone",P$8&gt;=$G25,P$8&lt;=$G25+$H25-1),1,""))</f>
        <v/>
      </c>
      <c r="Q25" s="69" t="str">
        <f ca="1">IF(AND($C25="Goal",Q$8&gt;=$G25,Q$8&lt;=$G25+$H25-1),2,IF(AND($C25="Milestone",Q$8&gt;=$G25,Q$8&lt;=$G25+$H25-1),1,""))</f>
        <v/>
      </c>
      <c r="R25" s="69" t="str">
        <f ca="1">IF(AND($C25="Goal",R$8&gt;=$G25,R$8&lt;=$G25+$H25-1),2,IF(AND($C25="Milestone",R$8&gt;=$G25,R$8&lt;=$G25+$H25-1),1,""))</f>
        <v/>
      </c>
      <c r="S25" s="69" t="str">
        <f ca="1">IF(AND($C25="Goal",S$8&gt;=$G25,S$8&lt;=$G25+$H25-1),2,IF(AND($C25="Milestone",S$8&gt;=$G25,S$8&lt;=$G25+$H25-1),1,""))</f>
        <v/>
      </c>
      <c r="T25" s="69" t="str">
        <f ca="1">IF(AND($C25="Goal",T$8&gt;=$G25,T$8&lt;=$G25+$H25-1),2,IF(AND($C25="Milestone",T$8&gt;=$G25,T$8&lt;=$G25+$H25-1),1,""))</f>
        <v/>
      </c>
      <c r="U25" s="69" t="str">
        <f ca="1">IF(AND($C25="Goal",U$8&gt;=$G25,U$8&lt;=$G25+$H25-1),2,IF(AND($C25="Milestone",U$8&gt;=$G25,U$8&lt;=$G25+$H25-1),1,""))</f>
        <v/>
      </c>
      <c r="V25" s="69" t="str">
        <f ca="1">IF(AND($C25="Goal",V$8&gt;=$G25,V$8&lt;=$G25+$H25-1),2,IF(AND($C25="Milestone",V$8&gt;=$G25,V$8&lt;=$G25+$H25-1),1,""))</f>
        <v/>
      </c>
      <c r="W25" s="69" t="str">
        <f ca="1">IF(AND($C25="Goal",W$8&gt;=$G25,W$8&lt;=$G25+$H25-1),2,IF(AND($C25="Milestone",W$8&gt;=$G25,W$8&lt;=$G25+$H25-1),1,""))</f>
        <v/>
      </c>
      <c r="X25" s="69" t="str">
        <f ca="1">IF(AND($C25="Goal",X$8&gt;=$G25,X$8&lt;=$G25+$H25-1),2,IF(AND($C25="Milestone",X$8&gt;=$G25,X$8&lt;=$G25+$H25-1),1,""))</f>
        <v/>
      </c>
      <c r="Y25" s="69" t="str">
        <f ca="1">IF(AND($C25="Goal",Y$8&gt;=$G25,Y$8&lt;=$G25+$H25-1),2,IF(AND($C25="Milestone",Y$8&gt;=$G25,Y$8&lt;=$G25+$H25-1),1,""))</f>
        <v/>
      </c>
      <c r="Z25" s="69" t="str">
        <f ca="1">IF(AND($C25="Goal",Z$8&gt;=$G25,Z$8&lt;=$G25+$H25-1),2,IF(AND($C25="Milestone",Z$8&gt;=$G25,Z$8&lt;=$G25+$H25-1),1,""))</f>
        <v/>
      </c>
      <c r="AA25" s="69" t="str">
        <f ca="1">IF(AND($C25="Goal",AA$8&gt;=$G25,AA$8&lt;=$G25+$H25-1),2,IF(AND($C25="Milestone",AA$8&gt;=$G25,AA$8&lt;=$G25+$H25-1),1,""))</f>
        <v/>
      </c>
      <c r="AB25" s="69" t="str">
        <f ca="1">IF(AND($C25="Goal",AB$8&gt;=$G25,AB$8&lt;=$G25+$H25-1),2,IF(AND($C25="Milestone",AB$8&gt;=$G25,AB$8&lt;=$G25+$H25-1),1,""))</f>
        <v/>
      </c>
      <c r="AC25" s="69" t="str">
        <f ca="1">IF(AND($C25="Goal",AC$8&gt;=$G25,AC$8&lt;=$G25+$H25-1),2,IF(AND($C25="Milestone",AC$8&gt;=$G25,AC$8&lt;=$G25+$H25-1),1,""))</f>
        <v/>
      </c>
      <c r="AD25" s="69" t="str">
        <f ca="1">IF(AND($C25="Goal",AD$8&gt;=$G25,AD$8&lt;=$G25+$H25-1),2,IF(AND($C25="Milestone",AD$8&gt;=$G25,AD$8&lt;=$G25+$H25-1),1,""))</f>
        <v/>
      </c>
      <c r="AE25" s="69" t="str">
        <f ca="1">IF(AND($C25="Goal",AE$8&gt;=$G25,AE$8&lt;=$G25+$H25-1),2,IF(AND($C25="Milestone",AE$8&gt;=$G25,AE$8&lt;=$G25+$H25-1),1,""))</f>
        <v/>
      </c>
      <c r="AF25" s="69" t="str">
        <f ca="1">IF(AND($C25="Goal",AF$8&gt;=$G25,AF$8&lt;=$G25+$H25-1),2,IF(AND($C25="Milestone",AF$8&gt;=$G25,AF$8&lt;=$G25+$H25-1),1,""))</f>
        <v/>
      </c>
      <c r="AG25" s="69" t="str">
        <f ca="1">IF(AND($C25="Goal",AG$8&gt;=$G25,AG$8&lt;=$G25+$H25-1),2,IF(AND($C25="Milestone",AG$8&gt;=$G25,AG$8&lt;=$G25+$H25-1),1,""))</f>
        <v/>
      </c>
      <c r="AH25" s="69" t="str">
        <f ca="1">IF(AND($C25="Goal",AH$8&gt;=$G25,AH$8&lt;=$G25+$H25-1),2,IF(AND($C25="Milestone",AH$8&gt;=$G25,AH$8&lt;=$G25+$H25-1),1,""))</f>
        <v/>
      </c>
      <c r="AI25" s="69" t="str">
        <f ca="1">IF(AND($C25="Goal",AI$8&gt;=$G25,AI$8&lt;=$G25+$H25-1),2,IF(AND($C25="Milestone",AI$8&gt;=$G25,AI$8&lt;=$G25+$H25-1),1,""))</f>
        <v/>
      </c>
      <c r="AJ25" s="69" t="str">
        <f ca="1">IF(AND($C25="Goal",AJ$8&gt;=$G25,AJ$8&lt;=$G25+$H25-1),2,IF(AND($C25="Milestone",AJ$8&gt;=$G25,AJ$8&lt;=$G25+$H25-1),1,""))</f>
        <v/>
      </c>
      <c r="AK25" s="69" t="str">
        <f ca="1">IF(AND($C25="Goal",AK$8&gt;=$G25,AK$8&lt;=$G25+$H25-1),2,IF(AND($C25="Milestone",AK$8&gt;=$G25,AK$8&lt;=$G25+$H25-1),1,""))</f>
        <v/>
      </c>
      <c r="AL25" s="69" t="str">
        <f ca="1">IF(AND($C25="Goal",AL$8&gt;=$G25,AL$8&lt;=$G25+$H25-1),2,IF(AND($C25="Milestone",AL$8&gt;=$G25,AL$8&lt;=$G25+$H25-1),1,""))</f>
        <v/>
      </c>
      <c r="AM25" s="69" t="str">
        <f ca="1">IF(AND($C25="Goal",AM$8&gt;=$G25,AM$8&lt;=$G25+$H25-1),2,IF(AND($C25="Milestone",AM$8&gt;=$G25,AM$8&lt;=$G25+$H25-1),1,""))</f>
        <v/>
      </c>
      <c r="AN25" s="69" t="str">
        <f ca="1">IF(AND($C25="Goal",AN$8&gt;=$G25,AN$8&lt;=$G25+$H25-1),2,IF(AND($C25="Milestone",AN$8&gt;=$G25,AN$8&lt;=$G25+$H25-1),1,""))</f>
        <v/>
      </c>
      <c r="AO25" s="69" t="str">
        <f ca="1">IF(AND($C25="Goal",AO$8&gt;=$G25,AO$8&lt;=$G25+$H25-1),2,IF(AND($C25="Milestone",AO$8&gt;=$G25,AO$8&lt;=$G25+$H25-1),1,""))</f>
        <v/>
      </c>
      <c r="AP25" s="69" t="str">
        <f ca="1">IF(AND($C25="Goal",AP$8&gt;=$G25,AP$8&lt;=$G25+$H25-1),2,IF(AND($C25="Milestone",AP$8&gt;=$G25,AP$8&lt;=$G25+$H25-1),1,""))</f>
        <v/>
      </c>
      <c r="AQ25" s="69" t="str">
        <f ca="1">IF(AND($C25="Goal",AQ$8&gt;=$G25,AQ$8&lt;=$G25+$H25-1),2,IF(AND($C25="Milestone",AQ$8&gt;=$G25,AQ$8&lt;=$G25+$H25-1),1,""))</f>
        <v/>
      </c>
      <c r="AR25" s="69" t="str">
        <f ca="1">IF(AND($C25="Goal",AR$8&gt;=$G25,AR$8&lt;=$G25+$H25-1),2,IF(AND($C25="Milestone",AR$8&gt;=$G25,AR$8&lt;=$G25+$H25-1),1,""))</f>
        <v/>
      </c>
      <c r="AS25" s="69" t="str">
        <f ca="1">IF(AND($C25="Goal",AS$8&gt;=$G25,AS$8&lt;=$G25+$H25-1),2,IF(AND($C25="Milestone",AS$8&gt;=$G25,AS$8&lt;=$G25+$H25-1),1,""))</f>
        <v/>
      </c>
      <c r="AT25" s="69" t="str">
        <f ca="1">IF(AND($C25="Goal",AT$8&gt;=$G25,AT$8&lt;=$G25+$H25-1),2,IF(AND($C25="Milestone",AT$8&gt;=$G25,AT$8&lt;=$G25+$H25-1),1,""))</f>
        <v/>
      </c>
      <c r="AU25" s="69" t="str">
        <f ca="1">IF(AND($C25="Goal",AU$8&gt;=$G25,AU$8&lt;=$G25+$H25-1),2,IF(AND($C25="Milestone",AU$8&gt;=$G25,AU$8&lt;=$G25+$H25-1),1,""))</f>
        <v/>
      </c>
      <c r="AV25" s="69" t="str">
        <f ca="1">IF(AND($C25="Goal",AV$8&gt;=$G25,AV$8&lt;=$G25+$H25-1),2,IF(AND($C25="Milestone",AV$8&gt;=$G25,AV$8&lt;=$G25+$H25-1),1,""))</f>
        <v/>
      </c>
      <c r="AW25" s="69" t="str">
        <f ca="1">IF(AND($C25="Goal",AW$8&gt;=$G25,AW$8&lt;=$G25+$H25-1),2,IF(AND($C25="Milestone",AW$8&gt;=$G25,AW$8&lt;=$G25+$H25-1),1,""))</f>
        <v/>
      </c>
      <c r="AX25" s="69" t="str">
        <f ca="1">IF(AND($C25="Goal",AX$8&gt;=$G25,AX$8&lt;=$G25+$H25-1),2,IF(AND($C25="Milestone",AX$8&gt;=$G25,AX$8&lt;=$G25+$H25-1),1,""))</f>
        <v/>
      </c>
      <c r="AY25" s="69" t="str">
        <f ca="1">IF(AND($C25="Goal",AY$8&gt;=$G25,AY$8&lt;=$G25+$H25-1),2,IF(AND($C25="Milestone",AY$8&gt;=$G25,AY$8&lt;=$G25+$H25-1),1,""))</f>
        <v/>
      </c>
      <c r="AZ25" s="69" t="str">
        <f ca="1">IF(AND($C25="Goal",AZ$8&gt;=$G25,AZ$8&lt;=$G25+$H25-1),2,IF(AND($C25="Milestone",AZ$8&gt;=$G25,AZ$8&lt;=$G25+$H25-1),1,""))</f>
        <v/>
      </c>
      <c r="BA25" s="69" t="str">
        <f ca="1">IF(AND($C25="Goal",BA$8&gt;=$G25,BA$8&lt;=$G25+$H25-1),2,IF(AND($C25="Milestone",BA$8&gt;=$G25,BA$8&lt;=$G25+$H25-1),1,""))</f>
        <v/>
      </c>
      <c r="BB25" s="69" t="str">
        <f ca="1">IF(AND($C25="Goal",BB$8&gt;=$G25,BB$8&lt;=$G25+$H25-1),2,IF(AND($C25="Milestone",BB$8&gt;=$G25,BB$8&lt;=$G25+$H25-1),1,""))</f>
        <v/>
      </c>
      <c r="BC25" s="69" t="str">
        <f ca="1">IF(AND($C25="Goal",BC$8&gt;=$G25,BC$8&lt;=$G25+$H25-1),2,IF(AND($C25="Milestone",BC$8&gt;=$G25,BC$8&lt;=$G25+$H25-1),1,""))</f>
        <v/>
      </c>
      <c r="BD25" s="69" t="str">
        <f ca="1">IF(AND($C25="Goal",BD$8&gt;=$G25,BD$8&lt;=$G25+$H25-1),2,IF(AND($C25="Milestone",BD$8&gt;=$G25,BD$8&lt;=$G25+$H25-1),1,""))</f>
        <v/>
      </c>
      <c r="BE25" s="69" t="str">
        <f ca="1">IF(AND($C25="Goal",BE$8&gt;=$G25,BE$8&lt;=$G25+$H25-1),2,IF(AND($C25="Milestone",BE$8&gt;=$G25,BE$8&lt;=$G25+$H25-1),1,""))</f>
        <v/>
      </c>
      <c r="BF25" s="69" t="str">
        <f ca="1">IF(AND($C25="Goal",BF$8&gt;=$G25,BF$8&lt;=$G25+$H25-1),2,IF(AND($C25="Milestone",BF$8&gt;=$G25,BF$8&lt;=$G25+$H25-1),1,""))</f>
        <v/>
      </c>
      <c r="BG25" s="69" t="str">
        <f ca="1">IF(AND($C25="Goal",BG$8&gt;=$G25,BG$8&lt;=$G25+$H25-1),2,IF(AND($C25="Milestone",BG$8&gt;=$G25,BG$8&lt;=$G25+$H25-1),1,""))</f>
        <v/>
      </c>
      <c r="BH25" s="69" t="str">
        <f ca="1">IF(AND($C25="Goal",BH$8&gt;=$G25,BH$8&lt;=$G25+$H25-1),2,IF(AND($C25="Milestone",BH$8&gt;=$G25,BH$8&lt;=$G25+$H25-1),1,""))</f>
        <v/>
      </c>
      <c r="BI25" s="69" t="str">
        <f ca="1">IF(AND($C25="Goal",BI$8&gt;=$G25,BI$8&lt;=$G25+$H25-1),2,IF(AND($C25="Milestone",BI$8&gt;=$G25,BI$8&lt;=$G25+$H25-1),1,""))</f>
        <v/>
      </c>
      <c r="BJ25" s="69" t="str">
        <f ca="1">IF(AND($C25="Goal",BJ$8&gt;=$G25,BJ$8&lt;=$G25+$H25-1),2,IF(AND($C25="Milestone",BJ$8&gt;=$G25,BJ$8&lt;=$G25+$H25-1),1,""))</f>
        <v/>
      </c>
      <c r="BK25" s="69" t="str">
        <f ca="1">IF(AND($C25="Goal",BK$8&gt;=$G25,BK$8&lt;=$G25+$H25-1),2,IF(AND($C25="Milestone",BK$8&gt;=$G25,BK$8&lt;=$G25+$H25-1),1,""))</f>
        <v/>
      </c>
      <c r="BL25" s="69" t="str">
        <f ca="1">IF(AND($C25="Goal",BL$8&gt;=$G25,BL$8&lt;=$G25+$H25-1),2,IF(AND($C25="Milestone",BL$8&gt;=$G25,BL$8&lt;=$G25+$H25-1),1,""))</f>
        <v/>
      </c>
      <c r="BM25" s="69" t="str">
        <f ca="1">IF(AND($C25="Goal",BM$8&gt;=$G25,BM$8&lt;=$G25+$H25-1),2,IF(AND($C25="Milestone",BM$8&gt;=$G25,BM$8&lt;=$G25+$H25-1),1,""))</f>
        <v/>
      </c>
      <c r="BN25" s="69" t="str">
        <f ca="1">IF(AND($C25="Goal",BN$8&gt;=$G25,BN$8&lt;=$G25+$H25-1),2,IF(AND($C25="Milestone",BN$8&gt;=$G25,BN$8&lt;=$G25+$H25-1),1,""))</f>
        <v/>
      </c>
      <c r="BO25" s="69" t="str">
        <f ca="1">IF(AND($C25="Goal",BO$8&gt;=$G25,BO$8&lt;=$G25+$H25-1),2,IF(AND($C25="Milestone",BO$8&gt;=$G25,BO$8&lt;=$G25+$H25-1),1,""))</f>
        <v/>
      </c>
      <c r="BP25" s="69" t="str">
        <f ca="1">IF(AND($C25="Goal",BP$8&gt;=$G25,BP$8&lt;=$G25+$H25-1),2,IF(AND($C25="Milestone",BP$8&gt;=$G25,BP$8&lt;=$G25+$H25-1),1,""))</f>
        <v/>
      </c>
      <c r="BQ25" s="69" t="str">
        <f ca="1">IF(AND($C25="Goal",BQ$8&gt;=$G25,BQ$8&lt;=$G25+$H25-1),2,IF(AND($C25="Milestone",BQ$8&gt;=$G25,BQ$8&lt;=$G25+$H25-1),1,""))</f>
        <v/>
      </c>
      <c r="BR25" s="69" t="str">
        <f ca="1">IF(AND($C25="Goal",BR$8&gt;=$G25,BR$8&lt;=$G25+$H25-1),2,IF(AND($C25="Milestone",BR$8&gt;=$G25,BR$8&lt;=$G25+$H25-1),1,""))</f>
        <v/>
      </c>
      <c r="BS25" s="69" t="str">
        <f ca="1">IF(AND($C25="Goal",BS$8&gt;=$G25,BS$8&lt;=$G25+$H25-1),2,IF(AND($C25="Milestone",BS$8&gt;=$G25,BS$8&lt;=$G25+$H25-1),1,""))</f>
        <v/>
      </c>
      <c r="BT25" s="69" t="str">
        <f ca="1">IF(AND($C25="Goal",BT$8&gt;=$G25,BT$8&lt;=$G25+$H25-1),2,IF(AND($C25="Milestone",BT$8&gt;=$G25,BT$8&lt;=$G25+$H25-1),1,""))</f>
        <v/>
      </c>
      <c r="BU25" s="69" t="str">
        <f ca="1">IF(AND($C25="Goal",BU$8&gt;=$G25,BU$8&lt;=$G25+$H25-1),2,IF(AND($C25="Milestone",BU$8&gt;=$G25,BU$8&lt;=$G25+$H25-1),1,""))</f>
        <v/>
      </c>
      <c r="BV25" s="69" t="str">
        <f ca="1">IF(AND($C25="Goal",BV$8&gt;=$G25,BV$8&lt;=$G25+$H25-1),2,IF(AND($C25="Milestone",BV$8&gt;=$G25,BV$8&lt;=$G25+$H25-1),1,""))</f>
        <v/>
      </c>
      <c r="BW25" s="69" t="str">
        <f ca="1">IF(AND($C25="Goal",BW$8&gt;=$G25,BW$8&lt;=$G25+$H25-1),2,IF(AND($C25="Milestone",BW$8&gt;=$G25,BW$8&lt;=$G25+$H25-1),1,""))</f>
        <v/>
      </c>
      <c r="BX25" s="69" t="str">
        <f ca="1">IF(AND($C25="Goal",BX$8&gt;=$G25,BX$8&lt;=$G25+$H25-1),2,IF(AND($C25="Milestone",BX$8&gt;=$G25,BX$8&lt;=$G25+$H25-1),1,""))</f>
        <v/>
      </c>
      <c r="BY25" s="69" t="str">
        <f ca="1">IF(AND($C25="Goal",BY$8&gt;=$G25,BY$8&lt;=$G25+$H25-1),2,IF(AND($C25="Milestone",BY$8&gt;=$G25,BY$8&lt;=$G25+$H25-1),1,""))</f>
        <v/>
      </c>
      <c r="BZ25" s="69" t="str">
        <f ca="1">IF(AND($C25="Goal",BZ$8&gt;=$G25,BZ$8&lt;=$G25+$H25-1),2,IF(AND($C25="Milestone",BZ$8&gt;=$G25,BZ$8&lt;=$G25+$H25-1),1,""))</f>
        <v/>
      </c>
      <c r="CA25" s="69" t="str">
        <f ca="1">IF(AND($C25="Goal",CA$8&gt;=$G25,CA$8&lt;=$G25+$H25-1),2,IF(AND($C25="Milestone",CA$8&gt;=$G25,CA$8&lt;=$G25+$H25-1),1,""))</f>
        <v/>
      </c>
      <c r="CB25" s="69" t="str">
        <f ca="1">IF(AND($C25="Goal",CB$8&gt;=$G25,CB$8&lt;=$G25+$H25-1),2,IF(AND($C25="Milestone",CB$8&gt;=$G25,CB$8&lt;=$G25+$H25-1),1,""))</f>
        <v/>
      </c>
      <c r="CC25" s="69" t="str">
        <f ca="1">IF(AND($C25="Goal",CC$8&gt;=$G25,CC$8&lt;=$G25+$H25-1),2,IF(AND($C25="Milestone",CC$8&gt;=$G25,CC$8&lt;=$G25+$H25-1),1,""))</f>
        <v/>
      </c>
      <c r="CD25" s="69" t="str">
        <f ca="1">IF(AND($C25="Goal",CD$8&gt;=$G25,CD$8&lt;=$G25+$H25-1),2,IF(AND($C25="Milestone",CD$8&gt;=$G25,CD$8&lt;=$G25+$H25-1),1,""))</f>
        <v/>
      </c>
      <c r="CE25" s="69" t="str">
        <f ca="1">IF(AND($C25="Goal",CE$8&gt;=$G25,CE$8&lt;=$G25+$H25-1),2,IF(AND($C25="Milestone",CE$8&gt;=$G25,CE$8&lt;=$G25+$H25-1),1,""))</f>
        <v/>
      </c>
      <c r="CF25" s="69" t="str">
        <f ca="1">IF(AND($C25="Goal",CF$8&gt;=$G25,CF$8&lt;=$G25+$H25-1),2,IF(AND($C25="Milestone",CF$8&gt;=$G25,CF$8&lt;=$G25+$H25-1),1,""))</f>
        <v/>
      </c>
      <c r="CG25" s="69" t="str">
        <f ca="1">IF(AND($C25="Goal",CG$8&gt;=$G25,CG$8&lt;=$G25+$H25-1),2,IF(AND($C25="Milestone",CG$8&gt;=$G25,CG$8&lt;=$G25+$H25-1),1,""))</f>
        <v/>
      </c>
      <c r="CH25" s="69" t="str">
        <f ca="1">IF(AND($C25="Goal",CH$8&gt;=$G25,CH$8&lt;=$G25+$H25-1),2,IF(AND($C25="Milestone",CH$8&gt;=$G25,CH$8&lt;=$G25+$H25-1),1,""))</f>
        <v/>
      </c>
      <c r="CI25" s="69" t="str">
        <f ca="1">IF(AND($C25="Goal",CI$8&gt;=$G25,CI$8&lt;=$G25+$H25-1),2,IF(AND($C25="Milestone",CI$8&gt;=$G25,CI$8&lt;=$G25+$H25-1),1,""))</f>
        <v/>
      </c>
      <c r="CJ25" s="69" t="str">
        <f ca="1">IF(AND($C25="Goal",CJ$8&gt;=$G25,CJ$8&lt;=$G25+$H25-1),2,IF(AND($C25="Milestone",CJ$8&gt;=$G25,CJ$8&lt;=$G25+$H25-1),1,""))</f>
        <v/>
      </c>
      <c r="CK25" s="69" t="str">
        <f ca="1">IF(AND($C25="Goal",CK$8&gt;=$G25,CK$8&lt;=$G25+$H25-1),2,IF(AND($C25="Milestone",CK$8&gt;=$G25,CK$8&lt;=$G25+$H25-1),1,""))</f>
        <v/>
      </c>
      <c r="CL25" s="69" t="str">
        <f ca="1">IF(AND($C25="Goal",CL$8&gt;=$G25,CL$8&lt;=$G25+$H25-1),2,IF(AND($C25="Milestone",CL$8&gt;=$G25,CL$8&lt;=$G25+$H25-1),1,""))</f>
        <v/>
      </c>
      <c r="CM25" s="69" t="str">
        <f ca="1">IF(AND($C25="Goal",CM$8&gt;=$G25,CM$8&lt;=$G25+$H25-1),2,IF(AND($C25="Milestone",CM$8&gt;=$G25,CM$8&lt;=$G25+$H25-1),1,""))</f>
        <v/>
      </c>
      <c r="CN25" s="69" t="str">
        <f ca="1">IF(AND($C25="Goal",CN$8&gt;=$G25,CN$8&lt;=$G25+$H25-1),2,IF(AND($C25="Milestone",CN$8&gt;=$G25,CN$8&lt;=$G25+$H25-1),1,""))</f>
        <v/>
      </c>
      <c r="CO25" s="69" t="str">
        <f ca="1">IF(AND($C25="Goal",CO$8&gt;=$G25,CO$8&lt;=$G25+$H25-1),2,IF(AND($C25="Milestone",CO$8&gt;=$G25,CO$8&lt;=$G25+$H25-1),1,""))</f>
        <v/>
      </c>
      <c r="CP25" s="69" t="str">
        <f ca="1">IF(AND($C25="Goal",CP$8&gt;=$G25,CP$8&lt;=$G25+$H25-1),2,IF(AND($C25="Milestone",CP$8&gt;=$G25,CP$8&lt;=$G25+$H25-1),1,""))</f>
        <v/>
      </c>
      <c r="CQ25" s="69" t="str">
        <f ca="1">IF(AND($C25="Goal",CQ$8&gt;=$G25,CQ$8&lt;=$G25+$H25-1),2,IF(AND($C25="Milestone",CQ$8&gt;=$G25,CQ$8&lt;=$G25+$H25-1),1,""))</f>
        <v/>
      </c>
      <c r="CR25" s="69" t="str">
        <f ca="1">IF(AND($C25="Goal",CR$8&gt;=$G25,CR$8&lt;=$G25+$H25-1),2,IF(AND($C25="Milestone",CR$8&gt;=$G25,CR$8&lt;=$G25+$H25-1),1,""))</f>
        <v/>
      </c>
      <c r="CS25" s="69" t="str">
        <f ca="1">IF(AND($C25="Goal",CS$8&gt;=$G25,CS$8&lt;=$G25+$H25-1),2,IF(AND($C25="Milestone",CS$8&gt;=$G25,CS$8&lt;=$G25+$H25-1),1,""))</f>
        <v/>
      </c>
      <c r="CT25" s="69" t="str">
        <f ca="1">IF(AND($C25="Goal",CT$8&gt;=$G25,CT$8&lt;=$G25+$H25-1),2,IF(AND($C25="Milestone",CT$8&gt;=$G25,CT$8&lt;=$G25+$H25-1),1,""))</f>
        <v/>
      </c>
      <c r="CU25" s="69" t="str">
        <f ca="1">IF(AND($C25="Goal",CU$8&gt;=$G25,CU$8&lt;=$G25+$H25-1),2,IF(AND($C25="Milestone",CU$8&gt;=$G25,CU$8&lt;=$G25+$H25-1),1,""))</f>
        <v/>
      </c>
      <c r="CV25" s="69" t="str">
        <f ca="1">IF(AND($C25="Goal",CV$8&gt;=$G25,CV$8&lt;=$G25+$H25-1),2,IF(AND($C25="Milestone",CV$8&gt;=$G25,CV$8&lt;=$G25+$H25-1),1,""))</f>
        <v/>
      </c>
      <c r="CW25" s="69" t="str">
        <f ca="1">IF(AND($C25="Goal",CW$8&gt;=$G25,CW$8&lt;=$G25+$H25-1),2,IF(AND($C25="Milestone",CW$8&gt;=$G25,CW$8&lt;=$G25+$H25-1),1,""))</f>
        <v/>
      </c>
      <c r="CX25" s="69" t="str">
        <f ca="1">IF(AND($C25="Goal",CX$8&gt;=$G25,CX$8&lt;=$G25+$H25-1),2,IF(AND($C25="Milestone",CX$8&gt;=$G25,CX$8&lt;=$G25+$H25-1),1,""))</f>
        <v/>
      </c>
      <c r="CY25" s="69" t="str">
        <f ca="1">IF(AND($C25="Goal",CY$8&gt;=$G25,CY$8&lt;=$G25+$H25-1),2,IF(AND($C25="Milestone",CY$8&gt;=$G25,CY$8&lt;=$G25+$H25-1),1,""))</f>
        <v/>
      </c>
      <c r="CZ25" s="69" t="str">
        <f ca="1">IF(AND($C25="Goal",CZ$8&gt;=$G25,CZ$8&lt;=$G25+$H25-1),2,IF(AND($C25="Milestone",CZ$8&gt;=$G25,CZ$8&lt;=$G25+$H25-1),1,""))</f>
        <v/>
      </c>
      <c r="DA25" s="69" t="str">
        <f ca="1">IF(AND($C25="Goal",DA$8&gt;=$G25,DA$8&lt;=$G25+$H25-1),2,IF(AND($C25="Milestone",DA$8&gt;=$G25,DA$8&lt;=$G25+$H25-1),1,""))</f>
        <v/>
      </c>
      <c r="DB25" s="69" t="str">
        <f ca="1">IF(AND($C25="Goal",DB$8&gt;=$G25,DB$8&lt;=$G25+$H25-1),2,IF(AND($C25="Milestone",DB$8&gt;=$G25,DB$8&lt;=$G25+$H25-1),1,""))</f>
        <v/>
      </c>
      <c r="DC25" s="69" t="str">
        <f ca="1">IF(AND($C25="Goal",DC$8&gt;=$G25,DC$8&lt;=$G25+$H25-1),2,IF(AND($C25="Milestone",DC$8&gt;=$G25,DC$8&lt;=$G25+$H25-1),1,""))</f>
        <v/>
      </c>
      <c r="DD25" s="69" t="str">
        <f ca="1">IF(AND($C25="Goal",DD$8&gt;=$G25,DD$8&lt;=$G25+$H25-1),2,IF(AND($C25="Milestone",DD$8&gt;=$G25,DD$8&lt;=$G25+$H25-1),1,""))</f>
        <v/>
      </c>
      <c r="DE25" s="69" t="str">
        <f ca="1">IF(AND($C25="Goal",DE$8&gt;=$G25,DE$8&lt;=$G25+$H25-1),2,IF(AND($C25="Milestone",DE$8&gt;=$G25,DE$8&lt;=$G25+$H25-1),1,""))</f>
        <v/>
      </c>
      <c r="DF25" s="69" t="str">
        <f ca="1">IF(AND($C25="Goal",DF$8&gt;=$G25,DF$8&lt;=$G25+$H25-1),2,IF(AND($C25="Milestone",DF$8&gt;=$G25,DF$8&lt;=$G25+$H25-1),1,""))</f>
        <v/>
      </c>
      <c r="DG25" s="69" t="str">
        <f ca="1">IF(AND($C25="Goal",DG$8&gt;=$G25,DG$8&lt;=$G25+$H25-1),2,IF(AND($C25="Milestone",DG$8&gt;=$G25,DG$8&lt;=$G25+$H25-1),1,""))</f>
        <v/>
      </c>
      <c r="DH25" s="69" t="str">
        <f ca="1">IF(AND($C25="Goal",DH$8&gt;=$G25,DH$8&lt;=$G25+$H25-1),2,IF(AND($C25="Milestone",DH$8&gt;=$G25,DH$8&lt;=$G25+$H25-1),1,""))</f>
        <v/>
      </c>
      <c r="DI25" s="69" t="str">
        <f ca="1">IF(AND($C25="Goal",DI$8&gt;=$G25,DI$8&lt;=$G25+$H25-1),2,IF(AND($C25="Milestone",DI$8&gt;=$G25,DI$8&lt;=$G25+$H25-1),1,""))</f>
        <v/>
      </c>
      <c r="DJ25" s="69" t="str">
        <f ca="1">IF(AND($C25="Goal",DJ$8&gt;=$G25,DJ$8&lt;=$G25+$H25-1),2,IF(AND($C25="Milestone",DJ$8&gt;=$G25,DJ$8&lt;=$G25+$H25-1),1,""))</f>
        <v/>
      </c>
      <c r="DK25" s="69" t="str">
        <f ca="1">IF(AND($C25="Goal",DK$8&gt;=$G25,DK$8&lt;=$G25+$H25-1),2,IF(AND($C25="Milestone",DK$8&gt;=$G25,DK$8&lt;=$G25+$H25-1),1,""))</f>
        <v/>
      </c>
      <c r="DL25" s="69" t="str">
        <f ca="1">IF(AND($C25="Goal",DL$8&gt;=$G25,DL$8&lt;=$G25+$H25-1),2,IF(AND($C25="Milestone",DL$8&gt;=$G25,DL$8&lt;=$G25+$H25-1),1,""))</f>
        <v/>
      </c>
      <c r="DM25" s="69" t="str">
        <f ca="1">IF(AND($C25="Goal",DM$8&gt;=$G25,DM$8&lt;=$G25+$H25-1),2,IF(AND($C25="Milestone",DM$8&gt;=$G25,DM$8&lt;=$G25+$H25-1),1,""))</f>
        <v/>
      </c>
      <c r="DN25" s="69" t="str">
        <f ca="1">IF(AND($C25="Goal",DN$8&gt;=$G25,DN$8&lt;=$G25+$H25-1),2,IF(AND($C25="Milestone",DN$8&gt;=$G25,DN$8&lt;=$G25+$H25-1),1,""))</f>
        <v/>
      </c>
      <c r="DO25" s="69" t="str">
        <f ca="1">IF(AND($C25="Goal",DO$8&gt;=$G25,DO$8&lt;=$G25+$H25-1),2,IF(AND($C25="Milestone",DO$8&gt;=$G25,DO$8&lt;=$G25+$H25-1),1,""))</f>
        <v/>
      </c>
      <c r="DP25" s="69" t="str">
        <f ca="1">IF(AND($C25="Goal",DP$8&gt;=$G25,DP$8&lt;=$G25+$H25-1),2,IF(AND($C25="Milestone",DP$8&gt;=$G25,DP$8&lt;=$G25+$H25-1),1,""))</f>
        <v/>
      </c>
      <c r="DQ25" s="69" t="str">
        <f ca="1">IF(AND($C25="Goal",DQ$8&gt;=$G25,DQ$8&lt;=$G25+$H25-1),2,IF(AND($C25="Milestone",DQ$8&gt;=$G25,DQ$8&lt;=$G25+$H25-1),1,""))</f>
        <v/>
      </c>
      <c r="DR25" s="69" t="str">
        <f ca="1">IF(AND($C25="Goal",DR$8&gt;=$G25,DR$8&lt;=$G25+$H25-1),2,IF(AND($C25="Milestone",DR$8&gt;=$G25,DR$8&lt;=$G25+$H25-1),1,""))</f>
        <v/>
      </c>
      <c r="DS25" s="69" t="str">
        <f ca="1">IF(AND($C25="Goal",DS$8&gt;=$G25,DS$8&lt;=$G25+$H25-1),2,IF(AND($C25="Milestone",DS$8&gt;=$G25,DS$8&lt;=$G25+$H25-1),1,""))</f>
        <v/>
      </c>
      <c r="DT25" s="69" t="str">
        <f ca="1">IF(AND($C25="Goal",DT$8&gt;=$G25,DT$8&lt;=$G25+$H25-1),2,IF(AND($C25="Milestone",DT$8&gt;=$G25,DT$8&lt;=$G25+$H25-1),1,""))</f>
        <v/>
      </c>
      <c r="DU25" s="69" t="str">
        <f ca="1">IF(AND($C25="Goal",DU$8&gt;=$G25,DU$8&lt;=$G25+$H25-1),2,IF(AND($C25="Milestone",DU$8&gt;=$G25,DU$8&lt;=$G25+$H25-1),1,""))</f>
        <v/>
      </c>
      <c r="DV25" s="69" t="str">
        <f ca="1">IF(AND($C25="Goal",DV$8&gt;=$G25,DV$8&lt;=$G25+$H25-1),2,IF(AND($C25="Milestone",DV$8&gt;=$G25,DV$8&lt;=$G25+$H25-1),1,""))</f>
        <v/>
      </c>
      <c r="DW25" s="69" t="str">
        <f ca="1">IF(AND($C25="Goal",DW$8&gt;=$G25,DW$8&lt;=$G25+$H25-1),2,IF(AND($C25="Milestone",DW$8&gt;=$G25,DW$8&lt;=$G25+$H25-1),1,""))</f>
        <v/>
      </c>
      <c r="DX25" s="69" t="str">
        <f ca="1">IF(AND($C25="Goal",DX$8&gt;=$G25,DX$8&lt;=$G25+$H25-1),2,IF(AND($C25="Milestone",DX$8&gt;=$G25,DX$8&lt;=$G25+$H25-1),1,""))</f>
        <v/>
      </c>
      <c r="DY25" s="69" t="str">
        <f ca="1">IF(AND($C25="Goal",DY$8&gt;=$G25,DY$8&lt;=$G25+$H25-1),2,IF(AND($C25="Milestone",DY$8&gt;=$G25,DY$8&lt;=$G25+$H25-1),1,""))</f>
        <v/>
      </c>
      <c r="DZ25" s="69" t="str">
        <f ca="1">IF(AND($C25="Goal",DZ$8&gt;=$G25,DZ$8&lt;=$G25+$H25-1),2,IF(AND($C25="Milestone",DZ$8&gt;=$G25,DZ$8&lt;=$G25+$H25-1),1,""))</f>
        <v/>
      </c>
      <c r="EA25" s="69" t="str">
        <f ca="1">IF(AND($C25="Goal",EA$8&gt;=$G25,EA$8&lt;=$G25+$H25-1),2,IF(AND($C25="Milestone",EA$8&gt;=$G25,EA$8&lt;=$G25+$H25-1),1,""))</f>
        <v/>
      </c>
      <c r="EB25" s="69" t="str">
        <f ca="1">IF(AND($C25="Goal",EB$8&gt;=$G25,EB$8&lt;=$G25+$H25-1),2,IF(AND($C25="Milestone",EB$8&gt;=$G25,EB$8&lt;=$G25+$H25-1),1,""))</f>
        <v/>
      </c>
      <c r="EC25" s="69" t="str">
        <f ca="1">IF(AND($C25="Goal",EC$8&gt;=$G25,EC$8&lt;=$G25+$H25-1),2,IF(AND($C25="Milestone",EC$8&gt;=$G25,EC$8&lt;=$G25+$H25-1),1,""))</f>
        <v/>
      </c>
      <c r="ED25" s="69" t="str">
        <f ca="1">IF(AND($C25="Goal",ED$8&gt;=$G25,ED$8&lt;=$G25+$H25-1),2,IF(AND($C25="Milestone",ED$8&gt;=$G25,ED$8&lt;=$G25+$H25-1),1,""))</f>
        <v/>
      </c>
      <c r="EE25" s="69" t="str">
        <f ca="1">IF(AND($C25="Goal",EE$8&gt;=$G25,EE$8&lt;=$G25+$H25-1),2,IF(AND($C25="Milestone",EE$8&gt;=$G25,EE$8&lt;=$G25+$H25-1),1,""))</f>
        <v/>
      </c>
      <c r="EF25" s="69" t="str">
        <f ca="1">IF(AND($C25="Goal",EF$8&gt;=$G25,EF$8&lt;=$G25+$H25-1),2,IF(AND($C25="Milestone",EF$8&gt;=$G25,EF$8&lt;=$G25+$H25-1),1,""))</f>
        <v/>
      </c>
      <c r="EG25" s="69" t="str">
        <f ca="1">IF(AND($C25="Goal",EG$8&gt;=$G25,EG$8&lt;=$G25+$H25-1),2,IF(AND($C25="Milestone",EG$8&gt;=$G25,EG$8&lt;=$G25+$H25-1),1,""))</f>
        <v/>
      </c>
      <c r="EH25" s="69" t="str">
        <f ca="1">IF(AND($C25="Goal",EH$8&gt;=$G25,EH$8&lt;=$G25+$H25-1),2,IF(AND($C25="Milestone",EH$8&gt;=$G25,EH$8&lt;=$G25+$H25-1),1,""))</f>
        <v/>
      </c>
      <c r="EI25" s="69" t="str">
        <f ca="1">IF(AND($C25="Goal",EI$8&gt;=$G25,EI$8&lt;=$G25+$H25-1),2,IF(AND($C25="Milestone",EI$8&gt;=$G25,EI$8&lt;=$G25+$H25-1),1,""))</f>
        <v/>
      </c>
      <c r="EJ25" s="69" t="str">
        <f ca="1">IF(AND($C25="Goal",EJ$8&gt;=$G25,EJ$8&lt;=$G25+$H25-1),2,IF(AND($C25="Milestone",EJ$8&gt;=$G25,EJ$8&lt;=$G25+$H25-1),1,""))</f>
        <v/>
      </c>
      <c r="EK25" s="69" t="str">
        <f ca="1">IF(AND($C25="Goal",EK$8&gt;=$G25,EK$8&lt;=$G25+$H25-1),2,IF(AND($C25="Milestone",EK$8&gt;=$G25,EK$8&lt;=$G25+$H25-1),1,""))</f>
        <v/>
      </c>
      <c r="EL25" s="69" t="str">
        <f ca="1">IF(AND($C25="Goal",EL$8&gt;=$G25,EL$8&lt;=$G25+$H25-1),2,IF(AND($C25="Milestone",EL$8&gt;=$G25,EL$8&lt;=$G25+$H25-1),1,""))</f>
        <v/>
      </c>
      <c r="EM25" s="69" t="str">
        <f ca="1">IF(AND($C25="Goal",EM$8&gt;=$G25,EM$8&lt;=$G25+$H25-1),2,IF(AND($C25="Milestone",EM$8&gt;=$G25,EM$8&lt;=$G25+$H25-1),1,""))</f>
        <v/>
      </c>
      <c r="EN25" s="69" t="str">
        <f ca="1">IF(AND($C25="Goal",EN$8&gt;=$G25,EN$8&lt;=$G25+$H25-1),2,IF(AND($C25="Milestone",EN$8&gt;=$G25,EN$8&lt;=$G25+$H25-1),1,""))</f>
        <v/>
      </c>
      <c r="EO25" s="69" t="str">
        <f ca="1">IF(AND($C25="Goal",EO$8&gt;=$G25,EO$8&lt;=$G25+$H25-1),2,IF(AND($C25="Milestone",EO$8&gt;=$G25,EO$8&lt;=$G25+$H25-1),1,""))</f>
        <v/>
      </c>
      <c r="EP25" s="69" t="str">
        <f ca="1">IF(AND($C25="Goal",EP$8&gt;=$G25,EP$8&lt;=$G25+$H25-1),2,IF(AND($C25="Milestone",EP$8&gt;=$G25,EP$8&lt;=$G25+$H25-1),1,""))</f>
        <v/>
      </c>
      <c r="EQ25" s="69" t="str">
        <f ca="1">IF(AND($C25="Goal",EQ$8&gt;=$G25,EQ$8&lt;=$G25+$H25-1),2,IF(AND($C25="Milestone",EQ$8&gt;=$G25,EQ$8&lt;=$G25+$H25-1),1,""))</f>
        <v/>
      </c>
      <c r="ER25" s="69" t="str">
        <f ca="1">IF(AND($C25="Goal",ER$8&gt;=$G25,ER$8&lt;=$G25+$H25-1),2,IF(AND($C25="Milestone",ER$8&gt;=$G25,ER$8&lt;=$G25+$H25-1),1,""))</f>
        <v/>
      </c>
      <c r="ES25" s="69" t="str">
        <f ca="1">IF(AND($C25="Goal",ES$8&gt;=$G25,ES$8&lt;=$G25+$H25-1),2,IF(AND($C25="Milestone",ES$8&gt;=$G25,ES$8&lt;=$G25+$H25-1),1,""))</f>
        <v/>
      </c>
      <c r="ET25" s="69" t="str">
        <f ca="1">IF(AND($C25="Goal",ET$8&gt;=$G25,ET$8&lt;=$G25+$H25-1),2,IF(AND($C25="Milestone",ET$8&gt;=$G25,ET$8&lt;=$G25+$H25-1),1,""))</f>
        <v/>
      </c>
      <c r="EU25" s="69" t="str">
        <f ca="1">IF(AND($C25="Goal",EU$8&gt;=$G25,EU$8&lt;=$G25+$H25-1),2,IF(AND($C25="Milestone",EU$8&gt;=$G25,EU$8&lt;=$G25+$H25-1),1,""))</f>
        <v/>
      </c>
      <c r="EV25" s="69" t="str">
        <f ca="1">IF(AND($C25="Goal",EV$8&gt;=$G25,EV$8&lt;=$G25+$H25-1),2,IF(AND($C25="Milestone",EV$8&gt;=$G25,EV$8&lt;=$G25+$H25-1),1,""))</f>
        <v/>
      </c>
      <c r="EW25" s="69" t="str">
        <f ca="1">IF(AND($C25="Goal",EW$8&gt;=$G25,EW$8&lt;=$G25+$H25-1),2,IF(AND($C25="Milestone",EW$8&gt;=$G25,EW$8&lt;=$G25+$H25-1),1,""))</f>
        <v/>
      </c>
      <c r="EX25" s="69" t="str">
        <f ca="1">IF(AND($C25="Goal",EX$8&gt;=$G25,EX$8&lt;=$G25+$H25-1),2,IF(AND($C25="Milestone",EX$8&gt;=$G25,EX$8&lt;=$G25+$H25-1),1,""))</f>
        <v/>
      </c>
      <c r="EY25" s="69" t="str">
        <f ca="1">IF(AND($C25="Goal",EY$8&gt;=$G25,EY$8&lt;=$G25+$H25-1),2,IF(AND($C25="Milestone",EY$8&gt;=$G25,EY$8&lt;=$G25+$H25-1),1,""))</f>
        <v/>
      </c>
      <c r="EZ25" s="69" t="str">
        <f ca="1">IF(AND($C25="Goal",EZ$8&gt;=$G25,EZ$8&lt;=$G25+$H25-1),2,IF(AND($C25="Milestone",EZ$8&gt;=$G25,EZ$8&lt;=$G25+$H25-1),1,""))</f>
        <v/>
      </c>
      <c r="FA25" s="69" t="str">
        <f ca="1">IF(AND($C25="Goal",FA$8&gt;=$G25,FA$8&lt;=$G25+$H25-1),2,IF(AND($C25="Milestone",FA$8&gt;=$G25,FA$8&lt;=$G25+$H25-1),1,""))</f>
        <v/>
      </c>
      <c r="FB25" s="69" t="str">
        <f ca="1">IF(AND($C25="Goal",FB$8&gt;=$G25,FB$8&lt;=$G25+$H25-1),2,IF(AND($C25="Milestone",FB$8&gt;=$G25,FB$8&lt;=$G25+$H25-1),1,""))</f>
        <v/>
      </c>
      <c r="FC25" s="69" t="str">
        <f ca="1">IF(AND($C25="Goal",FC$8&gt;=$G25,FC$8&lt;=$G25+$H25-1),2,IF(AND($C25="Milestone",FC$8&gt;=$G25,FC$8&lt;=$G25+$H25-1),1,""))</f>
        <v/>
      </c>
      <c r="FD25" s="69" t="str">
        <f ca="1">IF(AND($C25="Goal",FD$8&gt;=$G25,FD$8&lt;=$G25+$H25-1),2,IF(AND($C25="Milestone",FD$8&gt;=$G25,FD$8&lt;=$G25+$H25-1),1,""))</f>
        <v/>
      </c>
      <c r="FE25" s="69" t="str">
        <f ca="1">IF(AND($C25="Goal",FE$8&gt;=$G25,FE$8&lt;=$G25+$H25-1),2,IF(AND($C25="Milestone",FE$8&gt;=$G25,FE$8&lt;=$G25+$H25-1),1,""))</f>
        <v/>
      </c>
      <c r="FF25" s="69" t="str">
        <f ca="1">IF(AND($C25="Goal",FF$8&gt;=$G25,FF$8&lt;=$G25+$H25-1),2,IF(AND($C25="Milestone",FF$8&gt;=$G25,FF$8&lt;=$G25+$H25-1),1,""))</f>
        <v/>
      </c>
      <c r="FG25" s="69" t="str">
        <f ca="1">IF(AND($C25="Goal",FG$8&gt;=$G25,FG$8&lt;=$G25+$H25-1),2,IF(AND($C25="Milestone",FG$8&gt;=$G25,FG$8&lt;=$G25+$H25-1),1,""))</f>
        <v/>
      </c>
      <c r="FH25" s="69" t="str">
        <f ca="1">IF(AND($C25="Goal",FH$8&gt;=$G25,FH$8&lt;=$G25+$H25-1),2,IF(AND($C25="Milestone",FH$8&gt;=$G25,FH$8&lt;=$G25+$H25-1),1,""))</f>
        <v/>
      </c>
      <c r="FI25" s="69" t="str">
        <f ca="1">IF(AND($C25="Goal",FI$8&gt;=$G25,FI$8&lt;=$G25+$H25-1),2,IF(AND($C25="Milestone",FI$8&gt;=$G25,FI$8&lt;=$G25+$H25-1),1,""))</f>
        <v/>
      </c>
      <c r="FJ25" s="69" t="str">
        <f ca="1">IF(AND($C25="Goal",FJ$8&gt;=$G25,FJ$8&lt;=$G25+$H25-1),2,IF(AND($C25="Milestone",FJ$8&gt;=$G25,FJ$8&lt;=$G25+$H25-1),1,""))</f>
        <v/>
      </c>
      <c r="FK25" s="69" t="str">
        <f ca="1">IF(AND($C25="Goal",FK$8&gt;=$G25,FK$8&lt;=$G25+$H25-1),2,IF(AND($C25="Milestone",FK$8&gt;=$G25,FK$8&lt;=$G25+$H25-1),1,""))</f>
        <v/>
      </c>
      <c r="FL25" s="69" t="str">
        <f ca="1">IF(AND($C25="Goal",FL$8&gt;=$G25,FL$8&lt;=$G25+$H25-1),2,IF(AND($C25="Milestone",FL$8&gt;=$G25,FL$8&lt;=$G25+$H25-1),1,""))</f>
        <v/>
      </c>
      <c r="FM25" s="69" t="str">
        <f ca="1">IF(AND($C25="Goal",FM$8&gt;=$G25,FM$8&lt;=$G25+$H25-1),2,IF(AND($C25="Milestone",FM$8&gt;=$G25,FM$8&lt;=$G25+$H25-1),1,""))</f>
        <v/>
      </c>
      <c r="FN25" s="69" t="str">
        <f ca="1">IF(AND($C25="Goal",FN$8&gt;=$G25,FN$8&lt;=$G25+$H25-1),2,IF(AND($C25="Milestone",FN$8&gt;=$G25,FN$8&lt;=$G25+$H25-1),1,""))</f>
        <v/>
      </c>
      <c r="FO25" s="69" t="str">
        <f ca="1">IF(AND($C25="Goal",FO$8&gt;=$G25,FO$8&lt;=$G25+$H25-1),2,IF(AND($C25="Milestone",FO$8&gt;=$G25,FO$8&lt;=$G25+$H25-1),1,""))</f>
        <v/>
      </c>
      <c r="FP25" s="69" t="str">
        <f ca="1">IF(AND($C25="Goal",FP$8&gt;=$G25,FP$8&lt;=$G25+$H25-1),2,IF(AND($C25="Milestone",FP$8&gt;=$G25,FP$8&lt;=$G25+$H25-1),1,""))</f>
        <v/>
      </c>
      <c r="FQ25" s="69" t="str">
        <f ca="1">IF(AND($C25="Goal",FQ$8&gt;=$G25,FQ$8&lt;=$G25+$H25-1),2,IF(AND($C25="Milestone",FQ$8&gt;=$G25,FQ$8&lt;=$G25+$H25-1),1,""))</f>
        <v/>
      </c>
      <c r="FR25" s="69" t="str">
        <f ca="1">IF(AND($C25="Goal",FR$8&gt;=$G25,FR$8&lt;=$G25+$H25-1),2,IF(AND($C25="Milestone",FR$8&gt;=$G25,FR$8&lt;=$G25+$H25-1),1,""))</f>
        <v/>
      </c>
      <c r="FS25" s="69" t="str">
        <f ca="1">IF(AND($C25="Goal",FS$8&gt;=$G25,FS$8&lt;=$G25+$H25-1),2,IF(AND($C25="Milestone",FS$8&gt;=$G25,FS$8&lt;=$G25+$H25-1),1,""))</f>
        <v/>
      </c>
      <c r="FT25" s="69" t="str">
        <f ca="1">IF(AND($C25="Goal",FT$8&gt;=$G25,FT$8&lt;=$G25+$H25-1),2,IF(AND($C25="Milestone",FT$8&gt;=$G25,FT$8&lt;=$G25+$H25-1),1,""))</f>
        <v/>
      </c>
      <c r="FU25" s="69" t="str">
        <f ca="1">IF(AND($C25="Goal",FU$8&gt;=$G25,FU$8&lt;=$G25+$H25-1),2,IF(AND($C25="Milestone",FU$8&gt;=$G25,FU$8&lt;=$G25+$H25-1),1,""))</f>
        <v/>
      </c>
      <c r="FV25" s="69" t="str">
        <f ca="1">IF(AND($C25="Goal",FV$8&gt;=$G25,FV$8&lt;=$G25+$H25-1),2,IF(AND($C25="Milestone",FV$8&gt;=$G25,FV$8&lt;=$G25+$H25-1),1,""))</f>
        <v/>
      </c>
      <c r="FW25" s="69" t="str">
        <f ca="1">IF(AND($C25="Goal",FW$8&gt;=$G25,FW$8&lt;=$G25+$H25-1),2,IF(AND($C25="Milestone",FW$8&gt;=$G25,FW$8&lt;=$G25+$H25-1),1,""))</f>
        <v/>
      </c>
      <c r="FX25" s="69" t="str">
        <f ca="1">IF(AND($C25="Goal",FX$8&gt;=$G25,FX$8&lt;=$G25+$H25-1),2,IF(AND($C25="Milestone",FX$8&gt;=$G25,FX$8&lt;=$G25+$H25-1),1,""))</f>
        <v/>
      </c>
      <c r="FY25" s="69" t="str">
        <f ca="1">IF(AND($C25="Goal",FY$8&gt;=$G25,FY$8&lt;=$G25+$H25-1),2,IF(AND($C25="Milestone",FY$8&gt;=$G25,FY$8&lt;=$G25+$H25-1),1,""))</f>
        <v/>
      </c>
      <c r="FZ25" s="69" t="str">
        <f ca="1">IF(AND($C25="Goal",FZ$8&gt;=$G25,FZ$8&lt;=$G25+$H25-1),2,IF(AND($C25="Milestone",FZ$8&gt;=$G25,FZ$8&lt;=$G25+$H25-1),1,""))</f>
        <v/>
      </c>
      <c r="GA25" s="69" t="str">
        <f ca="1">IF(AND($C25="Goal",GA$8&gt;=$G25,GA$8&lt;=$G25+$H25-1),2,IF(AND($C25="Milestone",GA$8&gt;=$G25,GA$8&lt;=$G25+$H25-1),1,""))</f>
        <v/>
      </c>
      <c r="GB25" s="69" t="str">
        <f ca="1">IF(AND($C25="Goal",GB$8&gt;=$G25,GB$8&lt;=$G25+$H25-1),2,IF(AND($C25="Milestone",GB$8&gt;=$G25,GB$8&lt;=$G25+$H25-1),1,""))</f>
        <v/>
      </c>
      <c r="GC25" s="69" t="str">
        <f ca="1">IF(AND($C25="Goal",GC$8&gt;=$G25,GC$8&lt;=$G25+$H25-1),2,IF(AND($C25="Milestone",GC$8&gt;=$G25,GC$8&lt;=$G25+$H25-1),1,""))</f>
        <v/>
      </c>
      <c r="GD25" s="69" t="str">
        <f ca="1">IF(AND($C25="Goal",GD$8&gt;=$G25,GD$8&lt;=$G25+$H25-1),2,IF(AND($C25="Milestone",GD$8&gt;=$G25,GD$8&lt;=$G25+$H25-1),1,""))</f>
        <v/>
      </c>
      <c r="GE25" s="69" t="str">
        <f ca="1">IF(AND($C25="Goal",GE$8&gt;=$G25,GE$8&lt;=$G25+$H25-1),2,IF(AND($C25="Milestone",GE$8&gt;=$G25,GE$8&lt;=$G25+$H25-1),1,""))</f>
        <v/>
      </c>
      <c r="GF25" s="69" t="str">
        <f ca="1">IF(AND($C25="Goal",GF$8&gt;=$G25,GF$8&lt;=$G25+$H25-1),2,IF(AND($C25="Milestone",GF$8&gt;=$G25,GF$8&lt;=$G25+$H25-1),1,""))</f>
        <v/>
      </c>
      <c r="GG25" s="69" t="str">
        <f ca="1">IF(AND($C25="Goal",GG$8&gt;=$G25,GG$8&lt;=$G25+$H25-1),2,IF(AND($C25="Milestone",GG$8&gt;=$G25,GG$8&lt;=$G25+$H25-1),1,""))</f>
        <v/>
      </c>
      <c r="GH25" s="69" t="str">
        <f ca="1">IF(AND($C25="Goal",GH$8&gt;=$G25,GH$8&lt;=$G25+$H25-1),2,IF(AND($C25="Milestone",GH$8&gt;=$G25,GH$8&lt;=$G25+$H25-1),1,""))</f>
        <v/>
      </c>
      <c r="GI25" s="69" t="str">
        <f ca="1">IF(AND($C25="Goal",GI$8&gt;=$G25,GI$8&lt;=$G25+$H25-1),2,IF(AND($C25="Milestone",GI$8&gt;=$G25,GI$8&lt;=$G25+$H25-1),1,""))</f>
        <v/>
      </c>
      <c r="GJ25" s="69" t="str">
        <f ca="1">IF(AND($C25="Goal",GJ$8&gt;=$G25,GJ$8&lt;=$G25+$H25-1),2,IF(AND($C25="Milestone",GJ$8&gt;=$G25,GJ$8&lt;=$G25+$H25-1),1,""))</f>
        <v/>
      </c>
      <c r="GK25" s="69" t="str">
        <f ca="1">IF(AND($C25="Goal",GK$8&gt;=$G25,GK$8&lt;=$G25+$H25-1),2,IF(AND($C25="Milestone",GK$8&gt;=$G25,GK$8&lt;=$G25+$H25-1),1,""))</f>
        <v/>
      </c>
      <c r="GL25" s="69" t="str">
        <f ca="1">IF(AND($C25="Goal",GL$8&gt;=$G25,GL$8&lt;=$G25+$H25-1),2,IF(AND($C25="Milestone",GL$8&gt;=$G25,GL$8&lt;=$G25+$H25-1),1,""))</f>
        <v/>
      </c>
      <c r="GM25" s="69" t="str">
        <f ca="1">IF(AND($C25="Goal",GM$8&gt;=$G25,GM$8&lt;=$G25+$H25-1),2,IF(AND($C25="Milestone",GM$8&gt;=$G25,GM$8&lt;=$G25+$H25-1),1,""))</f>
        <v/>
      </c>
      <c r="GN25" s="69" t="str">
        <f ca="1">IF(AND($C25="Goal",GN$8&gt;=$G25,GN$8&lt;=$G25+$H25-1),2,IF(AND($C25="Milestone",GN$8&gt;=$G25,GN$8&lt;=$G25+$H25-1),1,""))</f>
        <v/>
      </c>
      <c r="GO25" s="69" t="str">
        <f ca="1">IF(AND($C25="Goal",GO$8&gt;=$G25,GO$8&lt;=$G25+$H25-1),2,IF(AND($C25="Milestone",GO$8&gt;=$G25,GO$8&lt;=$G25+$H25-1),1,""))</f>
        <v/>
      </c>
      <c r="GP25" s="69" t="str">
        <f ca="1">IF(AND($C25="Goal",GP$8&gt;=$G25,GP$8&lt;=$G25+$H25-1),2,IF(AND($C25="Milestone",GP$8&gt;=$G25,GP$8&lt;=$G25+$H25-1),1,""))</f>
        <v/>
      </c>
      <c r="GQ25" s="69" t="str">
        <f ca="1">IF(AND($C25="Goal",GQ$8&gt;=$G25,GQ$8&lt;=$G25+$H25-1),2,IF(AND($C25="Milestone",GQ$8&gt;=$G25,GQ$8&lt;=$G25+$H25-1),1,""))</f>
        <v/>
      </c>
      <c r="GR25" s="69" t="str">
        <f ca="1">IF(AND($C25="Goal",GR$8&gt;=$G25,GR$8&lt;=$G25+$H25-1),2,IF(AND($C25="Milestone",GR$8&gt;=$G25,GR$8&lt;=$G25+$H25-1),1,""))</f>
        <v/>
      </c>
      <c r="GS25" s="69" t="str">
        <f ca="1">IF(AND($C25="Goal",GS$8&gt;=$G25,GS$8&lt;=$G25+$H25-1),2,IF(AND($C25="Milestone",GS$8&gt;=$G25,GS$8&lt;=$G25+$H25-1),1,""))</f>
        <v/>
      </c>
      <c r="GT25" s="69" t="str">
        <f ca="1">IF(AND($C25="Goal",GT$8&gt;=$G25,GT$8&lt;=$G25+$H25-1),2,IF(AND($C25="Milestone",GT$8&gt;=$G25,GT$8&lt;=$G25+$H25-1),1,""))</f>
        <v/>
      </c>
      <c r="GU25" s="69" t="str">
        <f ca="1">IF(AND($C25="Goal",GU$8&gt;=$G25,GU$8&lt;=$G25+$H25-1),2,IF(AND($C25="Milestone",GU$8&gt;=$G25,GU$8&lt;=$G25+$H25-1),1,""))</f>
        <v/>
      </c>
      <c r="GV25" s="69" t="str">
        <f ca="1">IF(AND($C25="Goal",GV$8&gt;=$G25,GV$8&lt;=$G25+$H25-1),2,IF(AND($C25="Milestone",GV$8&gt;=$G25,GV$8&lt;=$G25+$H25-1),1,""))</f>
        <v/>
      </c>
      <c r="GW25" s="69" t="str">
        <f ca="1">IF(AND($C25="Goal",GW$8&gt;=$G25,GW$8&lt;=$G25+$H25-1),2,IF(AND($C25="Milestone",GW$8&gt;=$G25,GW$8&lt;=$G25+$H25-1),1,""))</f>
        <v/>
      </c>
      <c r="GX25" s="69" t="str">
        <f ca="1">IF(AND($C25="Goal",GX$8&gt;=$G25,GX$8&lt;=$G25+$H25-1),2,IF(AND($C25="Milestone",GX$8&gt;=$G25,GX$8&lt;=$G25+$H25-1),1,""))</f>
        <v/>
      </c>
      <c r="GY25" s="69" t="str">
        <f ca="1">IF(AND($C25="Goal",GY$8&gt;=$G25,GY$8&lt;=$G25+$H25-1),2,IF(AND($C25="Milestone",GY$8&gt;=$G25,GY$8&lt;=$G25+$H25-1),1,""))</f>
        <v/>
      </c>
      <c r="GZ25" s="69" t="str">
        <f ca="1">IF(AND($C25="Goal",GZ$8&gt;=$G25,GZ$8&lt;=$G25+$H25-1),2,IF(AND($C25="Milestone",GZ$8&gt;=$G25,GZ$8&lt;=$G25+$H25-1),1,""))</f>
        <v/>
      </c>
      <c r="HA25" s="69" t="str">
        <f ca="1">IF(AND($C25="Goal",HA$8&gt;=$G25,HA$8&lt;=$G25+$H25-1),2,IF(AND($C25="Milestone",HA$8&gt;=$G25,HA$8&lt;=$G25+$H25-1),1,""))</f>
        <v/>
      </c>
      <c r="HB25" s="69" t="str">
        <f ca="1">IF(AND($C25="Goal",HB$8&gt;=$G25,HB$8&lt;=$G25+$H25-1),2,IF(AND($C25="Milestone",HB$8&gt;=$G25,HB$8&lt;=$G25+$H25-1),1,""))</f>
        <v/>
      </c>
      <c r="HC25" s="69" t="str">
        <f ca="1">IF(AND($C25="Goal",HC$8&gt;=$G25,HC$8&lt;=$G25+$H25-1),2,IF(AND($C25="Milestone",HC$8&gt;=$G25,HC$8&lt;=$G25+$H25-1),1,""))</f>
        <v/>
      </c>
      <c r="HD25" s="69" t="str">
        <f ca="1">IF(AND($C25="Goal",HD$8&gt;=$G25,HD$8&lt;=$G25+$H25-1),2,IF(AND($C25="Milestone",HD$8&gt;=$G25,HD$8&lt;=$G25+$H25-1),1,""))</f>
        <v/>
      </c>
      <c r="HE25" s="69" t="str">
        <f ca="1">IF(AND($C25="Goal",HE$8&gt;=$G25,HE$8&lt;=$G25+$H25-1),2,IF(AND($C25="Milestone",HE$8&gt;=$G25,HE$8&lt;=$G25+$H25-1),1,""))</f>
        <v/>
      </c>
      <c r="HF25" s="69" t="str">
        <f ca="1">IF(AND($C25="Goal",HF$8&gt;=$G25,HF$8&lt;=$G25+$H25-1),2,IF(AND($C25="Milestone",HF$8&gt;=$G25,HF$8&lt;=$G25+$H25-1),1,""))</f>
        <v/>
      </c>
      <c r="HG25" s="69" t="str">
        <f ca="1">IF(AND($C25="Goal",HG$8&gt;=$G25,HG$8&lt;=$G25+$H25-1),2,IF(AND($C25="Milestone",HG$8&gt;=$G25,HG$8&lt;=$G25+$H25-1),1,""))</f>
        <v/>
      </c>
      <c r="HH25" s="69" t="str">
        <f ca="1">IF(AND($C25="Goal",HH$8&gt;=$G25,HH$8&lt;=$G25+$H25-1),2,IF(AND($C25="Milestone",HH$8&gt;=$G25,HH$8&lt;=$G25+$H25-1),1,""))</f>
        <v/>
      </c>
      <c r="HI25" s="69" t="str">
        <f ca="1">IF(AND($C25="Goal",HI$8&gt;=$G25,HI$8&lt;=$G25+$H25-1),2,IF(AND($C25="Milestone",HI$8&gt;=$G25,HI$8&lt;=$G25+$H25-1),1,""))</f>
        <v/>
      </c>
      <c r="HJ25" s="69" t="str">
        <f ca="1">IF(AND($C25="Goal",HJ$8&gt;=$G25,HJ$8&lt;=$G25+$H25-1),2,IF(AND($C25="Milestone",HJ$8&gt;=$G25,HJ$8&lt;=$G25+$H25-1),1,""))</f>
        <v/>
      </c>
      <c r="HK25" s="69" t="str">
        <f ca="1">IF(AND($C25="Goal",HK$8&gt;=$G25,HK$8&lt;=$G25+$H25-1),2,IF(AND($C25="Milestone",HK$8&gt;=$G25,HK$8&lt;=$G25+$H25-1),1,""))</f>
        <v/>
      </c>
      <c r="HL25" s="69" t="str">
        <f ca="1">IF(AND($C25="Goal",HL$8&gt;=$G25,HL$8&lt;=$G25+$H25-1),2,IF(AND($C25="Milestone",HL$8&gt;=$G25,HL$8&lt;=$G25+$H25-1),1,""))</f>
        <v/>
      </c>
      <c r="HM25" s="69" t="str">
        <f ca="1">IF(AND($C25="Goal",HM$8&gt;=$G25,HM$8&lt;=$G25+$H25-1),2,IF(AND($C25="Milestone",HM$8&gt;=$G25,HM$8&lt;=$G25+$H25-1),1,""))</f>
        <v/>
      </c>
      <c r="HN25" s="69" t="str">
        <f ca="1">IF(AND($C25="Goal",HN$8&gt;=$G25,HN$8&lt;=$G25+$H25-1),2,IF(AND($C25="Milestone",HN$8&gt;=$G25,HN$8&lt;=$G25+$H25-1),1,""))</f>
        <v/>
      </c>
      <c r="HO25" s="69" t="str">
        <f ca="1">IF(AND($C25="Goal",HO$8&gt;=$G25,HO$8&lt;=$G25+$H25-1),2,IF(AND($C25="Milestone",HO$8&gt;=$G25,HO$8&lt;=$G25+$H25-1),1,""))</f>
        <v/>
      </c>
      <c r="HP25" s="69" t="str">
        <f ca="1">IF(AND($C25="Goal",HP$8&gt;=$G25,HP$8&lt;=$G25+$H25-1),2,IF(AND($C25="Milestone",HP$8&gt;=$G25,HP$8&lt;=$G25+$H25-1),1,""))</f>
        <v/>
      </c>
      <c r="HQ25" s="69" t="str">
        <f ca="1">IF(AND($C25="Goal",HQ$8&gt;=$G25,HQ$8&lt;=$G25+$H25-1),2,IF(AND($C25="Milestone",HQ$8&gt;=$G25,HQ$8&lt;=$G25+$H25-1),1,""))</f>
        <v/>
      </c>
      <c r="HR25" s="69" t="str">
        <f ca="1">IF(AND($C25="Goal",HR$8&gt;=$G25,HR$8&lt;=$G25+$H25-1),2,IF(AND($C25="Milestone",HR$8&gt;=$G25,HR$8&lt;=$G25+$H25-1),1,""))</f>
        <v/>
      </c>
      <c r="HS25" s="69" t="str">
        <f ca="1">IF(AND($C25="Goal",HS$8&gt;=$G25,HS$8&lt;=$G25+$H25-1),2,IF(AND($C25="Milestone",HS$8&gt;=$G25,HS$8&lt;=$G25+$H25-1),1,""))</f>
        <v/>
      </c>
      <c r="HT25" s="69" t="str">
        <f ca="1">IF(AND($C25="Goal",HT$8&gt;=$G25,HT$8&lt;=$G25+$H25-1),2,IF(AND($C25="Milestone",HT$8&gt;=$G25,HT$8&lt;=$G25+$H25-1),1,""))</f>
        <v/>
      </c>
      <c r="HU25" s="69" t="str">
        <f ca="1">IF(AND($C25="Goal",HU$8&gt;=$G25,HU$8&lt;=$G25+$H25-1),2,IF(AND($C25="Milestone",HU$8&gt;=$G25,HU$8&lt;=$G25+$H25-1),1,""))</f>
        <v/>
      </c>
      <c r="HV25" s="69" t="str">
        <f ca="1">IF(AND($C25="Goal",HV$8&gt;=$G25,HV$8&lt;=$G25+$H25-1),2,IF(AND($C25="Milestone",HV$8&gt;=$G25,HV$8&lt;=$G25+$H25-1),1,""))</f>
        <v/>
      </c>
      <c r="HW25" s="69" t="str">
        <f ca="1">IF(AND($C25="Goal",HW$8&gt;=$G25,HW$8&lt;=$G25+$H25-1),2,IF(AND($C25="Milestone",HW$8&gt;=$G25,HW$8&lt;=$G25+$H25-1),1,""))</f>
        <v/>
      </c>
      <c r="HX25" s="69" t="str">
        <f ca="1">IF(AND($C25="Goal",HX$8&gt;=$G25,HX$8&lt;=$G25+$H25-1),2,IF(AND($C25="Milestone",HX$8&gt;=$G25,HX$8&lt;=$G25+$H25-1),1,""))</f>
        <v/>
      </c>
      <c r="HY25" s="69" t="str">
        <f ca="1">IF(AND($C25="Goal",HY$8&gt;=$G25,HY$8&lt;=$G25+$H25-1),2,IF(AND($C25="Milestone",HY$8&gt;=$G25,HY$8&lt;=$G25+$H25-1),1,""))</f>
        <v/>
      </c>
      <c r="HZ25" s="69" t="str">
        <f ca="1">IF(AND($C25="Goal",HZ$8&gt;=$G25,HZ$8&lt;=$G25+$H25-1),2,IF(AND($C25="Milestone",HZ$8&gt;=$G25,HZ$8&lt;=$G25+$H25-1),1,""))</f>
        <v/>
      </c>
      <c r="IA25" s="69" t="str">
        <f ca="1">IF(AND($C25="Goal",IA$8&gt;=$G25,IA$8&lt;=$G25+$H25-1),2,IF(AND($C25="Milestone",IA$8&gt;=$G25,IA$8&lt;=$G25+$H25-1),1,""))</f>
        <v/>
      </c>
      <c r="IB25" s="69" t="str">
        <f ca="1">IF(AND($C25="Goal",IB$8&gt;=$G25,IB$8&lt;=$G25+$H25-1),2,IF(AND($C25="Milestone",IB$8&gt;=$G25,IB$8&lt;=$G25+$H25-1),1,""))</f>
        <v/>
      </c>
      <c r="IC25" s="69" t="str">
        <f ca="1">IF(AND($C25="Goal",IC$8&gt;=$G25,IC$8&lt;=$G25+$H25-1),2,IF(AND($C25="Milestone",IC$8&gt;=$G25,IC$8&lt;=$G25+$H25-1),1,""))</f>
        <v/>
      </c>
      <c r="ID25" s="69" t="str">
        <f ca="1">IF(AND($C25="Goal",ID$8&gt;=$G25,ID$8&lt;=$G25+$H25-1),2,IF(AND($C25="Milestone",ID$8&gt;=$G25,ID$8&lt;=$G25+$H25-1),1,""))</f>
        <v/>
      </c>
      <c r="IE25" s="69" t="str">
        <f ca="1">IF(AND($C25="Goal",IE$8&gt;=$G25,IE$8&lt;=$G25+$H25-1),2,IF(AND($C25="Milestone",IE$8&gt;=$G25,IE$8&lt;=$G25+$H25-1),1,""))</f>
        <v/>
      </c>
      <c r="IF25" s="69" t="str">
        <f ca="1">IF(AND($C25="Goal",IF$8&gt;=$G25,IF$8&lt;=$G25+$H25-1),2,IF(AND($C25="Milestone",IF$8&gt;=$G25,IF$8&lt;=$G25+$H25-1),1,""))</f>
        <v/>
      </c>
      <c r="IG25" s="69" t="str">
        <f ca="1">IF(AND($C25="Goal",IG$8&gt;=$G25,IG$8&lt;=$G25+$H25-1),2,IF(AND($C25="Milestone",IG$8&gt;=$G25,IG$8&lt;=$G25+$H25-1),1,""))</f>
        <v/>
      </c>
      <c r="IH25" s="69" t="str">
        <f ca="1">IF(AND($C25="Goal",IH$8&gt;=$G25,IH$8&lt;=$G25+$H25-1),2,IF(AND($C25="Milestone",IH$8&gt;=$G25,IH$8&lt;=$G25+$H25-1),1,""))</f>
        <v/>
      </c>
      <c r="II25" s="69" t="str">
        <f ca="1">IF(AND($C25="Goal",II$8&gt;=$G25,II$8&lt;=$G25+$H25-1),2,IF(AND($C25="Milestone",II$8&gt;=$G25,II$8&lt;=$G25+$H25-1),1,""))</f>
        <v/>
      </c>
      <c r="IJ25" s="69" t="str">
        <f ca="1">IF(AND($C25="Goal",IJ$8&gt;=$G25,IJ$8&lt;=$G25+$H25-1),2,IF(AND($C25="Milestone",IJ$8&gt;=$G25,IJ$8&lt;=$G25+$H25-1),1,""))</f>
        <v/>
      </c>
      <c r="IK25" s="69" t="str">
        <f ca="1">IF(AND($C25="Goal",IK$8&gt;=$G25,IK$8&lt;=$G25+$H25-1),2,IF(AND($C25="Milestone",IK$8&gt;=$G25,IK$8&lt;=$G25+$H25-1),1,""))</f>
        <v/>
      </c>
      <c r="IL25" s="69" t="str">
        <f ca="1">IF(AND($C25="Goal",IL$8&gt;=$G25,IL$8&lt;=$G25+$H25-1),2,IF(AND($C25="Milestone",IL$8&gt;=$G25,IL$8&lt;=$G25+$H25-1),1,""))</f>
        <v/>
      </c>
      <c r="IM25" s="69" t="str">
        <f ca="1">IF(AND($C25="Goal",IM$8&gt;=$G25,IM$8&lt;=$G25+$H25-1),2,IF(AND($C25="Milestone",IM$8&gt;=$G25,IM$8&lt;=$G25+$H25-1),1,""))</f>
        <v/>
      </c>
      <c r="IN25" s="69" t="str">
        <f ca="1">IF(AND($C25="Goal",IN$8&gt;=$G25,IN$8&lt;=$G25+$H25-1),2,IF(AND($C25="Milestone",IN$8&gt;=$G25,IN$8&lt;=$G25+$H25-1),1,""))</f>
        <v/>
      </c>
      <c r="IO25" s="69" t="str">
        <f ca="1">IF(AND($C25="Goal",IO$8&gt;=$G25,IO$8&lt;=$G25+$H25-1),2,IF(AND($C25="Milestone",IO$8&gt;=$G25,IO$8&lt;=$G25+$H25-1),1,""))</f>
        <v/>
      </c>
      <c r="IP25" s="69" t="str">
        <f ca="1">IF(AND($C25="Goal",IP$8&gt;=$G25,IP$8&lt;=$G25+$H25-1),2,IF(AND($C25="Milestone",IP$8&gt;=$G25,IP$8&lt;=$G25+$H25-1),1,""))</f>
        <v/>
      </c>
      <c r="IQ25" s="69" t="str">
        <f ca="1">IF(AND($C25="Goal",IQ$8&gt;=$G25,IQ$8&lt;=$G25+$H25-1),2,IF(AND($C25="Milestone",IQ$8&gt;=$G25,IQ$8&lt;=$G25+$H25-1),1,""))</f>
        <v/>
      </c>
      <c r="IR25" s="69" t="str">
        <f ca="1">IF(AND($C25="Goal",IR$8&gt;=$G25,IR$8&lt;=$G25+$H25-1),2,IF(AND($C25="Milestone",IR$8&gt;=$G25,IR$8&lt;=$G25+$H25-1),1,""))</f>
        <v/>
      </c>
      <c r="IS25" s="69" t="str">
        <f ca="1">IF(AND($C25="Goal",IS$8&gt;=$G25,IS$8&lt;=$G25+$H25-1),2,IF(AND($C25="Milestone",IS$8&gt;=$G25,IS$8&lt;=$G25+$H25-1),1,""))</f>
        <v/>
      </c>
      <c r="IT25" s="69" t="str">
        <f ca="1">IF(AND($C25="Goal",IT$8&gt;=$G25,IT$8&lt;=$G25+$H25-1),2,IF(AND($C25="Milestone",IT$8&gt;=$G25,IT$8&lt;=$G25+$H25-1),1,""))</f>
        <v/>
      </c>
      <c r="IU25" s="69" t="str">
        <f ca="1">IF(AND($C25="Goal",IU$8&gt;=$G25,IU$8&lt;=$G25+$H25-1),2,IF(AND($C25="Milestone",IU$8&gt;=$G25,IU$8&lt;=$G25+$H25-1),1,""))</f>
        <v/>
      </c>
      <c r="IV25" s="69" t="str">
        <f ca="1">IF(AND($C25="Goal",IV$8&gt;=$G25,IV$8&lt;=$G25+$H25-1),2,IF(AND($C25="Milestone",IV$8&gt;=$G25,IV$8&lt;=$G25+$H25-1),1,""))</f>
        <v/>
      </c>
      <c r="IW25" s="69" t="str">
        <f ca="1">IF(AND($C25="Goal",IW$8&gt;=$G25,IW$8&lt;=$G25+$H25-1),2,IF(AND($C25="Milestone",IW$8&gt;=$G25,IW$8&lt;=$G25+$H25-1),1,""))</f>
        <v/>
      </c>
      <c r="IX25" s="69" t="str">
        <f ca="1">IF(AND($C25="Goal",IX$8&gt;=$G25,IX$8&lt;=$G25+$H25-1),2,IF(AND($C25="Milestone",IX$8&gt;=$G25,IX$8&lt;=$G25+$H25-1),1,""))</f>
        <v/>
      </c>
      <c r="IY25" s="69" t="str">
        <f ca="1">IF(AND($C25="Goal",IY$8&gt;=$G25,IY$8&lt;=$G25+$H25-1),2,IF(AND($C25="Milestone",IY$8&gt;=$G25,IY$8&lt;=$G25+$H25-1),1,""))</f>
        <v/>
      </c>
      <c r="IZ25" s="69" t="str">
        <f ca="1">IF(AND($C25="Goal",IZ$8&gt;=$G25,IZ$8&lt;=$G25+$H25-1),2,IF(AND($C25="Milestone",IZ$8&gt;=$G25,IZ$8&lt;=$G25+$H25-1),1,""))</f>
        <v/>
      </c>
      <c r="JA25" s="69" t="str">
        <f ca="1">IF(AND($C25="Goal",JA$8&gt;=$G25,JA$8&lt;=$G25+$H25-1),2,IF(AND($C25="Milestone",JA$8&gt;=$G25,JA$8&lt;=$G25+$H25-1),1,""))</f>
        <v/>
      </c>
      <c r="JB25" s="69" t="str">
        <f ca="1">IF(AND($C25="Goal",JB$8&gt;=$G25,JB$8&lt;=$G25+$H25-1),2,IF(AND($C25="Milestone",JB$8&gt;=$G25,JB$8&lt;=$G25+$H25-1),1,""))</f>
        <v/>
      </c>
      <c r="JC25" s="69" t="str">
        <f ca="1">IF(AND($C25="Goal",JC$8&gt;=$G25,JC$8&lt;=$G25+$H25-1),2,IF(AND($C25="Milestone",JC$8&gt;=$G25,JC$8&lt;=$G25+$H25-1),1,""))</f>
        <v/>
      </c>
      <c r="JD25" s="69" t="str">
        <f ca="1">IF(AND($C25="Goal",JD$8&gt;=$G25,JD$8&lt;=$G25+$H25-1),2,IF(AND($C25="Milestone",JD$8&gt;=$G25,JD$8&lt;=$G25+$H25-1),1,""))</f>
        <v/>
      </c>
      <c r="JE25" s="69" t="str">
        <f ca="1">IF(AND($C25="Goal",JE$8&gt;=$G25,JE$8&lt;=$G25+$H25-1),2,IF(AND($C25="Milestone",JE$8&gt;=$G25,JE$8&lt;=$G25+$H25-1),1,""))</f>
        <v/>
      </c>
      <c r="JF25" s="69" t="str">
        <f ca="1">IF(AND($C25="Goal",JF$8&gt;=$G25,JF$8&lt;=$G25+$H25-1),2,IF(AND($C25="Milestone",JF$8&gt;=$G25,JF$8&lt;=$G25+$H25-1),1,""))</f>
        <v/>
      </c>
      <c r="JG25" s="69" t="str">
        <f ca="1">IF(AND($C25="Goal",JG$8&gt;=$G25,JG$8&lt;=$G25+$H25-1),2,IF(AND($C25="Milestone",JG$8&gt;=$G25,JG$8&lt;=$G25+$H25-1),1,""))</f>
        <v/>
      </c>
      <c r="JH25" s="69" t="str">
        <f ca="1">IF(AND($C25="Goal",JH$8&gt;=$G25,JH$8&lt;=$G25+$H25-1),2,IF(AND($C25="Milestone",JH$8&gt;=$G25,JH$8&lt;=$G25+$H25-1),1,""))</f>
        <v/>
      </c>
      <c r="JI25" s="69" t="str">
        <f ca="1">IF(AND($C25="Goal",JI$8&gt;=$G25,JI$8&lt;=$G25+$H25-1),2,IF(AND($C25="Milestone",JI$8&gt;=$G25,JI$8&lt;=$G25+$H25-1),1,""))</f>
        <v/>
      </c>
      <c r="JJ25" s="69" t="str">
        <f ca="1">IF(AND($C25="Goal",JJ$8&gt;=$G25,JJ$8&lt;=$G25+$H25-1),2,IF(AND($C25="Milestone",JJ$8&gt;=$G25,JJ$8&lt;=$G25+$H25-1),1,""))</f>
        <v/>
      </c>
      <c r="JK25" s="69" t="str">
        <f ca="1">IF(AND($C25="Goal",JK$8&gt;=$G25,JK$8&lt;=$G25+$H25-1),2,IF(AND($C25="Milestone",JK$8&gt;=$G25,JK$8&lt;=$G25+$H25-1),1,""))</f>
        <v/>
      </c>
      <c r="JL25" s="69" t="str">
        <f ca="1">IF(AND($C25="Goal",JL$8&gt;=$G25,JL$8&lt;=$G25+$H25-1),2,IF(AND($C25="Milestone",JL$8&gt;=$G25,JL$8&lt;=$G25+$H25-1),1,""))</f>
        <v/>
      </c>
      <c r="JM25" s="69" t="str">
        <f ca="1">IF(AND($C25="Goal",JM$8&gt;=$G25,JM$8&lt;=$G25+$H25-1),2,IF(AND($C25="Milestone",JM$8&gt;=$G25,JM$8&lt;=$G25+$H25-1),1,""))</f>
        <v/>
      </c>
      <c r="JN25" s="69" t="str">
        <f ca="1">IF(AND($C25="Goal",JN$8&gt;=$G25,JN$8&lt;=$G25+$H25-1),2,IF(AND($C25="Milestone",JN$8&gt;=$G25,JN$8&lt;=$G25+$H25-1),1,""))</f>
        <v/>
      </c>
      <c r="JO25" s="69" t="str">
        <f ca="1">IF(AND($C25="Goal",JO$8&gt;=$G25,JO$8&lt;=$G25+$H25-1),2,IF(AND($C25="Milestone",JO$8&gt;=$G25,JO$8&lt;=$G25+$H25-1),1,""))</f>
        <v/>
      </c>
      <c r="JP25" s="69" t="str">
        <f ca="1">IF(AND($C25="Goal",JP$8&gt;=$G25,JP$8&lt;=$G25+$H25-1),2,IF(AND($C25="Milestone",JP$8&gt;=$G25,JP$8&lt;=$G25+$H25-1),1,""))</f>
        <v/>
      </c>
      <c r="JQ25" s="69" t="str">
        <f ca="1">IF(AND($C25="Goal",JQ$8&gt;=$G25,JQ$8&lt;=$G25+$H25-1),2,IF(AND($C25="Milestone",JQ$8&gt;=$G25,JQ$8&lt;=$G25+$H25-1),1,""))</f>
        <v/>
      </c>
      <c r="JR25" s="69" t="str">
        <f ca="1">IF(AND($C25="Goal",JR$8&gt;=$G25,JR$8&lt;=$G25+$H25-1),2,IF(AND($C25="Milestone",JR$8&gt;=$G25,JR$8&lt;=$G25+$H25-1),1,""))</f>
        <v/>
      </c>
      <c r="JS25" s="69" t="str">
        <f ca="1">IF(AND($C25="Goal",JS$8&gt;=$G25,JS$8&lt;=$G25+$H25-1),2,IF(AND($C25="Milestone",JS$8&gt;=$G25,JS$8&lt;=$G25+$H25-1),1,""))</f>
        <v/>
      </c>
      <c r="JT25" s="69" t="str">
        <f ca="1">IF(AND($C25="Goal",JT$8&gt;=$G25,JT$8&lt;=$G25+$H25-1),2,IF(AND($C25="Milestone",JT$8&gt;=$G25,JT$8&lt;=$G25+$H25-1),1,""))</f>
        <v/>
      </c>
      <c r="JU25" s="69" t="str">
        <f ca="1">IF(AND($C25="Goal",JU$8&gt;=$G25,JU$8&lt;=$G25+$H25-1),2,IF(AND($C25="Milestone",JU$8&gt;=$G25,JU$8&lt;=$G25+$H25-1),1,""))</f>
        <v/>
      </c>
      <c r="JV25" s="69" t="str">
        <f ca="1">IF(AND($C25="Goal",JV$8&gt;=$G25,JV$8&lt;=$G25+$H25-1),2,IF(AND($C25="Milestone",JV$8&gt;=$G25,JV$8&lt;=$G25+$H25-1),1,""))</f>
        <v/>
      </c>
      <c r="JW25" s="69" t="str">
        <f ca="1">IF(AND($C25="Goal",JW$8&gt;=$G25,JW$8&lt;=$G25+$H25-1),2,IF(AND($C25="Milestone",JW$8&gt;=$G25,JW$8&lt;=$G25+$H25-1),1,""))</f>
        <v/>
      </c>
      <c r="JX25" s="69" t="str">
        <f ca="1">IF(AND($C25="Goal",JX$8&gt;=$G25,JX$8&lt;=$G25+$H25-1),2,IF(AND($C25="Milestone",JX$8&gt;=$G25,JX$8&lt;=$G25+$H25-1),1,""))</f>
        <v/>
      </c>
      <c r="JY25" s="69" t="str">
        <f ca="1">IF(AND($C25="Goal",JY$8&gt;=$G25,JY$8&lt;=$G25+$H25-1),2,IF(AND($C25="Milestone",JY$8&gt;=$G25,JY$8&lt;=$G25+$H25-1),1,""))</f>
        <v/>
      </c>
      <c r="JZ25" s="69" t="str">
        <f ca="1">IF(AND($C25="Goal",JZ$8&gt;=$G25,JZ$8&lt;=$G25+$H25-1),2,IF(AND($C25="Milestone",JZ$8&gt;=$G25,JZ$8&lt;=$G25+$H25-1),1,""))</f>
        <v/>
      </c>
      <c r="KA25" s="69" t="str">
        <f ca="1">IF(AND($C25="Goal",KA$8&gt;=$G25,KA$8&lt;=$G25+$H25-1),2,IF(AND($C25="Milestone",KA$8&gt;=$G25,KA$8&lt;=$G25+$H25-1),1,""))</f>
        <v/>
      </c>
      <c r="KB25" s="69" t="str">
        <f ca="1">IF(AND($C25="Goal",KB$8&gt;=$G25,KB$8&lt;=$G25+$H25-1),2,IF(AND($C25="Milestone",KB$8&gt;=$G25,KB$8&lt;=$G25+$H25-1),1,""))</f>
        <v/>
      </c>
      <c r="KC25" s="69" t="str">
        <f ca="1">IF(AND($C25="Goal",KC$8&gt;=$G25,KC$8&lt;=$G25+$H25-1),2,IF(AND($C25="Milestone",KC$8&gt;=$G25,KC$8&lt;=$G25+$H25-1),1,""))</f>
        <v/>
      </c>
      <c r="KD25" s="69" t="str">
        <f ca="1">IF(AND($C25="Goal",KD$8&gt;=$G25,KD$8&lt;=$G25+$H25-1),2,IF(AND($C25="Milestone",KD$8&gt;=$G25,KD$8&lt;=$G25+$H25-1),1,""))</f>
        <v/>
      </c>
      <c r="KE25" s="69" t="str">
        <f ca="1">IF(AND($C25="Goal",KE$8&gt;=$G25,KE$8&lt;=$G25+$H25-1),2,IF(AND($C25="Milestone",KE$8&gt;=$G25,KE$8&lt;=$G25+$H25-1),1,""))</f>
        <v/>
      </c>
      <c r="KF25" s="69" t="str">
        <f ca="1">IF(AND($C25="Goal",KF$8&gt;=$G25,KF$8&lt;=$G25+$H25-1),2,IF(AND($C25="Milestone",KF$8&gt;=$G25,KF$8&lt;=$G25+$H25-1),1,""))</f>
        <v/>
      </c>
      <c r="KG25" s="69" t="str">
        <f ca="1">IF(AND($C25="Goal",KG$8&gt;=$G25,KG$8&lt;=$G25+$H25-1),2,IF(AND($C25="Milestone",KG$8&gt;=$G25,KG$8&lt;=$G25+$H25-1),1,""))</f>
        <v/>
      </c>
      <c r="KH25" s="69" t="str">
        <f ca="1">IF(AND($C25="Goal",KH$8&gt;=$G25,KH$8&lt;=$G25+$H25-1),2,IF(AND($C25="Milestone",KH$8&gt;=$G25,KH$8&lt;=$G25+$H25-1),1,""))</f>
        <v/>
      </c>
      <c r="KI25" s="69" t="str">
        <f ca="1">IF(AND($C25="Goal",KI$8&gt;=$G25,KI$8&lt;=$G25+$H25-1),2,IF(AND($C25="Milestone",KI$8&gt;=$G25,KI$8&lt;=$G25+$H25-1),1,""))</f>
        <v/>
      </c>
      <c r="KJ25" s="69" t="str">
        <f ca="1">IF(AND($C25="Goal",KJ$8&gt;=$G25,KJ$8&lt;=$G25+$H25-1),2,IF(AND($C25="Milestone",KJ$8&gt;=$G25,KJ$8&lt;=$G25+$H25-1),1,""))</f>
        <v/>
      </c>
      <c r="KK25" s="69" t="str">
        <f ca="1">IF(AND($C25="Goal",KK$8&gt;=$G25,KK$8&lt;=$G25+$H25-1),2,IF(AND($C25="Milestone",KK$8&gt;=$G25,KK$8&lt;=$G25+$H25-1),1,""))</f>
        <v/>
      </c>
      <c r="KL25" s="69" t="str">
        <f ca="1">IF(AND($C25="Goal",KL$8&gt;=$G25,KL$8&lt;=$G25+$H25-1),2,IF(AND($C25="Milestone",KL$8&gt;=$G25,KL$8&lt;=$G25+$H25-1),1,""))</f>
        <v/>
      </c>
      <c r="KM25" s="69" t="str">
        <f ca="1">IF(AND($C25="Goal",KM$8&gt;=$G25,KM$8&lt;=$G25+$H25-1),2,IF(AND($C25="Milestone",KM$8&gt;=$G25,KM$8&lt;=$G25+$H25-1),1,""))</f>
        <v/>
      </c>
      <c r="KN25" s="69" t="str">
        <f ca="1">IF(AND($C25="Goal",KN$8&gt;=$G25,KN$8&lt;=$G25+$H25-1),2,IF(AND($C25="Milestone",KN$8&gt;=$G25,KN$8&lt;=$G25+$H25-1),1,""))</f>
        <v/>
      </c>
      <c r="KO25" s="69" t="str">
        <f ca="1">IF(AND($C25="Goal",KO$8&gt;=$G25,KO$8&lt;=$G25+$H25-1),2,IF(AND($C25="Milestone",KO$8&gt;=$G25,KO$8&lt;=$G25+$H25-1),1,""))</f>
        <v/>
      </c>
      <c r="KP25" s="69" t="str">
        <f ca="1">IF(AND($C25="Goal",KP$8&gt;=$G25,KP$8&lt;=$G25+$H25-1),2,IF(AND($C25="Milestone",KP$8&gt;=$G25,KP$8&lt;=$G25+$H25-1),1,""))</f>
        <v/>
      </c>
      <c r="KQ25" s="69" t="str">
        <f ca="1">IF(AND($C25="Goal",KQ$8&gt;=$G25,KQ$8&lt;=$G25+$H25-1),2,IF(AND($C25="Milestone",KQ$8&gt;=$G25,KQ$8&lt;=$G25+$H25-1),1,""))</f>
        <v/>
      </c>
      <c r="KR25" s="69" t="str">
        <f ca="1">IF(AND($C25="Goal",KR$8&gt;=$G25,KR$8&lt;=$G25+$H25-1),2,IF(AND($C25="Milestone",KR$8&gt;=$G25,KR$8&lt;=$G25+$H25-1),1,""))</f>
        <v/>
      </c>
      <c r="KS25" s="69" t="str">
        <f ca="1">IF(AND($C25="Goal",KS$8&gt;=$G25,KS$8&lt;=$G25+$H25-1),2,IF(AND($C25="Milestone",KS$8&gt;=$G25,KS$8&lt;=$G25+$H25-1),1,""))</f>
        <v/>
      </c>
      <c r="KT25" s="69" t="str">
        <f ca="1">IF(AND($C25="Goal",KT$8&gt;=$G25,KT$8&lt;=$G25+$H25-1),2,IF(AND($C25="Milestone",KT$8&gt;=$G25,KT$8&lt;=$G25+$H25-1),1,""))</f>
        <v/>
      </c>
      <c r="KU25" s="69" t="str">
        <f ca="1">IF(AND($C25="Goal",KU$8&gt;=$G25,KU$8&lt;=$G25+$H25-1),2,IF(AND($C25="Milestone",KU$8&gt;=$G25,KU$8&lt;=$G25+$H25-1),1,""))</f>
        <v/>
      </c>
      <c r="KV25" s="69" t="str">
        <f ca="1">IF(AND($C25="Goal",KV$8&gt;=$G25,KV$8&lt;=$G25+$H25-1),2,IF(AND($C25="Milestone",KV$8&gt;=$G25,KV$8&lt;=$G25+$H25-1),1,""))</f>
        <v/>
      </c>
      <c r="KW25" s="69" t="str">
        <f ca="1">IF(AND($C25="Goal",KW$8&gt;=$G25,KW$8&lt;=$G25+$H25-1),2,IF(AND($C25="Milestone",KW$8&gt;=$G25,KW$8&lt;=$G25+$H25-1),1,""))</f>
        <v/>
      </c>
      <c r="KX25" s="69" t="str">
        <f ca="1">IF(AND($C25="Goal",KX$8&gt;=$G25,KX$8&lt;=$G25+$H25-1),2,IF(AND($C25="Milestone",KX$8&gt;=$G25,KX$8&lt;=$G25+$H25-1),1,""))</f>
        <v/>
      </c>
      <c r="KY25" s="69" t="str">
        <f ca="1">IF(AND($C25="Goal",KY$8&gt;=$G25,KY$8&lt;=$G25+$H25-1),2,IF(AND($C25="Milestone",KY$8&gt;=$G25,KY$8&lt;=$G25+$H25-1),1,""))</f>
        <v/>
      </c>
      <c r="KZ25" s="69" t="str">
        <f ca="1">IF(AND($C25="Goal",KZ$8&gt;=$G25,KZ$8&lt;=$G25+$H25-1),2,IF(AND($C25="Milestone",KZ$8&gt;=$G25,KZ$8&lt;=$G25+$H25-1),1,""))</f>
        <v/>
      </c>
      <c r="LA25" s="69" t="str">
        <f ca="1">IF(AND($C25="Goal",LA$8&gt;=$G25,LA$8&lt;=$G25+$H25-1),2,IF(AND($C25="Milestone",LA$8&gt;=$G25,LA$8&lt;=$G25+$H25-1),1,""))</f>
        <v/>
      </c>
      <c r="LB25" s="69" t="str">
        <f ca="1">IF(AND($C25="Goal",LB$8&gt;=$G25,LB$8&lt;=$G25+$H25-1),2,IF(AND($C25="Milestone",LB$8&gt;=$G25,LB$8&lt;=$G25+$H25-1),1,""))</f>
        <v/>
      </c>
      <c r="LC25" s="69" t="str">
        <f ca="1">IF(AND($C25="Goal",LC$8&gt;=$G25,LC$8&lt;=$G25+$H25-1),2,IF(AND($C25="Milestone",LC$8&gt;=$G25,LC$8&lt;=$G25+$H25-1),1,""))</f>
        <v/>
      </c>
      <c r="LD25" s="69" t="str">
        <f ca="1">IF(AND($C25="Goal",LD$8&gt;=$G25,LD$8&lt;=$G25+$H25-1),2,IF(AND($C25="Milestone",LD$8&gt;=$G25,LD$8&lt;=$G25+$H25-1),1,""))</f>
        <v/>
      </c>
      <c r="LE25" s="69" t="str">
        <f ca="1">IF(AND($C25="Goal",LE$8&gt;=$G25,LE$8&lt;=$G25+$H25-1),2,IF(AND($C25="Milestone",LE$8&gt;=$G25,LE$8&lt;=$G25+$H25-1),1,""))</f>
        <v/>
      </c>
      <c r="LF25" s="69" t="str">
        <f ca="1">IF(AND($C25="Goal",LF$8&gt;=$G25,LF$8&lt;=$G25+$H25-1),2,IF(AND($C25="Milestone",LF$8&gt;=$G25,LF$8&lt;=$G25+$H25-1),1,""))</f>
        <v/>
      </c>
      <c r="LG25" s="69" t="str">
        <f ca="1">IF(AND($C25="Goal",LG$8&gt;=$G25,LG$8&lt;=$G25+$H25-1),2,IF(AND($C25="Milestone",LG$8&gt;=$G25,LG$8&lt;=$G25+$H25-1),1,""))</f>
        <v/>
      </c>
      <c r="LH25" s="69" t="str">
        <f ca="1">IF(AND($C25="Goal",LH$8&gt;=$G25,LH$8&lt;=$G25+$H25-1),2,IF(AND($C25="Milestone",LH$8&gt;=$G25,LH$8&lt;=$G25+$H25-1),1,""))</f>
        <v/>
      </c>
      <c r="LI25" s="69" t="str">
        <f ca="1">IF(AND($C25="Goal",LI$8&gt;=$G25,LI$8&lt;=$G25+$H25-1),2,IF(AND($C25="Milestone",LI$8&gt;=$G25,LI$8&lt;=$G25+$H25-1),1,""))</f>
        <v/>
      </c>
      <c r="LJ25" s="69" t="str">
        <f ca="1">IF(AND($C25="Goal",LJ$8&gt;=$G25,LJ$8&lt;=$G25+$H25-1),2,IF(AND($C25="Milestone",LJ$8&gt;=$G25,LJ$8&lt;=$G25+$H25-1),1,""))</f>
        <v/>
      </c>
      <c r="LK25" s="69" t="str">
        <f ca="1">IF(AND($C25="Goal",LK$8&gt;=$G25,LK$8&lt;=$G25+$H25-1),2,IF(AND($C25="Milestone",LK$8&gt;=$G25,LK$8&lt;=$G25+$H25-1),1,""))</f>
        <v/>
      </c>
      <c r="LL25" s="69" t="str">
        <f ca="1">IF(AND($C25="Goal",LL$8&gt;=$G25,LL$8&lt;=$G25+$H25-1),2,IF(AND($C25="Milestone",LL$8&gt;=$G25,LL$8&lt;=$G25+$H25-1),1,""))</f>
        <v/>
      </c>
      <c r="LM25" s="69" t="str">
        <f ca="1">IF(AND($C25="Goal",LM$8&gt;=$G25,LM$8&lt;=$G25+$H25-1),2,IF(AND($C25="Milestone",LM$8&gt;=$G25,LM$8&lt;=$G25+$H25-1),1,""))</f>
        <v/>
      </c>
      <c r="LN25" s="69" t="str">
        <f ca="1">IF(AND($C25="Goal",LN$8&gt;=$G25,LN$8&lt;=$G25+$H25-1),2,IF(AND($C25="Milestone",LN$8&gt;=$G25,LN$8&lt;=$G25+$H25-1),1,""))</f>
        <v/>
      </c>
      <c r="LO25" s="69" t="str">
        <f ca="1">IF(AND($C25="Goal",LO$8&gt;=$G25,LO$8&lt;=$G25+$H25-1),2,IF(AND($C25="Milestone",LO$8&gt;=$G25,LO$8&lt;=$G25+$H25-1),1,""))</f>
        <v/>
      </c>
      <c r="LP25" s="69" t="str">
        <f ca="1">IF(AND($C25="Goal",LP$8&gt;=$G25,LP$8&lt;=$G25+$H25-1),2,IF(AND($C25="Milestone",LP$8&gt;=$G25,LP$8&lt;=$G25+$H25-1),1,""))</f>
        <v/>
      </c>
      <c r="LQ25" s="69" t="str">
        <f ca="1">IF(AND($C25="Goal",LQ$8&gt;=$G25,LQ$8&lt;=$G25+$H25-1),2,IF(AND($C25="Milestone",LQ$8&gt;=$G25,LQ$8&lt;=$G25+$H25-1),1,""))</f>
        <v/>
      </c>
      <c r="LR25" s="69" t="str">
        <f ca="1">IF(AND($C25="Goal",LR$8&gt;=$G25,LR$8&lt;=$G25+$H25-1),2,IF(AND($C25="Milestone",LR$8&gt;=$G25,LR$8&lt;=$G25+$H25-1),1,""))</f>
        <v/>
      </c>
      <c r="LS25" s="69" t="str">
        <f ca="1">IF(AND($C25="Goal",LS$8&gt;=$G25,LS$8&lt;=$G25+$H25-1),2,IF(AND($C25="Milestone",LS$8&gt;=$G25,LS$8&lt;=$G25+$H25-1),1,""))</f>
        <v/>
      </c>
      <c r="LT25" s="69" t="str">
        <f ca="1">IF(AND($C25="Goal",LT$8&gt;=$G25,LT$8&lt;=$G25+$H25-1),2,IF(AND($C25="Milestone",LT$8&gt;=$G25,LT$8&lt;=$G25+$H25-1),1,""))</f>
        <v/>
      </c>
      <c r="LU25" s="69" t="str">
        <f ca="1">IF(AND($C25="Goal",LU$8&gt;=$G25,LU$8&lt;=$G25+$H25-1),2,IF(AND($C25="Milestone",LU$8&gt;=$G25,LU$8&lt;=$G25+$H25-1),1,""))</f>
        <v/>
      </c>
      <c r="LV25" s="69" t="str">
        <f ca="1">IF(AND($C25="Goal",LV$8&gt;=$G25,LV$8&lt;=$G25+$H25-1),2,IF(AND($C25="Milestone",LV$8&gt;=$G25,LV$8&lt;=$G25+$H25-1),1,""))</f>
        <v/>
      </c>
      <c r="LW25" s="69" t="str">
        <f ca="1">IF(AND($C25="Goal",LW$8&gt;=$G25,LW$8&lt;=$G25+$H25-1),2,IF(AND($C25="Milestone",LW$8&gt;=$G25,LW$8&lt;=$G25+$H25-1),1,""))</f>
        <v/>
      </c>
      <c r="LX25" s="69" t="str">
        <f ca="1">IF(AND($C25="Goal",LX$8&gt;=$G25,LX$8&lt;=$G25+$H25-1),2,IF(AND($C25="Milestone",LX$8&gt;=$G25,LX$8&lt;=$G25+$H25-1),1,""))</f>
        <v/>
      </c>
    </row>
    <row r="26" spans="1:336" s="1" customFormat="1" ht="27.5" customHeight="1" x14ac:dyDescent="0.25">
      <c r="A26" s="6"/>
      <c r="B26" s="47" t="s">
        <v>28</v>
      </c>
      <c r="C26" s="58"/>
      <c r="D26" s="58" t="str">
        <f ca="1">IF(G26="","",
IF(G26+Milestones4352[[#This Row],[Days]]="","",
IF(OR(F26=1,F26=100%),"Complete",
CHOOSE(
  1
  + --(((1-IF(F26&gt;1,F26/100,F26))*POWER(2.718281828,(60-MAX(0,G26+Milestones4352[[#This Row],[Days]]-TODAY()))/12))&gt;=0.6)
  + --(((1-IF(F26&gt;1,F26/100,F26))*POWER(2.718281828,(60-MAX(0,G26+Milestones4352[[#This Row],[Days]]-TODAY()))/12))&gt;=1.2)
  + --(((1-IF(F26&gt;1,F26/100,F26))*POWER(2.718281828,(60-MAX(0,G26+Milestones4352[[#This Row],[Days]]-TODAY()))/12))&gt;=2),
  "On track","Low risk","Medium risk","High risk"
))))</f>
        <v>On track</v>
      </c>
      <c r="E26" s="58"/>
      <c r="F26" s="56">
        <v>0</v>
      </c>
      <c r="G26" s="70">
        <f t="shared" si="210"/>
        <v>46012</v>
      </c>
      <c r="H26" s="57">
        <v>37</v>
      </c>
      <c r="I26" s="57">
        <f t="shared" si="207"/>
        <v>27</v>
      </c>
      <c r="J26" s="12">
        <f ca="1">IF(OR(Milestones4352[[#This Row],[Start]]="",Milestones4352[[#This Row],[Days]]=""),"",(Milestones4352[[#This Row],[Start]]+Milestones4352[[#This Row],[Days]])-TODAY())</f>
        <v>100</v>
      </c>
      <c r="K26" s="9"/>
      <c r="L26" s="69" t="str">
        <f ca="1">IF(AND($C26="Goal",L$8&gt;=$G26,L$8&lt;=$G26+$H26-1),2,IF(AND($C26="Milestone",L$8&gt;=$G26,L$8&lt;=$G26+$H26-1),1,""))</f>
        <v/>
      </c>
      <c r="M26" s="69" t="str">
        <f ca="1">IF(AND($C26="Goal",M$8&gt;=$G26,M$8&lt;=$G26+$H26-1),2,IF(AND($C26="Milestone",M$8&gt;=$G26,M$8&lt;=$G26+$H26-1),1,""))</f>
        <v/>
      </c>
      <c r="N26" s="69" t="str">
        <f ca="1">IF(AND($C26="Goal",N$8&gt;=$G26,N$8&lt;=$G26+$H26-1),2,IF(AND($C26="Milestone",N$8&gt;=$G26,N$8&lt;=$G26+$H26-1),1,""))</f>
        <v/>
      </c>
      <c r="O26" s="69" t="str">
        <f ca="1">IF(AND($C26="Goal",O$8&gt;=$G26,O$8&lt;=$G26+$H26-1),2,IF(AND($C26="Milestone",O$8&gt;=$G26,O$8&lt;=$G26+$H26-1),1,""))</f>
        <v/>
      </c>
      <c r="P26" s="69" t="str">
        <f ca="1">IF(AND($C26="Goal",P$8&gt;=$G26,P$8&lt;=$G26+$H26-1),2,IF(AND($C26="Milestone",P$8&gt;=$G26,P$8&lt;=$G26+$H26-1),1,""))</f>
        <v/>
      </c>
      <c r="Q26" s="69" t="str">
        <f ca="1">IF(AND($C26="Goal",Q$8&gt;=$G26,Q$8&lt;=$G26+$H26-1),2,IF(AND($C26="Milestone",Q$8&gt;=$G26,Q$8&lt;=$G26+$H26-1),1,""))</f>
        <v/>
      </c>
      <c r="R26" s="69" t="str">
        <f ca="1">IF(AND($C26="Goal",R$8&gt;=$G26,R$8&lt;=$G26+$H26-1),2,IF(AND($C26="Milestone",R$8&gt;=$G26,R$8&lt;=$G26+$H26-1),1,""))</f>
        <v/>
      </c>
      <c r="S26" s="69" t="str">
        <f ca="1">IF(AND($C26="Goal",S$8&gt;=$G26,S$8&lt;=$G26+$H26-1),2,IF(AND($C26="Milestone",S$8&gt;=$G26,S$8&lt;=$G26+$H26-1),1,""))</f>
        <v/>
      </c>
      <c r="T26" s="69" t="str">
        <f ca="1">IF(AND($C26="Goal",T$8&gt;=$G26,T$8&lt;=$G26+$H26-1),2,IF(AND($C26="Milestone",T$8&gt;=$G26,T$8&lt;=$G26+$H26-1),1,""))</f>
        <v/>
      </c>
      <c r="U26" s="69" t="str">
        <f ca="1">IF(AND($C26="Goal",U$8&gt;=$G26,U$8&lt;=$G26+$H26-1),2,IF(AND($C26="Milestone",U$8&gt;=$G26,U$8&lt;=$G26+$H26-1),1,""))</f>
        <v/>
      </c>
      <c r="V26" s="69" t="str">
        <f ca="1">IF(AND($C26="Goal",V$8&gt;=$G26,V$8&lt;=$G26+$H26-1),2,IF(AND($C26="Milestone",V$8&gt;=$G26,V$8&lt;=$G26+$H26-1),1,""))</f>
        <v/>
      </c>
      <c r="W26" s="69" t="str">
        <f ca="1">IF(AND($C26="Goal",W$8&gt;=$G26,W$8&lt;=$G26+$H26-1),2,IF(AND($C26="Milestone",W$8&gt;=$G26,W$8&lt;=$G26+$H26-1),1,""))</f>
        <v/>
      </c>
      <c r="X26" s="69" t="str">
        <f ca="1">IF(AND($C26="Goal",X$8&gt;=$G26,X$8&lt;=$G26+$H26-1),2,IF(AND($C26="Milestone",X$8&gt;=$G26,X$8&lt;=$G26+$H26-1),1,""))</f>
        <v/>
      </c>
      <c r="Y26" s="69" t="str">
        <f ca="1">IF(AND($C26="Goal",Y$8&gt;=$G26,Y$8&lt;=$G26+$H26-1),2,IF(AND($C26="Milestone",Y$8&gt;=$G26,Y$8&lt;=$G26+$H26-1),1,""))</f>
        <v/>
      </c>
      <c r="Z26" s="69" t="str">
        <f ca="1">IF(AND($C26="Goal",Z$8&gt;=$G26,Z$8&lt;=$G26+$H26-1),2,IF(AND($C26="Milestone",Z$8&gt;=$G26,Z$8&lt;=$G26+$H26-1),1,""))</f>
        <v/>
      </c>
      <c r="AA26" s="69" t="str">
        <f ca="1">IF(AND($C26="Goal",AA$8&gt;=$G26,AA$8&lt;=$G26+$H26-1),2,IF(AND($C26="Milestone",AA$8&gt;=$G26,AA$8&lt;=$G26+$H26-1),1,""))</f>
        <v/>
      </c>
      <c r="AB26" s="69" t="str">
        <f ca="1">IF(AND($C26="Goal",AB$8&gt;=$G26,AB$8&lt;=$G26+$H26-1),2,IF(AND($C26="Milestone",AB$8&gt;=$G26,AB$8&lt;=$G26+$H26-1),1,""))</f>
        <v/>
      </c>
      <c r="AC26" s="69" t="str">
        <f ca="1">IF(AND($C26="Goal",AC$8&gt;=$G26,AC$8&lt;=$G26+$H26-1),2,IF(AND($C26="Milestone",AC$8&gt;=$G26,AC$8&lt;=$G26+$H26-1),1,""))</f>
        <v/>
      </c>
      <c r="AD26" s="69" t="str">
        <f ca="1">IF(AND($C26="Goal",AD$8&gt;=$G26,AD$8&lt;=$G26+$H26-1),2,IF(AND($C26="Milestone",AD$8&gt;=$G26,AD$8&lt;=$G26+$H26-1),1,""))</f>
        <v/>
      </c>
      <c r="AE26" s="69" t="str">
        <f ca="1">IF(AND($C26="Goal",AE$8&gt;=$G26,AE$8&lt;=$G26+$H26-1),2,IF(AND($C26="Milestone",AE$8&gt;=$G26,AE$8&lt;=$G26+$H26-1),1,""))</f>
        <v/>
      </c>
      <c r="AF26" s="69" t="str">
        <f ca="1">IF(AND($C26="Goal",AF$8&gt;=$G26,AF$8&lt;=$G26+$H26-1),2,IF(AND($C26="Milestone",AF$8&gt;=$G26,AF$8&lt;=$G26+$H26-1),1,""))</f>
        <v/>
      </c>
      <c r="AG26" s="69" t="str">
        <f ca="1">IF(AND($C26="Goal",AG$8&gt;=$G26,AG$8&lt;=$G26+$H26-1),2,IF(AND($C26="Milestone",AG$8&gt;=$G26,AG$8&lt;=$G26+$H26-1),1,""))</f>
        <v/>
      </c>
      <c r="AH26" s="69" t="str">
        <f ca="1">IF(AND($C26="Goal",AH$8&gt;=$G26,AH$8&lt;=$G26+$H26-1),2,IF(AND($C26="Milestone",AH$8&gt;=$G26,AH$8&lt;=$G26+$H26-1),1,""))</f>
        <v/>
      </c>
      <c r="AI26" s="69" t="str">
        <f ca="1">IF(AND($C26="Goal",AI$8&gt;=$G26,AI$8&lt;=$G26+$H26-1),2,IF(AND($C26="Milestone",AI$8&gt;=$G26,AI$8&lt;=$G26+$H26-1),1,""))</f>
        <v/>
      </c>
      <c r="AJ26" s="69" t="str">
        <f ca="1">IF(AND($C26="Goal",AJ$8&gt;=$G26,AJ$8&lt;=$G26+$H26-1),2,IF(AND($C26="Milestone",AJ$8&gt;=$G26,AJ$8&lt;=$G26+$H26-1),1,""))</f>
        <v/>
      </c>
      <c r="AK26" s="69" t="str">
        <f ca="1">IF(AND($C26="Goal",AK$8&gt;=$G26,AK$8&lt;=$G26+$H26-1),2,IF(AND($C26="Milestone",AK$8&gt;=$G26,AK$8&lt;=$G26+$H26-1),1,""))</f>
        <v/>
      </c>
      <c r="AL26" s="69" t="str">
        <f ca="1">IF(AND($C26="Goal",AL$8&gt;=$G26,AL$8&lt;=$G26+$H26-1),2,IF(AND($C26="Milestone",AL$8&gt;=$G26,AL$8&lt;=$G26+$H26-1),1,""))</f>
        <v/>
      </c>
      <c r="AM26" s="69" t="str">
        <f ca="1">IF(AND($C26="Goal",AM$8&gt;=$G26,AM$8&lt;=$G26+$H26-1),2,IF(AND($C26="Milestone",AM$8&gt;=$G26,AM$8&lt;=$G26+$H26-1),1,""))</f>
        <v/>
      </c>
      <c r="AN26" s="69" t="str">
        <f ca="1">IF(AND($C26="Goal",AN$8&gt;=$G26,AN$8&lt;=$G26+$H26-1),2,IF(AND($C26="Milestone",AN$8&gt;=$G26,AN$8&lt;=$G26+$H26-1),1,""))</f>
        <v/>
      </c>
      <c r="AO26" s="69" t="str">
        <f ca="1">IF(AND($C26="Goal",AO$8&gt;=$G26,AO$8&lt;=$G26+$H26-1),2,IF(AND($C26="Milestone",AO$8&gt;=$G26,AO$8&lt;=$G26+$H26-1),1,""))</f>
        <v/>
      </c>
      <c r="AP26" s="69" t="str">
        <f ca="1">IF(AND($C26="Goal",AP$8&gt;=$G26,AP$8&lt;=$G26+$H26-1),2,IF(AND($C26="Milestone",AP$8&gt;=$G26,AP$8&lt;=$G26+$H26-1),1,""))</f>
        <v/>
      </c>
      <c r="AQ26" s="69" t="str">
        <f ca="1">IF(AND($C26="Goal",AQ$8&gt;=$G26,AQ$8&lt;=$G26+$H26-1),2,IF(AND($C26="Milestone",AQ$8&gt;=$G26,AQ$8&lt;=$G26+$H26-1),1,""))</f>
        <v/>
      </c>
      <c r="AR26" s="69" t="str">
        <f ca="1">IF(AND($C26="Goal",AR$8&gt;=$G26,AR$8&lt;=$G26+$H26-1),2,IF(AND($C26="Milestone",AR$8&gt;=$G26,AR$8&lt;=$G26+$H26-1),1,""))</f>
        <v/>
      </c>
      <c r="AS26" s="69" t="str">
        <f ca="1">IF(AND($C26="Goal",AS$8&gt;=$G26,AS$8&lt;=$G26+$H26-1),2,IF(AND($C26="Milestone",AS$8&gt;=$G26,AS$8&lt;=$G26+$H26-1),1,""))</f>
        <v/>
      </c>
      <c r="AT26" s="69" t="str">
        <f ca="1">IF(AND($C26="Goal",AT$8&gt;=$G26,AT$8&lt;=$G26+$H26-1),2,IF(AND($C26="Milestone",AT$8&gt;=$G26,AT$8&lt;=$G26+$H26-1),1,""))</f>
        <v/>
      </c>
      <c r="AU26" s="69" t="str">
        <f ca="1">IF(AND($C26="Goal",AU$8&gt;=$G26,AU$8&lt;=$G26+$H26-1),2,IF(AND($C26="Milestone",AU$8&gt;=$G26,AU$8&lt;=$G26+$H26-1),1,""))</f>
        <v/>
      </c>
      <c r="AV26" s="69" t="str">
        <f ca="1">IF(AND($C26="Goal",AV$8&gt;=$G26,AV$8&lt;=$G26+$H26-1),2,IF(AND($C26="Milestone",AV$8&gt;=$G26,AV$8&lt;=$G26+$H26-1),1,""))</f>
        <v/>
      </c>
      <c r="AW26" s="69" t="str">
        <f ca="1">IF(AND($C26="Goal",AW$8&gt;=$G26,AW$8&lt;=$G26+$H26-1),2,IF(AND($C26="Milestone",AW$8&gt;=$G26,AW$8&lt;=$G26+$H26-1),1,""))</f>
        <v/>
      </c>
      <c r="AX26" s="69" t="str">
        <f ca="1">IF(AND($C26="Goal",AX$8&gt;=$G26,AX$8&lt;=$G26+$H26-1),2,IF(AND($C26="Milestone",AX$8&gt;=$G26,AX$8&lt;=$G26+$H26-1),1,""))</f>
        <v/>
      </c>
      <c r="AY26" s="69" t="str">
        <f ca="1">IF(AND($C26="Goal",AY$8&gt;=$G26,AY$8&lt;=$G26+$H26-1),2,IF(AND($C26="Milestone",AY$8&gt;=$G26,AY$8&lt;=$G26+$H26-1),1,""))</f>
        <v/>
      </c>
      <c r="AZ26" s="69" t="str">
        <f ca="1">IF(AND($C26="Goal",AZ$8&gt;=$G26,AZ$8&lt;=$G26+$H26-1),2,IF(AND($C26="Milestone",AZ$8&gt;=$G26,AZ$8&lt;=$G26+$H26-1),1,""))</f>
        <v/>
      </c>
      <c r="BA26" s="69" t="str">
        <f ca="1">IF(AND($C26="Goal",BA$8&gt;=$G26,BA$8&lt;=$G26+$H26-1),2,IF(AND($C26="Milestone",BA$8&gt;=$G26,BA$8&lt;=$G26+$H26-1),1,""))</f>
        <v/>
      </c>
      <c r="BB26" s="69" t="str">
        <f ca="1">IF(AND($C26="Goal",BB$8&gt;=$G26,BB$8&lt;=$G26+$H26-1),2,IF(AND($C26="Milestone",BB$8&gt;=$G26,BB$8&lt;=$G26+$H26-1),1,""))</f>
        <v/>
      </c>
      <c r="BC26" s="69" t="str">
        <f ca="1">IF(AND($C26="Goal",BC$8&gt;=$G26,BC$8&lt;=$G26+$H26-1),2,IF(AND($C26="Milestone",BC$8&gt;=$G26,BC$8&lt;=$G26+$H26-1),1,""))</f>
        <v/>
      </c>
      <c r="BD26" s="69" t="str">
        <f ca="1">IF(AND($C26="Goal",BD$8&gt;=$G26,BD$8&lt;=$G26+$H26-1),2,IF(AND($C26="Milestone",BD$8&gt;=$G26,BD$8&lt;=$G26+$H26-1),1,""))</f>
        <v/>
      </c>
      <c r="BE26" s="69" t="str">
        <f ca="1">IF(AND($C26="Goal",BE$8&gt;=$G26,BE$8&lt;=$G26+$H26-1),2,IF(AND($C26="Milestone",BE$8&gt;=$G26,BE$8&lt;=$G26+$H26-1),1,""))</f>
        <v/>
      </c>
      <c r="BF26" s="69" t="str">
        <f ca="1">IF(AND($C26="Goal",BF$8&gt;=$G26,BF$8&lt;=$G26+$H26-1),2,IF(AND($C26="Milestone",BF$8&gt;=$G26,BF$8&lt;=$G26+$H26-1),1,""))</f>
        <v/>
      </c>
      <c r="BG26" s="69" t="str">
        <f ca="1">IF(AND($C26="Goal",BG$8&gt;=$G26,BG$8&lt;=$G26+$H26-1),2,IF(AND($C26="Milestone",BG$8&gt;=$G26,BG$8&lt;=$G26+$H26-1),1,""))</f>
        <v/>
      </c>
      <c r="BH26" s="69" t="str">
        <f ca="1">IF(AND($C26="Goal",BH$8&gt;=$G26,BH$8&lt;=$G26+$H26-1),2,IF(AND($C26="Milestone",BH$8&gt;=$G26,BH$8&lt;=$G26+$H26-1),1,""))</f>
        <v/>
      </c>
      <c r="BI26" s="69" t="str">
        <f ca="1">IF(AND($C26="Goal",BI$8&gt;=$G26,BI$8&lt;=$G26+$H26-1),2,IF(AND($C26="Milestone",BI$8&gt;=$G26,BI$8&lt;=$G26+$H26-1),1,""))</f>
        <v/>
      </c>
      <c r="BJ26" s="69" t="str">
        <f ca="1">IF(AND($C26="Goal",BJ$8&gt;=$G26,BJ$8&lt;=$G26+$H26-1),2,IF(AND($C26="Milestone",BJ$8&gt;=$G26,BJ$8&lt;=$G26+$H26-1),1,""))</f>
        <v/>
      </c>
      <c r="BK26" s="69" t="str">
        <f ca="1">IF(AND($C26="Goal",BK$8&gt;=$G26,BK$8&lt;=$G26+$H26-1),2,IF(AND($C26="Milestone",BK$8&gt;=$G26,BK$8&lt;=$G26+$H26-1),1,""))</f>
        <v/>
      </c>
      <c r="BL26" s="69" t="str">
        <f ca="1">IF(AND($C26="Goal",BL$8&gt;=$G26,BL$8&lt;=$G26+$H26-1),2,IF(AND($C26="Milestone",BL$8&gt;=$G26,BL$8&lt;=$G26+$H26-1),1,""))</f>
        <v/>
      </c>
      <c r="BM26" s="69" t="str">
        <f ca="1">IF(AND($C26="Goal",BM$8&gt;=$G26,BM$8&lt;=$G26+$H26-1),2,IF(AND($C26="Milestone",BM$8&gt;=$G26,BM$8&lt;=$G26+$H26-1),1,""))</f>
        <v/>
      </c>
      <c r="BN26" s="69" t="str">
        <f ca="1">IF(AND($C26="Goal",BN$8&gt;=$G26,BN$8&lt;=$G26+$H26-1),2,IF(AND($C26="Milestone",BN$8&gt;=$G26,BN$8&lt;=$G26+$H26-1),1,""))</f>
        <v/>
      </c>
      <c r="BO26" s="69" t="str">
        <f ca="1">IF(AND($C26="Goal",BO$8&gt;=$G26,BO$8&lt;=$G26+$H26-1),2,IF(AND($C26="Milestone",BO$8&gt;=$G26,BO$8&lt;=$G26+$H26-1),1,""))</f>
        <v/>
      </c>
      <c r="BP26" s="69" t="str">
        <f ca="1">IF(AND($C26="Goal",BP$8&gt;=$G26,BP$8&lt;=$G26+$H26-1),2,IF(AND($C26="Milestone",BP$8&gt;=$G26,BP$8&lt;=$G26+$H26-1),1,""))</f>
        <v/>
      </c>
      <c r="BQ26" s="69" t="str">
        <f ca="1">IF(AND($C26="Goal",BQ$8&gt;=$G26,BQ$8&lt;=$G26+$H26-1),2,IF(AND($C26="Milestone",BQ$8&gt;=$G26,BQ$8&lt;=$G26+$H26-1),1,""))</f>
        <v/>
      </c>
      <c r="BR26" s="69" t="str">
        <f ca="1">IF(AND($C26="Goal",BR$8&gt;=$G26,BR$8&lt;=$G26+$H26-1),2,IF(AND($C26="Milestone",BR$8&gt;=$G26,BR$8&lt;=$G26+$H26-1),1,""))</f>
        <v/>
      </c>
      <c r="BS26" s="69" t="str">
        <f ca="1">IF(AND($C26="Goal",BS$8&gt;=$G26,BS$8&lt;=$G26+$H26-1),2,IF(AND($C26="Milestone",BS$8&gt;=$G26,BS$8&lt;=$G26+$H26-1),1,""))</f>
        <v/>
      </c>
      <c r="BT26" s="69" t="str">
        <f ca="1">IF(AND($C26="Goal",BT$8&gt;=$G26,BT$8&lt;=$G26+$H26-1),2,IF(AND($C26="Milestone",BT$8&gt;=$G26,BT$8&lt;=$G26+$H26-1),1,""))</f>
        <v/>
      </c>
      <c r="BU26" s="69" t="str">
        <f ca="1">IF(AND($C26="Goal",BU$8&gt;=$G26,BU$8&lt;=$G26+$H26-1),2,IF(AND($C26="Milestone",BU$8&gt;=$G26,BU$8&lt;=$G26+$H26-1),1,""))</f>
        <v/>
      </c>
      <c r="BV26" s="69" t="str">
        <f ca="1">IF(AND($C26="Goal",BV$8&gt;=$G26,BV$8&lt;=$G26+$H26-1),2,IF(AND($C26="Milestone",BV$8&gt;=$G26,BV$8&lt;=$G26+$H26-1),1,""))</f>
        <v/>
      </c>
      <c r="BW26" s="69" t="str">
        <f ca="1">IF(AND($C26="Goal",BW$8&gt;=$G26,BW$8&lt;=$G26+$H26-1),2,IF(AND($C26="Milestone",BW$8&gt;=$G26,BW$8&lt;=$G26+$H26-1),1,""))</f>
        <v/>
      </c>
      <c r="BX26" s="69" t="str">
        <f ca="1">IF(AND($C26="Goal",BX$8&gt;=$G26,BX$8&lt;=$G26+$H26-1),2,IF(AND($C26="Milestone",BX$8&gt;=$G26,BX$8&lt;=$G26+$H26-1),1,""))</f>
        <v/>
      </c>
      <c r="BY26" s="69" t="str">
        <f ca="1">IF(AND($C26="Goal",BY$8&gt;=$G26,BY$8&lt;=$G26+$H26-1),2,IF(AND($C26="Milestone",BY$8&gt;=$G26,BY$8&lt;=$G26+$H26-1),1,""))</f>
        <v/>
      </c>
      <c r="BZ26" s="69" t="str">
        <f ca="1">IF(AND($C26="Goal",BZ$8&gt;=$G26,BZ$8&lt;=$G26+$H26-1),2,IF(AND($C26="Milestone",BZ$8&gt;=$G26,BZ$8&lt;=$G26+$H26-1),1,""))</f>
        <v/>
      </c>
      <c r="CA26" s="69" t="str">
        <f ca="1">IF(AND($C26="Goal",CA$8&gt;=$G26,CA$8&lt;=$G26+$H26-1),2,IF(AND($C26="Milestone",CA$8&gt;=$G26,CA$8&lt;=$G26+$H26-1),1,""))</f>
        <v/>
      </c>
      <c r="CB26" s="69" t="str">
        <f ca="1">IF(AND($C26="Goal",CB$8&gt;=$G26,CB$8&lt;=$G26+$H26-1),2,IF(AND($C26="Milestone",CB$8&gt;=$G26,CB$8&lt;=$G26+$H26-1),1,""))</f>
        <v/>
      </c>
      <c r="CC26" s="69" t="str">
        <f ca="1">IF(AND($C26="Goal",CC$8&gt;=$G26,CC$8&lt;=$G26+$H26-1),2,IF(AND($C26="Milestone",CC$8&gt;=$G26,CC$8&lt;=$G26+$H26-1),1,""))</f>
        <v/>
      </c>
      <c r="CD26" s="69" t="str">
        <f ca="1">IF(AND($C26="Goal",CD$8&gt;=$G26,CD$8&lt;=$G26+$H26-1),2,IF(AND($C26="Milestone",CD$8&gt;=$G26,CD$8&lt;=$G26+$H26-1),1,""))</f>
        <v/>
      </c>
      <c r="CE26" s="69" t="str">
        <f ca="1">IF(AND($C26="Goal",CE$8&gt;=$G26,CE$8&lt;=$G26+$H26-1),2,IF(AND($C26="Milestone",CE$8&gt;=$G26,CE$8&lt;=$G26+$H26-1),1,""))</f>
        <v/>
      </c>
      <c r="CF26" s="69" t="str">
        <f ca="1">IF(AND($C26="Goal",CF$8&gt;=$G26,CF$8&lt;=$G26+$H26-1),2,IF(AND($C26="Milestone",CF$8&gt;=$G26,CF$8&lt;=$G26+$H26-1),1,""))</f>
        <v/>
      </c>
      <c r="CG26" s="69" t="str">
        <f ca="1">IF(AND($C26="Goal",CG$8&gt;=$G26,CG$8&lt;=$G26+$H26-1),2,IF(AND($C26="Milestone",CG$8&gt;=$G26,CG$8&lt;=$G26+$H26-1),1,""))</f>
        <v/>
      </c>
      <c r="CH26" s="69" t="str">
        <f ca="1">IF(AND($C26="Goal",CH$8&gt;=$G26,CH$8&lt;=$G26+$H26-1),2,IF(AND($C26="Milestone",CH$8&gt;=$G26,CH$8&lt;=$G26+$H26-1),1,""))</f>
        <v/>
      </c>
      <c r="CI26" s="69" t="str">
        <f ca="1">IF(AND($C26="Goal",CI$8&gt;=$G26,CI$8&lt;=$G26+$H26-1),2,IF(AND($C26="Milestone",CI$8&gt;=$G26,CI$8&lt;=$G26+$H26-1),1,""))</f>
        <v/>
      </c>
      <c r="CJ26" s="69" t="str">
        <f ca="1">IF(AND($C26="Goal",CJ$8&gt;=$G26,CJ$8&lt;=$G26+$H26-1),2,IF(AND($C26="Milestone",CJ$8&gt;=$G26,CJ$8&lt;=$G26+$H26-1),1,""))</f>
        <v/>
      </c>
      <c r="CK26" s="69" t="str">
        <f ca="1">IF(AND($C26="Goal",CK$8&gt;=$G26,CK$8&lt;=$G26+$H26-1),2,IF(AND($C26="Milestone",CK$8&gt;=$G26,CK$8&lt;=$G26+$H26-1),1,""))</f>
        <v/>
      </c>
      <c r="CL26" s="69" t="str">
        <f ca="1">IF(AND($C26="Goal",CL$8&gt;=$G26,CL$8&lt;=$G26+$H26-1),2,IF(AND($C26="Milestone",CL$8&gt;=$G26,CL$8&lt;=$G26+$H26-1),1,""))</f>
        <v/>
      </c>
      <c r="CM26" s="69" t="str">
        <f ca="1">IF(AND($C26="Goal",CM$8&gt;=$G26,CM$8&lt;=$G26+$H26-1),2,IF(AND($C26="Milestone",CM$8&gt;=$G26,CM$8&lt;=$G26+$H26-1),1,""))</f>
        <v/>
      </c>
      <c r="CN26" s="69" t="str">
        <f ca="1">IF(AND($C26="Goal",CN$8&gt;=$G26,CN$8&lt;=$G26+$H26-1),2,IF(AND($C26="Milestone",CN$8&gt;=$G26,CN$8&lt;=$G26+$H26-1),1,""))</f>
        <v/>
      </c>
      <c r="CO26" s="69" t="str">
        <f ca="1">IF(AND($C26="Goal",CO$8&gt;=$G26,CO$8&lt;=$G26+$H26-1),2,IF(AND($C26="Milestone",CO$8&gt;=$G26,CO$8&lt;=$G26+$H26-1),1,""))</f>
        <v/>
      </c>
      <c r="CP26" s="69" t="str">
        <f ca="1">IF(AND($C26="Goal",CP$8&gt;=$G26,CP$8&lt;=$G26+$H26-1),2,IF(AND($C26="Milestone",CP$8&gt;=$G26,CP$8&lt;=$G26+$H26-1),1,""))</f>
        <v/>
      </c>
      <c r="CQ26" s="69" t="str">
        <f ca="1">IF(AND($C26="Goal",CQ$8&gt;=$G26,CQ$8&lt;=$G26+$H26-1),2,IF(AND($C26="Milestone",CQ$8&gt;=$G26,CQ$8&lt;=$G26+$H26-1),1,""))</f>
        <v/>
      </c>
      <c r="CR26" s="69" t="str">
        <f ca="1">IF(AND($C26="Goal",CR$8&gt;=$G26,CR$8&lt;=$G26+$H26-1),2,IF(AND($C26="Milestone",CR$8&gt;=$G26,CR$8&lt;=$G26+$H26-1),1,""))</f>
        <v/>
      </c>
      <c r="CS26" s="69" t="str">
        <f ca="1">IF(AND($C26="Goal",CS$8&gt;=$G26,CS$8&lt;=$G26+$H26-1),2,IF(AND($C26="Milestone",CS$8&gt;=$G26,CS$8&lt;=$G26+$H26-1),1,""))</f>
        <v/>
      </c>
      <c r="CT26" s="69" t="str">
        <f ca="1">IF(AND($C26="Goal",CT$8&gt;=$G26,CT$8&lt;=$G26+$H26-1),2,IF(AND($C26="Milestone",CT$8&gt;=$G26,CT$8&lt;=$G26+$H26-1),1,""))</f>
        <v/>
      </c>
      <c r="CU26" s="69" t="str">
        <f ca="1">IF(AND($C26="Goal",CU$8&gt;=$G26,CU$8&lt;=$G26+$H26-1),2,IF(AND($C26="Milestone",CU$8&gt;=$G26,CU$8&lt;=$G26+$H26-1),1,""))</f>
        <v/>
      </c>
      <c r="CV26" s="69" t="str">
        <f ca="1">IF(AND($C26="Goal",CV$8&gt;=$G26,CV$8&lt;=$G26+$H26-1),2,IF(AND($C26="Milestone",CV$8&gt;=$G26,CV$8&lt;=$G26+$H26-1),1,""))</f>
        <v/>
      </c>
      <c r="CW26" s="69" t="str">
        <f ca="1">IF(AND($C26="Goal",CW$8&gt;=$G26,CW$8&lt;=$G26+$H26-1),2,IF(AND($C26="Milestone",CW$8&gt;=$G26,CW$8&lt;=$G26+$H26-1),1,""))</f>
        <v/>
      </c>
      <c r="CX26" s="69" t="str">
        <f ca="1">IF(AND($C26="Goal",CX$8&gt;=$G26,CX$8&lt;=$G26+$H26-1),2,IF(AND($C26="Milestone",CX$8&gt;=$G26,CX$8&lt;=$G26+$H26-1),1,""))</f>
        <v/>
      </c>
      <c r="CY26" s="69" t="str">
        <f ca="1">IF(AND($C26="Goal",CY$8&gt;=$G26,CY$8&lt;=$G26+$H26-1),2,IF(AND($C26="Milestone",CY$8&gt;=$G26,CY$8&lt;=$G26+$H26-1),1,""))</f>
        <v/>
      </c>
      <c r="CZ26" s="69" t="str">
        <f ca="1">IF(AND($C26="Goal",CZ$8&gt;=$G26,CZ$8&lt;=$G26+$H26-1),2,IF(AND($C26="Milestone",CZ$8&gt;=$G26,CZ$8&lt;=$G26+$H26-1),1,""))</f>
        <v/>
      </c>
      <c r="DA26" s="69" t="str">
        <f ca="1">IF(AND($C26="Goal",DA$8&gt;=$G26,DA$8&lt;=$G26+$H26-1),2,IF(AND($C26="Milestone",DA$8&gt;=$G26,DA$8&lt;=$G26+$H26-1),1,""))</f>
        <v/>
      </c>
      <c r="DB26" s="69" t="str">
        <f ca="1">IF(AND($C26="Goal",DB$8&gt;=$G26,DB$8&lt;=$G26+$H26-1),2,IF(AND($C26="Milestone",DB$8&gt;=$G26,DB$8&lt;=$G26+$H26-1),1,""))</f>
        <v/>
      </c>
      <c r="DC26" s="69" t="str">
        <f ca="1">IF(AND($C26="Goal",DC$8&gt;=$G26,DC$8&lt;=$G26+$H26-1),2,IF(AND($C26="Milestone",DC$8&gt;=$G26,DC$8&lt;=$G26+$H26-1),1,""))</f>
        <v/>
      </c>
      <c r="DD26" s="69" t="str">
        <f ca="1">IF(AND($C26="Goal",DD$8&gt;=$G26,DD$8&lt;=$G26+$H26-1),2,IF(AND($C26="Milestone",DD$8&gt;=$G26,DD$8&lt;=$G26+$H26-1),1,""))</f>
        <v/>
      </c>
      <c r="DE26" s="69" t="str">
        <f ca="1">IF(AND($C26="Goal",DE$8&gt;=$G26,DE$8&lt;=$G26+$H26-1),2,IF(AND($C26="Milestone",DE$8&gt;=$G26,DE$8&lt;=$G26+$H26-1),1,""))</f>
        <v/>
      </c>
      <c r="DF26" s="69" t="str">
        <f ca="1">IF(AND($C26="Goal",DF$8&gt;=$G26,DF$8&lt;=$G26+$H26-1),2,IF(AND($C26="Milestone",DF$8&gt;=$G26,DF$8&lt;=$G26+$H26-1),1,""))</f>
        <v/>
      </c>
      <c r="DG26" s="69" t="str">
        <f ca="1">IF(AND($C26="Goal",DG$8&gt;=$G26,DG$8&lt;=$G26+$H26-1),2,IF(AND($C26="Milestone",DG$8&gt;=$G26,DG$8&lt;=$G26+$H26-1),1,""))</f>
        <v/>
      </c>
      <c r="DH26" s="69" t="str">
        <f ca="1">IF(AND($C26="Goal",DH$8&gt;=$G26,DH$8&lt;=$G26+$H26-1),2,IF(AND($C26="Milestone",DH$8&gt;=$G26,DH$8&lt;=$G26+$H26-1),1,""))</f>
        <v/>
      </c>
      <c r="DI26" s="69" t="str">
        <f ca="1">IF(AND($C26="Goal",DI$8&gt;=$G26,DI$8&lt;=$G26+$H26-1),2,IF(AND($C26="Milestone",DI$8&gt;=$G26,DI$8&lt;=$G26+$H26-1),1,""))</f>
        <v/>
      </c>
      <c r="DJ26" s="69" t="str">
        <f ca="1">IF(AND($C26="Goal",DJ$8&gt;=$G26,DJ$8&lt;=$G26+$H26-1),2,IF(AND($C26="Milestone",DJ$8&gt;=$G26,DJ$8&lt;=$G26+$H26-1),1,""))</f>
        <v/>
      </c>
      <c r="DK26" s="69" t="str">
        <f ca="1">IF(AND($C26="Goal",DK$8&gt;=$G26,DK$8&lt;=$G26+$H26-1),2,IF(AND($C26="Milestone",DK$8&gt;=$G26,DK$8&lt;=$G26+$H26-1),1,""))</f>
        <v/>
      </c>
      <c r="DL26" s="69" t="str">
        <f ca="1">IF(AND($C26="Goal",DL$8&gt;=$G26,DL$8&lt;=$G26+$H26-1),2,IF(AND($C26="Milestone",DL$8&gt;=$G26,DL$8&lt;=$G26+$H26-1),1,""))</f>
        <v/>
      </c>
      <c r="DM26" s="69" t="str">
        <f ca="1">IF(AND($C26="Goal",DM$8&gt;=$G26,DM$8&lt;=$G26+$H26-1),2,IF(AND($C26="Milestone",DM$8&gt;=$G26,DM$8&lt;=$G26+$H26-1),1,""))</f>
        <v/>
      </c>
      <c r="DN26" s="69" t="str">
        <f ca="1">IF(AND($C26="Goal",DN$8&gt;=$G26,DN$8&lt;=$G26+$H26-1),2,IF(AND($C26="Milestone",DN$8&gt;=$G26,DN$8&lt;=$G26+$H26-1),1,""))</f>
        <v/>
      </c>
      <c r="DO26" s="69" t="str">
        <f ca="1">IF(AND($C26="Goal",DO$8&gt;=$G26,DO$8&lt;=$G26+$H26-1),2,IF(AND($C26="Milestone",DO$8&gt;=$G26,DO$8&lt;=$G26+$H26-1),1,""))</f>
        <v/>
      </c>
      <c r="DP26" s="69" t="str">
        <f ca="1">IF(AND($C26="Goal",DP$8&gt;=$G26,DP$8&lt;=$G26+$H26-1),2,IF(AND($C26="Milestone",DP$8&gt;=$G26,DP$8&lt;=$G26+$H26-1),1,""))</f>
        <v/>
      </c>
      <c r="DQ26" s="69" t="str">
        <f ca="1">IF(AND($C26="Goal",DQ$8&gt;=$G26,DQ$8&lt;=$G26+$H26-1),2,IF(AND($C26="Milestone",DQ$8&gt;=$G26,DQ$8&lt;=$G26+$H26-1),1,""))</f>
        <v/>
      </c>
      <c r="DR26" s="69" t="str">
        <f ca="1">IF(AND($C26="Goal",DR$8&gt;=$G26,DR$8&lt;=$G26+$H26-1),2,IF(AND($C26="Milestone",DR$8&gt;=$G26,DR$8&lt;=$G26+$H26-1),1,""))</f>
        <v/>
      </c>
      <c r="DS26" s="69" t="str">
        <f ca="1">IF(AND($C26="Goal",DS$8&gt;=$G26,DS$8&lt;=$G26+$H26-1),2,IF(AND($C26="Milestone",DS$8&gt;=$G26,DS$8&lt;=$G26+$H26-1),1,""))</f>
        <v/>
      </c>
      <c r="DT26" s="69" t="str">
        <f ca="1">IF(AND($C26="Goal",DT$8&gt;=$G26,DT$8&lt;=$G26+$H26-1),2,IF(AND($C26="Milestone",DT$8&gt;=$G26,DT$8&lt;=$G26+$H26-1),1,""))</f>
        <v/>
      </c>
      <c r="DU26" s="69" t="str">
        <f ca="1">IF(AND($C26="Goal",DU$8&gt;=$G26,DU$8&lt;=$G26+$H26-1),2,IF(AND($C26="Milestone",DU$8&gt;=$G26,DU$8&lt;=$G26+$H26-1),1,""))</f>
        <v/>
      </c>
      <c r="DV26" s="69" t="str">
        <f ca="1">IF(AND($C26="Goal",DV$8&gt;=$G26,DV$8&lt;=$G26+$H26-1),2,IF(AND($C26="Milestone",DV$8&gt;=$G26,DV$8&lt;=$G26+$H26-1),1,""))</f>
        <v/>
      </c>
      <c r="DW26" s="69" t="str">
        <f ca="1">IF(AND($C26="Goal",DW$8&gt;=$G26,DW$8&lt;=$G26+$H26-1),2,IF(AND($C26="Milestone",DW$8&gt;=$G26,DW$8&lt;=$G26+$H26-1),1,""))</f>
        <v/>
      </c>
      <c r="DX26" s="69" t="str">
        <f ca="1">IF(AND($C26="Goal",DX$8&gt;=$G26,DX$8&lt;=$G26+$H26-1),2,IF(AND($C26="Milestone",DX$8&gt;=$G26,DX$8&lt;=$G26+$H26-1),1,""))</f>
        <v/>
      </c>
      <c r="DY26" s="69" t="str">
        <f ca="1">IF(AND($C26="Goal",DY$8&gt;=$G26,DY$8&lt;=$G26+$H26-1),2,IF(AND($C26="Milestone",DY$8&gt;=$G26,DY$8&lt;=$G26+$H26-1),1,""))</f>
        <v/>
      </c>
      <c r="DZ26" s="69" t="str">
        <f ca="1">IF(AND($C26="Goal",DZ$8&gt;=$G26,DZ$8&lt;=$G26+$H26-1),2,IF(AND($C26="Milestone",DZ$8&gt;=$G26,DZ$8&lt;=$G26+$H26-1),1,""))</f>
        <v/>
      </c>
      <c r="EA26" s="69" t="str">
        <f ca="1">IF(AND($C26="Goal",EA$8&gt;=$G26,EA$8&lt;=$G26+$H26-1),2,IF(AND($C26="Milestone",EA$8&gt;=$G26,EA$8&lt;=$G26+$H26-1),1,""))</f>
        <v/>
      </c>
      <c r="EB26" s="69" t="str">
        <f ca="1">IF(AND($C26="Goal",EB$8&gt;=$G26,EB$8&lt;=$G26+$H26-1),2,IF(AND($C26="Milestone",EB$8&gt;=$G26,EB$8&lt;=$G26+$H26-1),1,""))</f>
        <v/>
      </c>
      <c r="EC26" s="69" t="str">
        <f ca="1">IF(AND($C26="Goal",EC$8&gt;=$G26,EC$8&lt;=$G26+$H26-1),2,IF(AND($C26="Milestone",EC$8&gt;=$G26,EC$8&lt;=$G26+$H26-1),1,""))</f>
        <v/>
      </c>
      <c r="ED26" s="69" t="str">
        <f ca="1">IF(AND($C26="Goal",ED$8&gt;=$G26,ED$8&lt;=$G26+$H26-1),2,IF(AND($C26="Milestone",ED$8&gt;=$G26,ED$8&lt;=$G26+$H26-1),1,""))</f>
        <v/>
      </c>
      <c r="EE26" s="69" t="str">
        <f ca="1">IF(AND($C26="Goal",EE$8&gt;=$G26,EE$8&lt;=$G26+$H26-1),2,IF(AND($C26="Milestone",EE$8&gt;=$G26,EE$8&lt;=$G26+$H26-1),1,""))</f>
        <v/>
      </c>
      <c r="EF26" s="69" t="str">
        <f ca="1">IF(AND($C26="Goal",EF$8&gt;=$G26,EF$8&lt;=$G26+$H26-1),2,IF(AND($C26="Milestone",EF$8&gt;=$G26,EF$8&lt;=$G26+$H26-1),1,""))</f>
        <v/>
      </c>
      <c r="EG26" s="69" t="str">
        <f ca="1">IF(AND($C26="Goal",EG$8&gt;=$G26,EG$8&lt;=$G26+$H26-1),2,IF(AND($C26="Milestone",EG$8&gt;=$G26,EG$8&lt;=$G26+$H26-1),1,""))</f>
        <v/>
      </c>
      <c r="EH26" s="69" t="str">
        <f ca="1">IF(AND($C26="Goal",EH$8&gt;=$G26,EH$8&lt;=$G26+$H26-1),2,IF(AND($C26="Milestone",EH$8&gt;=$G26,EH$8&lt;=$G26+$H26-1),1,""))</f>
        <v/>
      </c>
      <c r="EI26" s="69" t="str">
        <f ca="1">IF(AND($C26="Goal",EI$8&gt;=$G26,EI$8&lt;=$G26+$H26-1),2,IF(AND($C26="Milestone",EI$8&gt;=$G26,EI$8&lt;=$G26+$H26-1),1,""))</f>
        <v/>
      </c>
      <c r="EJ26" s="69" t="str">
        <f ca="1">IF(AND($C26="Goal",EJ$8&gt;=$G26,EJ$8&lt;=$G26+$H26-1),2,IF(AND($C26="Milestone",EJ$8&gt;=$G26,EJ$8&lt;=$G26+$H26-1),1,""))</f>
        <v/>
      </c>
      <c r="EK26" s="69" t="str">
        <f ca="1">IF(AND($C26="Goal",EK$8&gt;=$G26,EK$8&lt;=$G26+$H26-1),2,IF(AND($C26="Milestone",EK$8&gt;=$G26,EK$8&lt;=$G26+$H26-1),1,""))</f>
        <v/>
      </c>
      <c r="EL26" s="69" t="str">
        <f ca="1">IF(AND($C26="Goal",EL$8&gt;=$G26,EL$8&lt;=$G26+$H26-1),2,IF(AND($C26="Milestone",EL$8&gt;=$G26,EL$8&lt;=$G26+$H26-1),1,""))</f>
        <v/>
      </c>
      <c r="EM26" s="69" t="str">
        <f ca="1">IF(AND($C26="Goal",EM$8&gt;=$G26,EM$8&lt;=$G26+$H26-1),2,IF(AND($C26="Milestone",EM$8&gt;=$G26,EM$8&lt;=$G26+$H26-1),1,""))</f>
        <v/>
      </c>
      <c r="EN26" s="69" t="str">
        <f ca="1">IF(AND($C26="Goal",EN$8&gt;=$G26,EN$8&lt;=$G26+$H26-1),2,IF(AND($C26="Milestone",EN$8&gt;=$G26,EN$8&lt;=$G26+$H26-1),1,""))</f>
        <v/>
      </c>
      <c r="EO26" s="69" t="str">
        <f ca="1">IF(AND($C26="Goal",EO$8&gt;=$G26,EO$8&lt;=$G26+$H26-1),2,IF(AND($C26="Milestone",EO$8&gt;=$G26,EO$8&lt;=$G26+$H26-1),1,""))</f>
        <v/>
      </c>
      <c r="EP26" s="69" t="str">
        <f ca="1">IF(AND($C26="Goal",EP$8&gt;=$G26,EP$8&lt;=$G26+$H26-1),2,IF(AND($C26="Milestone",EP$8&gt;=$G26,EP$8&lt;=$G26+$H26-1),1,""))</f>
        <v/>
      </c>
      <c r="EQ26" s="69" t="str">
        <f ca="1">IF(AND($C26="Goal",EQ$8&gt;=$G26,EQ$8&lt;=$G26+$H26-1),2,IF(AND($C26="Milestone",EQ$8&gt;=$G26,EQ$8&lt;=$G26+$H26-1),1,""))</f>
        <v/>
      </c>
      <c r="ER26" s="69" t="str">
        <f ca="1">IF(AND($C26="Goal",ER$8&gt;=$G26,ER$8&lt;=$G26+$H26-1),2,IF(AND($C26="Milestone",ER$8&gt;=$G26,ER$8&lt;=$G26+$H26-1),1,""))</f>
        <v/>
      </c>
      <c r="ES26" s="69" t="str">
        <f ca="1">IF(AND($C26="Goal",ES$8&gt;=$G26,ES$8&lt;=$G26+$H26-1),2,IF(AND($C26="Milestone",ES$8&gt;=$G26,ES$8&lt;=$G26+$H26-1),1,""))</f>
        <v/>
      </c>
      <c r="ET26" s="69" t="str">
        <f ca="1">IF(AND($C26="Goal",ET$8&gt;=$G26,ET$8&lt;=$G26+$H26-1),2,IF(AND($C26="Milestone",ET$8&gt;=$G26,ET$8&lt;=$G26+$H26-1),1,""))</f>
        <v/>
      </c>
      <c r="EU26" s="69" t="str">
        <f ca="1">IF(AND($C26="Goal",EU$8&gt;=$G26,EU$8&lt;=$G26+$H26-1),2,IF(AND($C26="Milestone",EU$8&gt;=$G26,EU$8&lt;=$G26+$H26-1),1,""))</f>
        <v/>
      </c>
      <c r="EV26" s="69" t="str">
        <f ca="1">IF(AND($C26="Goal",EV$8&gt;=$G26,EV$8&lt;=$G26+$H26-1),2,IF(AND($C26="Milestone",EV$8&gt;=$G26,EV$8&lt;=$G26+$H26-1),1,""))</f>
        <v/>
      </c>
      <c r="EW26" s="69" t="str">
        <f ca="1">IF(AND($C26="Goal",EW$8&gt;=$G26,EW$8&lt;=$G26+$H26-1),2,IF(AND($C26="Milestone",EW$8&gt;=$G26,EW$8&lt;=$G26+$H26-1),1,""))</f>
        <v/>
      </c>
      <c r="EX26" s="69" t="str">
        <f ca="1">IF(AND($C26="Goal",EX$8&gt;=$G26,EX$8&lt;=$G26+$H26-1),2,IF(AND($C26="Milestone",EX$8&gt;=$G26,EX$8&lt;=$G26+$H26-1),1,""))</f>
        <v/>
      </c>
      <c r="EY26" s="69" t="str">
        <f ca="1">IF(AND($C26="Goal",EY$8&gt;=$G26,EY$8&lt;=$G26+$H26-1),2,IF(AND($C26="Milestone",EY$8&gt;=$G26,EY$8&lt;=$G26+$H26-1),1,""))</f>
        <v/>
      </c>
      <c r="EZ26" s="69" t="str">
        <f ca="1">IF(AND($C26="Goal",EZ$8&gt;=$G26,EZ$8&lt;=$G26+$H26-1),2,IF(AND($C26="Milestone",EZ$8&gt;=$G26,EZ$8&lt;=$G26+$H26-1),1,""))</f>
        <v/>
      </c>
      <c r="FA26" s="69" t="str">
        <f ca="1">IF(AND($C26="Goal",FA$8&gt;=$G26,FA$8&lt;=$G26+$H26-1),2,IF(AND($C26="Milestone",FA$8&gt;=$G26,FA$8&lt;=$G26+$H26-1),1,""))</f>
        <v/>
      </c>
      <c r="FB26" s="69" t="str">
        <f ca="1">IF(AND($C26="Goal",FB$8&gt;=$G26,FB$8&lt;=$G26+$H26-1),2,IF(AND($C26="Milestone",FB$8&gt;=$G26,FB$8&lt;=$G26+$H26-1),1,""))</f>
        <v/>
      </c>
      <c r="FC26" s="69" t="str">
        <f ca="1">IF(AND($C26="Goal",FC$8&gt;=$G26,FC$8&lt;=$G26+$H26-1),2,IF(AND($C26="Milestone",FC$8&gt;=$G26,FC$8&lt;=$G26+$H26-1),1,""))</f>
        <v/>
      </c>
      <c r="FD26" s="69" t="str">
        <f ca="1">IF(AND($C26="Goal",FD$8&gt;=$G26,FD$8&lt;=$G26+$H26-1),2,IF(AND($C26="Milestone",FD$8&gt;=$G26,FD$8&lt;=$G26+$H26-1),1,""))</f>
        <v/>
      </c>
      <c r="FE26" s="69" t="str">
        <f ca="1">IF(AND($C26="Goal",FE$8&gt;=$G26,FE$8&lt;=$G26+$H26-1),2,IF(AND($C26="Milestone",FE$8&gt;=$G26,FE$8&lt;=$G26+$H26-1),1,""))</f>
        <v/>
      </c>
      <c r="FF26" s="69" t="str">
        <f ca="1">IF(AND($C26="Goal",FF$8&gt;=$G26,FF$8&lt;=$G26+$H26-1),2,IF(AND($C26="Milestone",FF$8&gt;=$G26,FF$8&lt;=$G26+$H26-1),1,""))</f>
        <v/>
      </c>
      <c r="FG26" s="69" t="str">
        <f ca="1">IF(AND($C26="Goal",FG$8&gt;=$G26,FG$8&lt;=$G26+$H26-1),2,IF(AND($C26="Milestone",FG$8&gt;=$G26,FG$8&lt;=$G26+$H26-1),1,""))</f>
        <v/>
      </c>
      <c r="FH26" s="69" t="str">
        <f ca="1">IF(AND($C26="Goal",FH$8&gt;=$G26,FH$8&lt;=$G26+$H26-1),2,IF(AND($C26="Milestone",FH$8&gt;=$G26,FH$8&lt;=$G26+$H26-1),1,""))</f>
        <v/>
      </c>
      <c r="FI26" s="69" t="str">
        <f ca="1">IF(AND($C26="Goal",FI$8&gt;=$G26,FI$8&lt;=$G26+$H26-1),2,IF(AND($C26="Milestone",FI$8&gt;=$G26,FI$8&lt;=$G26+$H26-1),1,""))</f>
        <v/>
      </c>
      <c r="FJ26" s="69" t="str">
        <f ca="1">IF(AND($C26="Goal",FJ$8&gt;=$G26,FJ$8&lt;=$G26+$H26-1),2,IF(AND($C26="Milestone",FJ$8&gt;=$G26,FJ$8&lt;=$G26+$H26-1),1,""))</f>
        <v/>
      </c>
      <c r="FK26" s="69" t="str">
        <f ca="1">IF(AND($C26="Goal",FK$8&gt;=$G26,FK$8&lt;=$G26+$H26-1),2,IF(AND($C26="Milestone",FK$8&gt;=$G26,FK$8&lt;=$G26+$H26-1),1,""))</f>
        <v/>
      </c>
      <c r="FL26" s="69" t="str">
        <f ca="1">IF(AND($C26="Goal",FL$8&gt;=$G26,FL$8&lt;=$G26+$H26-1),2,IF(AND($C26="Milestone",FL$8&gt;=$G26,FL$8&lt;=$G26+$H26-1),1,""))</f>
        <v/>
      </c>
      <c r="FM26" s="69" t="str">
        <f ca="1">IF(AND($C26="Goal",FM$8&gt;=$G26,FM$8&lt;=$G26+$H26-1),2,IF(AND($C26="Milestone",FM$8&gt;=$G26,FM$8&lt;=$G26+$H26-1),1,""))</f>
        <v/>
      </c>
      <c r="FN26" s="69" t="str">
        <f ca="1">IF(AND($C26="Goal",FN$8&gt;=$G26,FN$8&lt;=$G26+$H26-1),2,IF(AND($C26="Milestone",FN$8&gt;=$G26,FN$8&lt;=$G26+$H26-1),1,""))</f>
        <v/>
      </c>
      <c r="FO26" s="69" t="str">
        <f ca="1">IF(AND($C26="Goal",FO$8&gt;=$G26,FO$8&lt;=$G26+$H26-1),2,IF(AND($C26="Milestone",FO$8&gt;=$G26,FO$8&lt;=$G26+$H26-1),1,""))</f>
        <v/>
      </c>
      <c r="FP26" s="69" t="str">
        <f ca="1">IF(AND($C26="Goal",FP$8&gt;=$G26,FP$8&lt;=$G26+$H26-1),2,IF(AND($C26="Milestone",FP$8&gt;=$G26,FP$8&lt;=$G26+$H26-1),1,""))</f>
        <v/>
      </c>
      <c r="FQ26" s="69" t="str">
        <f ca="1">IF(AND($C26="Goal",FQ$8&gt;=$G26,FQ$8&lt;=$G26+$H26-1),2,IF(AND($C26="Milestone",FQ$8&gt;=$G26,FQ$8&lt;=$G26+$H26-1),1,""))</f>
        <v/>
      </c>
      <c r="FR26" s="69" t="str">
        <f ca="1">IF(AND($C26="Goal",FR$8&gt;=$G26,FR$8&lt;=$G26+$H26-1),2,IF(AND($C26="Milestone",FR$8&gt;=$G26,FR$8&lt;=$G26+$H26-1),1,""))</f>
        <v/>
      </c>
      <c r="FS26" s="69" t="str">
        <f ca="1">IF(AND($C26="Goal",FS$8&gt;=$G26,FS$8&lt;=$G26+$H26-1),2,IF(AND($C26="Milestone",FS$8&gt;=$G26,FS$8&lt;=$G26+$H26-1),1,""))</f>
        <v/>
      </c>
      <c r="FT26" s="69" t="str">
        <f ca="1">IF(AND($C26="Goal",FT$8&gt;=$G26,FT$8&lt;=$G26+$H26-1),2,IF(AND($C26="Milestone",FT$8&gt;=$G26,FT$8&lt;=$G26+$H26-1),1,""))</f>
        <v/>
      </c>
      <c r="FU26" s="69" t="str">
        <f ca="1">IF(AND($C26="Goal",FU$8&gt;=$G26,FU$8&lt;=$G26+$H26-1),2,IF(AND($C26="Milestone",FU$8&gt;=$G26,FU$8&lt;=$G26+$H26-1),1,""))</f>
        <v/>
      </c>
      <c r="FV26" s="69" t="str">
        <f ca="1">IF(AND($C26="Goal",FV$8&gt;=$G26,FV$8&lt;=$G26+$H26-1),2,IF(AND($C26="Milestone",FV$8&gt;=$G26,FV$8&lt;=$G26+$H26-1),1,""))</f>
        <v/>
      </c>
      <c r="FW26" s="69" t="str">
        <f ca="1">IF(AND($C26="Goal",FW$8&gt;=$G26,FW$8&lt;=$G26+$H26-1),2,IF(AND($C26="Milestone",FW$8&gt;=$G26,FW$8&lt;=$G26+$H26-1),1,""))</f>
        <v/>
      </c>
      <c r="FX26" s="69" t="str">
        <f ca="1">IF(AND($C26="Goal",FX$8&gt;=$G26,FX$8&lt;=$G26+$H26-1),2,IF(AND($C26="Milestone",FX$8&gt;=$G26,FX$8&lt;=$G26+$H26-1),1,""))</f>
        <v/>
      </c>
      <c r="FY26" s="69" t="str">
        <f ca="1">IF(AND($C26="Goal",FY$8&gt;=$G26,FY$8&lt;=$G26+$H26-1),2,IF(AND($C26="Milestone",FY$8&gt;=$G26,FY$8&lt;=$G26+$H26-1),1,""))</f>
        <v/>
      </c>
      <c r="FZ26" s="69" t="str">
        <f ca="1">IF(AND($C26="Goal",FZ$8&gt;=$G26,FZ$8&lt;=$G26+$H26-1),2,IF(AND($C26="Milestone",FZ$8&gt;=$G26,FZ$8&lt;=$G26+$H26-1),1,""))</f>
        <v/>
      </c>
      <c r="GA26" s="69" t="str">
        <f ca="1">IF(AND($C26="Goal",GA$8&gt;=$G26,GA$8&lt;=$G26+$H26-1),2,IF(AND($C26="Milestone",GA$8&gt;=$G26,GA$8&lt;=$G26+$H26-1),1,""))</f>
        <v/>
      </c>
      <c r="GB26" s="69" t="str">
        <f ca="1">IF(AND($C26="Goal",GB$8&gt;=$G26,GB$8&lt;=$G26+$H26-1),2,IF(AND($C26="Milestone",GB$8&gt;=$G26,GB$8&lt;=$G26+$H26-1),1,""))</f>
        <v/>
      </c>
      <c r="GC26" s="69" t="str">
        <f ca="1">IF(AND($C26="Goal",GC$8&gt;=$G26,GC$8&lt;=$G26+$H26-1),2,IF(AND($C26="Milestone",GC$8&gt;=$G26,GC$8&lt;=$G26+$H26-1),1,""))</f>
        <v/>
      </c>
      <c r="GD26" s="69" t="str">
        <f ca="1">IF(AND($C26="Goal",GD$8&gt;=$G26,GD$8&lt;=$G26+$H26-1),2,IF(AND($C26="Milestone",GD$8&gt;=$G26,GD$8&lt;=$G26+$H26-1),1,""))</f>
        <v/>
      </c>
      <c r="GE26" s="69" t="str">
        <f ca="1">IF(AND($C26="Goal",GE$8&gt;=$G26,GE$8&lt;=$G26+$H26-1),2,IF(AND($C26="Milestone",GE$8&gt;=$G26,GE$8&lt;=$G26+$H26-1),1,""))</f>
        <v/>
      </c>
      <c r="GF26" s="69" t="str">
        <f ca="1">IF(AND($C26="Goal",GF$8&gt;=$G26,GF$8&lt;=$G26+$H26-1),2,IF(AND($C26="Milestone",GF$8&gt;=$G26,GF$8&lt;=$G26+$H26-1),1,""))</f>
        <v/>
      </c>
      <c r="GG26" s="69" t="str">
        <f ca="1">IF(AND($C26="Goal",GG$8&gt;=$G26,GG$8&lt;=$G26+$H26-1),2,IF(AND($C26="Milestone",GG$8&gt;=$G26,GG$8&lt;=$G26+$H26-1),1,""))</f>
        <v/>
      </c>
      <c r="GH26" s="69" t="str">
        <f ca="1">IF(AND($C26="Goal",GH$8&gt;=$G26,GH$8&lt;=$G26+$H26-1),2,IF(AND($C26="Milestone",GH$8&gt;=$G26,GH$8&lt;=$G26+$H26-1),1,""))</f>
        <v/>
      </c>
      <c r="GI26" s="69" t="str">
        <f ca="1">IF(AND($C26="Goal",GI$8&gt;=$G26,GI$8&lt;=$G26+$H26-1),2,IF(AND($C26="Milestone",GI$8&gt;=$G26,GI$8&lt;=$G26+$H26-1),1,""))</f>
        <v/>
      </c>
      <c r="GJ26" s="69" t="str">
        <f ca="1">IF(AND($C26="Goal",GJ$8&gt;=$G26,GJ$8&lt;=$G26+$H26-1),2,IF(AND($C26="Milestone",GJ$8&gt;=$G26,GJ$8&lt;=$G26+$H26-1),1,""))</f>
        <v/>
      </c>
      <c r="GK26" s="69" t="str">
        <f ca="1">IF(AND($C26="Goal",GK$8&gt;=$G26,GK$8&lt;=$G26+$H26-1),2,IF(AND($C26="Milestone",GK$8&gt;=$G26,GK$8&lt;=$G26+$H26-1),1,""))</f>
        <v/>
      </c>
      <c r="GL26" s="69" t="str">
        <f ca="1">IF(AND($C26="Goal",GL$8&gt;=$G26,GL$8&lt;=$G26+$H26-1),2,IF(AND($C26="Milestone",GL$8&gt;=$G26,GL$8&lt;=$G26+$H26-1),1,""))</f>
        <v/>
      </c>
      <c r="GM26" s="69" t="str">
        <f ca="1">IF(AND($C26="Goal",GM$8&gt;=$G26,GM$8&lt;=$G26+$H26-1),2,IF(AND($C26="Milestone",GM$8&gt;=$G26,GM$8&lt;=$G26+$H26-1),1,""))</f>
        <v/>
      </c>
      <c r="GN26" s="69" t="str">
        <f ca="1">IF(AND($C26="Goal",GN$8&gt;=$G26,GN$8&lt;=$G26+$H26-1),2,IF(AND($C26="Milestone",GN$8&gt;=$G26,GN$8&lt;=$G26+$H26-1),1,""))</f>
        <v/>
      </c>
      <c r="GO26" s="69" t="str">
        <f ca="1">IF(AND($C26="Goal",GO$8&gt;=$G26,GO$8&lt;=$G26+$H26-1),2,IF(AND($C26="Milestone",GO$8&gt;=$G26,GO$8&lt;=$G26+$H26-1),1,""))</f>
        <v/>
      </c>
      <c r="GP26" s="69" t="str">
        <f ca="1">IF(AND($C26="Goal",GP$8&gt;=$G26,GP$8&lt;=$G26+$H26-1),2,IF(AND($C26="Milestone",GP$8&gt;=$G26,GP$8&lt;=$G26+$H26-1),1,""))</f>
        <v/>
      </c>
      <c r="GQ26" s="69" t="str">
        <f ca="1">IF(AND($C26="Goal",GQ$8&gt;=$G26,GQ$8&lt;=$G26+$H26-1),2,IF(AND($C26="Milestone",GQ$8&gt;=$G26,GQ$8&lt;=$G26+$H26-1),1,""))</f>
        <v/>
      </c>
      <c r="GR26" s="69" t="str">
        <f ca="1">IF(AND($C26="Goal",GR$8&gt;=$G26,GR$8&lt;=$G26+$H26-1),2,IF(AND($C26="Milestone",GR$8&gt;=$G26,GR$8&lt;=$G26+$H26-1),1,""))</f>
        <v/>
      </c>
      <c r="GS26" s="69" t="str">
        <f ca="1">IF(AND($C26="Goal",GS$8&gt;=$G26,GS$8&lt;=$G26+$H26-1),2,IF(AND($C26="Milestone",GS$8&gt;=$G26,GS$8&lt;=$G26+$H26-1),1,""))</f>
        <v/>
      </c>
      <c r="GT26" s="69" t="str">
        <f ca="1">IF(AND($C26="Goal",GT$8&gt;=$G26,GT$8&lt;=$G26+$H26-1),2,IF(AND($C26="Milestone",GT$8&gt;=$G26,GT$8&lt;=$G26+$H26-1),1,""))</f>
        <v/>
      </c>
      <c r="GU26" s="69" t="str">
        <f ca="1">IF(AND($C26="Goal",GU$8&gt;=$G26,GU$8&lt;=$G26+$H26-1),2,IF(AND($C26="Milestone",GU$8&gt;=$G26,GU$8&lt;=$G26+$H26-1),1,""))</f>
        <v/>
      </c>
      <c r="GV26" s="69" t="str">
        <f ca="1">IF(AND($C26="Goal",GV$8&gt;=$G26,GV$8&lt;=$G26+$H26-1),2,IF(AND($C26="Milestone",GV$8&gt;=$G26,GV$8&lt;=$G26+$H26-1),1,""))</f>
        <v/>
      </c>
      <c r="GW26" s="69" t="str">
        <f ca="1">IF(AND($C26="Goal",GW$8&gt;=$G26,GW$8&lt;=$G26+$H26-1),2,IF(AND($C26="Milestone",GW$8&gt;=$G26,GW$8&lt;=$G26+$H26-1),1,""))</f>
        <v/>
      </c>
      <c r="GX26" s="69" t="str">
        <f ca="1">IF(AND($C26="Goal",GX$8&gt;=$G26,GX$8&lt;=$G26+$H26-1),2,IF(AND($C26="Milestone",GX$8&gt;=$G26,GX$8&lt;=$G26+$H26-1),1,""))</f>
        <v/>
      </c>
      <c r="GY26" s="69" t="str">
        <f ca="1">IF(AND($C26="Goal",GY$8&gt;=$G26,GY$8&lt;=$G26+$H26-1),2,IF(AND($C26="Milestone",GY$8&gt;=$G26,GY$8&lt;=$G26+$H26-1),1,""))</f>
        <v/>
      </c>
      <c r="GZ26" s="69" t="str">
        <f ca="1">IF(AND($C26="Goal",GZ$8&gt;=$G26,GZ$8&lt;=$G26+$H26-1),2,IF(AND($C26="Milestone",GZ$8&gt;=$G26,GZ$8&lt;=$G26+$H26-1),1,""))</f>
        <v/>
      </c>
      <c r="HA26" s="69" t="str">
        <f ca="1">IF(AND($C26="Goal",HA$8&gt;=$G26,HA$8&lt;=$G26+$H26-1),2,IF(AND($C26="Milestone",HA$8&gt;=$G26,HA$8&lt;=$G26+$H26-1),1,""))</f>
        <v/>
      </c>
      <c r="HB26" s="69" t="str">
        <f ca="1">IF(AND($C26="Goal",HB$8&gt;=$G26,HB$8&lt;=$G26+$H26-1),2,IF(AND($C26="Milestone",HB$8&gt;=$G26,HB$8&lt;=$G26+$H26-1),1,""))</f>
        <v/>
      </c>
      <c r="HC26" s="69" t="str">
        <f ca="1">IF(AND($C26="Goal",HC$8&gt;=$G26,HC$8&lt;=$G26+$H26-1),2,IF(AND($C26="Milestone",HC$8&gt;=$G26,HC$8&lt;=$G26+$H26-1),1,""))</f>
        <v/>
      </c>
      <c r="HD26" s="69" t="str">
        <f ca="1">IF(AND($C26="Goal",HD$8&gt;=$G26,HD$8&lt;=$G26+$H26-1),2,IF(AND($C26="Milestone",HD$8&gt;=$G26,HD$8&lt;=$G26+$H26-1),1,""))</f>
        <v/>
      </c>
      <c r="HE26" s="69" t="str">
        <f ca="1">IF(AND($C26="Goal",HE$8&gt;=$G26,HE$8&lt;=$G26+$H26-1),2,IF(AND($C26="Milestone",HE$8&gt;=$G26,HE$8&lt;=$G26+$H26-1),1,""))</f>
        <v/>
      </c>
      <c r="HF26" s="69" t="str">
        <f ca="1">IF(AND($C26="Goal",HF$8&gt;=$G26,HF$8&lt;=$G26+$H26-1),2,IF(AND($C26="Milestone",HF$8&gt;=$G26,HF$8&lt;=$G26+$H26-1),1,""))</f>
        <v/>
      </c>
      <c r="HG26" s="69" t="str">
        <f ca="1">IF(AND($C26="Goal",HG$8&gt;=$G26,HG$8&lt;=$G26+$H26-1),2,IF(AND($C26="Milestone",HG$8&gt;=$G26,HG$8&lt;=$G26+$H26-1),1,""))</f>
        <v/>
      </c>
      <c r="HH26" s="69" t="str">
        <f ca="1">IF(AND($C26="Goal",HH$8&gt;=$G26,HH$8&lt;=$G26+$H26-1),2,IF(AND($C26="Milestone",HH$8&gt;=$G26,HH$8&lt;=$G26+$H26-1),1,""))</f>
        <v/>
      </c>
      <c r="HI26" s="69" t="str">
        <f ca="1">IF(AND($C26="Goal",HI$8&gt;=$G26,HI$8&lt;=$G26+$H26-1),2,IF(AND($C26="Milestone",HI$8&gt;=$G26,HI$8&lt;=$G26+$H26-1),1,""))</f>
        <v/>
      </c>
      <c r="HJ26" s="69" t="str">
        <f ca="1">IF(AND($C26="Goal",HJ$8&gt;=$G26,HJ$8&lt;=$G26+$H26-1),2,IF(AND($C26="Milestone",HJ$8&gt;=$G26,HJ$8&lt;=$G26+$H26-1),1,""))</f>
        <v/>
      </c>
      <c r="HK26" s="69" t="str">
        <f ca="1">IF(AND($C26="Goal",HK$8&gt;=$G26,HK$8&lt;=$G26+$H26-1),2,IF(AND($C26="Milestone",HK$8&gt;=$G26,HK$8&lt;=$G26+$H26-1),1,""))</f>
        <v/>
      </c>
      <c r="HL26" s="69" t="str">
        <f ca="1">IF(AND($C26="Goal",HL$8&gt;=$G26,HL$8&lt;=$G26+$H26-1),2,IF(AND($C26="Milestone",HL$8&gt;=$G26,HL$8&lt;=$G26+$H26-1),1,""))</f>
        <v/>
      </c>
      <c r="HM26" s="69" t="str">
        <f ca="1">IF(AND($C26="Goal",HM$8&gt;=$G26,HM$8&lt;=$G26+$H26-1),2,IF(AND($C26="Milestone",HM$8&gt;=$G26,HM$8&lt;=$G26+$H26-1),1,""))</f>
        <v/>
      </c>
      <c r="HN26" s="69" t="str">
        <f ca="1">IF(AND($C26="Goal",HN$8&gt;=$G26,HN$8&lt;=$G26+$H26-1),2,IF(AND($C26="Milestone",HN$8&gt;=$G26,HN$8&lt;=$G26+$H26-1),1,""))</f>
        <v/>
      </c>
      <c r="HO26" s="69" t="str">
        <f ca="1">IF(AND($C26="Goal",HO$8&gt;=$G26,HO$8&lt;=$G26+$H26-1),2,IF(AND($C26="Milestone",HO$8&gt;=$G26,HO$8&lt;=$G26+$H26-1),1,""))</f>
        <v/>
      </c>
      <c r="HP26" s="69" t="str">
        <f ca="1">IF(AND($C26="Goal",HP$8&gt;=$G26,HP$8&lt;=$G26+$H26-1),2,IF(AND($C26="Milestone",HP$8&gt;=$G26,HP$8&lt;=$G26+$H26-1),1,""))</f>
        <v/>
      </c>
      <c r="HQ26" s="69" t="str">
        <f ca="1">IF(AND($C26="Goal",HQ$8&gt;=$G26,HQ$8&lt;=$G26+$H26-1),2,IF(AND($C26="Milestone",HQ$8&gt;=$G26,HQ$8&lt;=$G26+$H26-1),1,""))</f>
        <v/>
      </c>
      <c r="HR26" s="69" t="str">
        <f ca="1">IF(AND($C26="Goal",HR$8&gt;=$G26,HR$8&lt;=$G26+$H26-1),2,IF(AND($C26="Milestone",HR$8&gt;=$G26,HR$8&lt;=$G26+$H26-1),1,""))</f>
        <v/>
      </c>
      <c r="HS26" s="69" t="str">
        <f ca="1">IF(AND($C26="Goal",HS$8&gt;=$G26,HS$8&lt;=$G26+$H26-1),2,IF(AND($C26="Milestone",HS$8&gt;=$G26,HS$8&lt;=$G26+$H26-1),1,""))</f>
        <v/>
      </c>
      <c r="HT26" s="69" t="str">
        <f ca="1">IF(AND($C26="Goal",HT$8&gt;=$G26,HT$8&lt;=$G26+$H26-1),2,IF(AND($C26="Milestone",HT$8&gt;=$G26,HT$8&lt;=$G26+$H26-1),1,""))</f>
        <v/>
      </c>
      <c r="HU26" s="69" t="str">
        <f ca="1">IF(AND($C26="Goal",HU$8&gt;=$G26,HU$8&lt;=$G26+$H26-1),2,IF(AND($C26="Milestone",HU$8&gt;=$G26,HU$8&lt;=$G26+$H26-1),1,""))</f>
        <v/>
      </c>
      <c r="HV26" s="69" t="str">
        <f ca="1">IF(AND($C26="Goal",HV$8&gt;=$G26,HV$8&lt;=$G26+$H26-1),2,IF(AND($C26="Milestone",HV$8&gt;=$G26,HV$8&lt;=$G26+$H26-1),1,""))</f>
        <v/>
      </c>
      <c r="HW26" s="69" t="str">
        <f ca="1">IF(AND($C26="Goal",HW$8&gt;=$G26,HW$8&lt;=$G26+$H26-1),2,IF(AND($C26="Milestone",HW$8&gt;=$G26,HW$8&lt;=$G26+$H26-1),1,""))</f>
        <v/>
      </c>
      <c r="HX26" s="69" t="str">
        <f ca="1">IF(AND($C26="Goal",HX$8&gt;=$G26,HX$8&lt;=$G26+$H26-1),2,IF(AND($C26="Milestone",HX$8&gt;=$G26,HX$8&lt;=$G26+$H26-1),1,""))</f>
        <v/>
      </c>
      <c r="HY26" s="69" t="str">
        <f ca="1">IF(AND($C26="Goal",HY$8&gt;=$G26,HY$8&lt;=$G26+$H26-1),2,IF(AND($C26="Milestone",HY$8&gt;=$G26,HY$8&lt;=$G26+$H26-1),1,""))</f>
        <v/>
      </c>
      <c r="HZ26" s="69" t="str">
        <f ca="1">IF(AND($C26="Goal",HZ$8&gt;=$G26,HZ$8&lt;=$G26+$H26-1),2,IF(AND($C26="Milestone",HZ$8&gt;=$G26,HZ$8&lt;=$G26+$H26-1),1,""))</f>
        <v/>
      </c>
      <c r="IA26" s="69" t="str">
        <f ca="1">IF(AND($C26="Goal",IA$8&gt;=$G26,IA$8&lt;=$G26+$H26-1),2,IF(AND($C26="Milestone",IA$8&gt;=$G26,IA$8&lt;=$G26+$H26-1),1,""))</f>
        <v/>
      </c>
      <c r="IB26" s="69" t="str">
        <f ca="1">IF(AND($C26="Goal",IB$8&gt;=$G26,IB$8&lt;=$G26+$H26-1),2,IF(AND($C26="Milestone",IB$8&gt;=$G26,IB$8&lt;=$G26+$H26-1),1,""))</f>
        <v/>
      </c>
      <c r="IC26" s="69" t="str">
        <f ca="1">IF(AND($C26="Goal",IC$8&gt;=$G26,IC$8&lt;=$G26+$H26-1),2,IF(AND($C26="Milestone",IC$8&gt;=$G26,IC$8&lt;=$G26+$H26-1),1,""))</f>
        <v/>
      </c>
      <c r="ID26" s="69" t="str">
        <f ca="1">IF(AND($C26="Goal",ID$8&gt;=$G26,ID$8&lt;=$G26+$H26-1),2,IF(AND($C26="Milestone",ID$8&gt;=$G26,ID$8&lt;=$G26+$H26-1),1,""))</f>
        <v/>
      </c>
      <c r="IE26" s="69" t="str">
        <f ca="1">IF(AND($C26="Goal",IE$8&gt;=$G26,IE$8&lt;=$G26+$H26-1),2,IF(AND($C26="Milestone",IE$8&gt;=$G26,IE$8&lt;=$G26+$H26-1),1,""))</f>
        <v/>
      </c>
      <c r="IF26" s="69" t="str">
        <f ca="1">IF(AND($C26="Goal",IF$8&gt;=$G26,IF$8&lt;=$G26+$H26-1),2,IF(AND($C26="Milestone",IF$8&gt;=$G26,IF$8&lt;=$G26+$H26-1),1,""))</f>
        <v/>
      </c>
      <c r="IG26" s="69" t="str">
        <f ca="1">IF(AND($C26="Goal",IG$8&gt;=$G26,IG$8&lt;=$G26+$H26-1),2,IF(AND($C26="Milestone",IG$8&gt;=$G26,IG$8&lt;=$G26+$H26-1),1,""))</f>
        <v/>
      </c>
      <c r="IH26" s="69" t="str">
        <f ca="1">IF(AND($C26="Goal",IH$8&gt;=$G26,IH$8&lt;=$G26+$H26-1),2,IF(AND($C26="Milestone",IH$8&gt;=$G26,IH$8&lt;=$G26+$H26-1),1,""))</f>
        <v/>
      </c>
      <c r="II26" s="69" t="str">
        <f ca="1">IF(AND($C26="Goal",II$8&gt;=$G26,II$8&lt;=$G26+$H26-1),2,IF(AND($C26="Milestone",II$8&gt;=$G26,II$8&lt;=$G26+$H26-1),1,""))</f>
        <v/>
      </c>
      <c r="IJ26" s="69" t="str">
        <f ca="1">IF(AND($C26="Goal",IJ$8&gt;=$G26,IJ$8&lt;=$G26+$H26-1),2,IF(AND($C26="Milestone",IJ$8&gt;=$G26,IJ$8&lt;=$G26+$H26-1),1,""))</f>
        <v/>
      </c>
      <c r="IK26" s="69" t="str">
        <f ca="1">IF(AND($C26="Goal",IK$8&gt;=$G26,IK$8&lt;=$G26+$H26-1),2,IF(AND($C26="Milestone",IK$8&gt;=$G26,IK$8&lt;=$G26+$H26-1),1,""))</f>
        <v/>
      </c>
      <c r="IL26" s="69" t="str">
        <f ca="1">IF(AND($C26="Goal",IL$8&gt;=$G26,IL$8&lt;=$G26+$H26-1),2,IF(AND($C26="Milestone",IL$8&gt;=$G26,IL$8&lt;=$G26+$H26-1),1,""))</f>
        <v/>
      </c>
      <c r="IM26" s="69" t="str">
        <f ca="1">IF(AND($C26="Goal",IM$8&gt;=$G26,IM$8&lt;=$G26+$H26-1),2,IF(AND($C26="Milestone",IM$8&gt;=$G26,IM$8&lt;=$G26+$H26-1),1,""))</f>
        <v/>
      </c>
      <c r="IN26" s="69" t="str">
        <f ca="1">IF(AND($C26="Goal",IN$8&gt;=$G26,IN$8&lt;=$G26+$H26-1),2,IF(AND($C26="Milestone",IN$8&gt;=$G26,IN$8&lt;=$G26+$H26-1),1,""))</f>
        <v/>
      </c>
      <c r="IO26" s="69" t="str">
        <f ca="1">IF(AND($C26="Goal",IO$8&gt;=$G26,IO$8&lt;=$G26+$H26-1),2,IF(AND($C26="Milestone",IO$8&gt;=$G26,IO$8&lt;=$G26+$H26-1),1,""))</f>
        <v/>
      </c>
      <c r="IP26" s="69" t="str">
        <f ca="1">IF(AND($C26="Goal",IP$8&gt;=$G26,IP$8&lt;=$G26+$H26-1),2,IF(AND($C26="Milestone",IP$8&gt;=$G26,IP$8&lt;=$G26+$H26-1),1,""))</f>
        <v/>
      </c>
      <c r="IQ26" s="69" t="str">
        <f ca="1">IF(AND($C26="Goal",IQ$8&gt;=$G26,IQ$8&lt;=$G26+$H26-1),2,IF(AND($C26="Milestone",IQ$8&gt;=$G26,IQ$8&lt;=$G26+$H26-1),1,""))</f>
        <v/>
      </c>
      <c r="IR26" s="69" t="str">
        <f ca="1">IF(AND($C26="Goal",IR$8&gt;=$G26,IR$8&lt;=$G26+$H26-1),2,IF(AND($C26="Milestone",IR$8&gt;=$G26,IR$8&lt;=$G26+$H26-1),1,""))</f>
        <v/>
      </c>
      <c r="IS26" s="69" t="str">
        <f ca="1">IF(AND($C26="Goal",IS$8&gt;=$G26,IS$8&lt;=$G26+$H26-1),2,IF(AND($C26="Milestone",IS$8&gt;=$G26,IS$8&lt;=$G26+$H26-1),1,""))</f>
        <v/>
      </c>
      <c r="IT26" s="69" t="str">
        <f ca="1">IF(AND($C26="Goal",IT$8&gt;=$G26,IT$8&lt;=$G26+$H26-1),2,IF(AND($C26="Milestone",IT$8&gt;=$G26,IT$8&lt;=$G26+$H26-1),1,""))</f>
        <v/>
      </c>
      <c r="IU26" s="69" t="str">
        <f ca="1">IF(AND($C26="Goal",IU$8&gt;=$G26,IU$8&lt;=$G26+$H26-1),2,IF(AND($C26="Milestone",IU$8&gt;=$G26,IU$8&lt;=$G26+$H26-1),1,""))</f>
        <v/>
      </c>
      <c r="IV26" s="69" t="str">
        <f ca="1">IF(AND($C26="Goal",IV$8&gt;=$G26,IV$8&lt;=$G26+$H26-1),2,IF(AND($C26="Milestone",IV$8&gt;=$G26,IV$8&lt;=$G26+$H26-1),1,""))</f>
        <v/>
      </c>
      <c r="IW26" s="69" t="str">
        <f ca="1">IF(AND($C26="Goal",IW$8&gt;=$G26,IW$8&lt;=$G26+$H26-1),2,IF(AND($C26="Milestone",IW$8&gt;=$G26,IW$8&lt;=$G26+$H26-1),1,""))</f>
        <v/>
      </c>
      <c r="IX26" s="69" t="str">
        <f ca="1">IF(AND($C26="Goal",IX$8&gt;=$G26,IX$8&lt;=$G26+$H26-1),2,IF(AND($C26="Milestone",IX$8&gt;=$G26,IX$8&lt;=$G26+$H26-1),1,""))</f>
        <v/>
      </c>
      <c r="IY26" s="69" t="str">
        <f ca="1">IF(AND($C26="Goal",IY$8&gt;=$G26,IY$8&lt;=$G26+$H26-1),2,IF(AND($C26="Milestone",IY$8&gt;=$G26,IY$8&lt;=$G26+$H26-1),1,""))</f>
        <v/>
      </c>
      <c r="IZ26" s="69" t="str">
        <f ca="1">IF(AND($C26="Goal",IZ$8&gt;=$G26,IZ$8&lt;=$G26+$H26-1),2,IF(AND($C26="Milestone",IZ$8&gt;=$G26,IZ$8&lt;=$G26+$H26-1),1,""))</f>
        <v/>
      </c>
      <c r="JA26" s="69" t="str">
        <f ca="1">IF(AND($C26="Goal",JA$8&gt;=$G26,JA$8&lt;=$G26+$H26-1),2,IF(AND($C26="Milestone",JA$8&gt;=$G26,JA$8&lt;=$G26+$H26-1),1,""))</f>
        <v/>
      </c>
      <c r="JB26" s="69" t="str">
        <f ca="1">IF(AND($C26="Goal",JB$8&gt;=$G26,JB$8&lt;=$G26+$H26-1),2,IF(AND($C26="Milestone",JB$8&gt;=$G26,JB$8&lt;=$G26+$H26-1),1,""))</f>
        <v/>
      </c>
      <c r="JC26" s="69" t="str">
        <f ca="1">IF(AND($C26="Goal",JC$8&gt;=$G26,JC$8&lt;=$G26+$H26-1),2,IF(AND($C26="Milestone",JC$8&gt;=$G26,JC$8&lt;=$G26+$H26-1),1,""))</f>
        <v/>
      </c>
      <c r="JD26" s="69" t="str">
        <f ca="1">IF(AND($C26="Goal",JD$8&gt;=$G26,JD$8&lt;=$G26+$H26-1),2,IF(AND($C26="Milestone",JD$8&gt;=$G26,JD$8&lt;=$G26+$H26-1),1,""))</f>
        <v/>
      </c>
      <c r="JE26" s="69" t="str">
        <f ca="1">IF(AND($C26="Goal",JE$8&gt;=$G26,JE$8&lt;=$G26+$H26-1),2,IF(AND($C26="Milestone",JE$8&gt;=$G26,JE$8&lt;=$G26+$H26-1),1,""))</f>
        <v/>
      </c>
      <c r="JF26" s="69" t="str">
        <f ca="1">IF(AND($C26="Goal",JF$8&gt;=$G26,JF$8&lt;=$G26+$H26-1),2,IF(AND($C26="Milestone",JF$8&gt;=$G26,JF$8&lt;=$G26+$H26-1),1,""))</f>
        <v/>
      </c>
      <c r="JG26" s="69" t="str">
        <f ca="1">IF(AND($C26="Goal",JG$8&gt;=$G26,JG$8&lt;=$G26+$H26-1),2,IF(AND($C26="Milestone",JG$8&gt;=$G26,JG$8&lt;=$G26+$H26-1),1,""))</f>
        <v/>
      </c>
      <c r="JH26" s="69" t="str">
        <f ca="1">IF(AND($C26="Goal",JH$8&gt;=$G26,JH$8&lt;=$G26+$H26-1),2,IF(AND($C26="Milestone",JH$8&gt;=$G26,JH$8&lt;=$G26+$H26-1),1,""))</f>
        <v/>
      </c>
      <c r="JI26" s="69" t="str">
        <f ca="1">IF(AND($C26="Goal",JI$8&gt;=$G26,JI$8&lt;=$G26+$H26-1),2,IF(AND($C26="Milestone",JI$8&gt;=$G26,JI$8&lt;=$G26+$H26-1),1,""))</f>
        <v/>
      </c>
      <c r="JJ26" s="69" t="str">
        <f ca="1">IF(AND($C26="Goal",JJ$8&gt;=$G26,JJ$8&lt;=$G26+$H26-1),2,IF(AND($C26="Milestone",JJ$8&gt;=$G26,JJ$8&lt;=$G26+$H26-1),1,""))</f>
        <v/>
      </c>
      <c r="JK26" s="69" t="str">
        <f ca="1">IF(AND($C26="Goal",JK$8&gt;=$G26,JK$8&lt;=$G26+$H26-1),2,IF(AND($C26="Milestone",JK$8&gt;=$G26,JK$8&lt;=$G26+$H26-1),1,""))</f>
        <v/>
      </c>
      <c r="JL26" s="69" t="str">
        <f ca="1">IF(AND($C26="Goal",JL$8&gt;=$G26,JL$8&lt;=$G26+$H26-1),2,IF(AND($C26="Milestone",JL$8&gt;=$G26,JL$8&lt;=$G26+$H26-1),1,""))</f>
        <v/>
      </c>
      <c r="JM26" s="69" t="str">
        <f ca="1">IF(AND($C26="Goal",JM$8&gt;=$G26,JM$8&lt;=$G26+$H26-1),2,IF(AND($C26="Milestone",JM$8&gt;=$G26,JM$8&lt;=$G26+$H26-1),1,""))</f>
        <v/>
      </c>
      <c r="JN26" s="69" t="str">
        <f ca="1">IF(AND($C26="Goal",JN$8&gt;=$G26,JN$8&lt;=$G26+$H26-1),2,IF(AND($C26="Milestone",JN$8&gt;=$G26,JN$8&lt;=$G26+$H26-1),1,""))</f>
        <v/>
      </c>
      <c r="JO26" s="69" t="str">
        <f ca="1">IF(AND($C26="Goal",JO$8&gt;=$G26,JO$8&lt;=$G26+$H26-1),2,IF(AND($C26="Milestone",JO$8&gt;=$G26,JO$8&lt;=$G26+$H26-1),1,""))</f>
        <v/>
      </c>
      <c r="JP26" s="69" t="str">
        <f ca="1">IF(AND($C26="Goal",JP$8&gt;=$G26,JP$8&lt;=$G26+$H26-1),2,IF(AND($C26="Milestone",JP$8&gt;=$G26,JP$8&lt;=$G26+$H26-1),1,""))</f>
        <v/>
      </c>
      <c r="JQ26" s="69" t="str">
        <f ca="1">IF(AND($C26="Goal",JQ$8&gt;=$G26,JQ$8&lt;=$G26+$H26-1),2,IF(AND($C26="Milestone",JQ$8&gt;=$G26,JQ$8&lt;=$G26+$H26-1),1,""))</f>
        <v/>
      </c>
      <c r="JR26" s="69" t="str">
        <f ca="1">IF(AND($C26="Goal",JR$8&gt;=$G26,JR$8&lt;=$G26+$H26-1),2,IF(AND($C26="Milestone",JR$8&gt;=$G26,JR$8&lt;=$G26+$H26-1),1,""))</f>
        <v/>
      </c>
      <c r="JS26" s="69" t="str">
        <f ca="1">IF(AND($C26="Goal",JS$8&gt;=$G26,JS$8&lt;=$G26+$H26-1),2,IF(AND($C26="Milestone",JS$8&gt;=$G26,JS$8&lt;=$G26+$H26-1),1,""))</f>
        <v/>
      </c>
      <c r="JT26" s="69" t="str">
        <f ca="1">IF(AND($C26="Goal",JT$8&gt;=$G26,JT$8&lt;=$G26+$H26-1),2,IF(AND($C26="Milestone",JT$8&gt;=$G26,JT$8&lt;=$G26+$H26-1),1,""))</f>
        <v/>
      </c>
      <c r="JU26" s="69" t="str">
        <f ca="1">IF(AND($C26="Goal",JU$8&gt;=$G26,JU$8&lt;=$G26+$H26-1),2,IF(AND($C26="Milestone",JU$8&gt;=$G26,JU$8&lt;=$G26+$H26-1),1,""))</f>
        <v/>
      </c>
      <c r="JV26" s="69" t="str">
        <f ca="1">IF(AND($C26="Goal",JV$8&gt;=$G26,JV$8&lt;=$G26+$H26-1),2,IF(AND($C26="Milestone",JV$8&gt;=$G26,JV$8&lt;=$G26+$H26-1),1,""))</f>
        <v/>
      </c>
      <c r="JW26" s="69" t="str">
        <f ca="1">IF(AND($C26="Goal",JW$8&gt;=$G26,JW$8&lt;=$G26+$H26-1),2,IF(AND($C26="Milestone",JW$8&gt;=$G26,JW$8&lt;=$G26+$H26-1),1,""))</f>
        <v/>
      </c>
      <c r="JX26" s="69" t="str">
        <f ca="1">IF(AND($C26="Goal",JX$8&gt;=$G26,JX$8&lt;=$G26+$H26-1),2,IF(AND($C26="Milestone",JX$8&gt;=$G26,JX$8&lt;=$G26+$H26-1),1,""))</f>
        <v/>
      </c>
      <c r="JY26" s="69" t="str">
        <f ca="1">IF(AND($C26="Goal",JY$8&gt;=$G26,JY$8&lt;=$G26+$H26-1),2,IF(AND($C26="Milestone",JY$8&gt;=$G26,JY$8&lt;=$G26+$H26-1),1,""))</f>
        <v/>
      </c>
      <c r="JZ26" s="69" t="str">
        <f ca="1">IF(AND($C26="Goal",JZ$8&gt;=$G26,JZ$8&lt;=$G26+$H26-1),2,IF(AND($C26="Milestone",JZ$8&gt;=$G26,JZ$8&lt;=$G26+$H26-1),1,""))</f>
        <v/>
      </c>
      <c r="KA26" s="69" t="str">
        <f ca="1">IF(AND($C26="Goal",KA$8&gt;=$G26,KA$8&lt;=$G26+$H26-1),2,IF(AND($C26="Milestone",KA$8&gt;=$G26,KA$8&lt;=$G26+$H26-1),1,""))</f>
        <v/>
      </c>
      <c r="KB26" s="69" t="str">
        <f ca="1">IF(AND($C26="Goal",KB$8&gt;=$G26,KB$8&lt;=$G26+$H26-1),2,IF(AND($C26="Milestone",KB$8&gt;=$G26,KB$8&lt;=$G26+$H26-1),1,""))</f>
        <v/>
      </c>
      <c r="KC26" s="69" t="str">
        <f ca="1">IF(AND($C26="Goal",KC$8&gt;=$G26,KC$8&lt;=$G26+$H26-1),2,IF(AND($C26="Milestone",KC$8&gt;=$G26,KC$8&lt;=$G26+$H26-1),1,""))</f>
        <v/>
      </c>
      <c r="KD26" s="69" t="str">
        <f ca="1">IF(AND($C26="Goal",KD$8&gt;=$G26,KD$8&lt;=$G26+$H26-1),2,IF(AND($C26="Milestone",KD$8&gt;=$G26,KD$8&lt;=$G26+$H26-1),1,""))</f>
        <v/>
      </c>
      <c r="KE26" s="69" t="str">
        <f ca="1">IF(AND($C26="Goal",KE$8&gt;=$G26,KE$8&lt;=$G26+$H26-1),2,IF(AND($C26="Milestone",KE$8&gt;=$G26,KE$8&lt;=$G26+$H26-1),1,""))</f>
        <v/>
      </c>
      <c r="KF26" s="69" t="str">
        <f ca="1">IF(AND($C26="Goal",KF$8&gt;=$G26,KF$8&lt;=$G26+$H26-1),2,IF(AND($C26="Milestone",KF$8&gt;=$G26,KF$8&lt;=$G26+$H26-1),1,""))</f>
        <v/>
      </c>
      <c r="KG26" s="69" t="str">
        <f ca="1">IF(AND($C26="Goal",KG$8&gt;=$G26,KG$8&lt;=$G26+$H26-1),2,IF(AND($C26="Milestone",KG$8&gt;=$G26,KG$8&lt;=$G26+$H26-1),1,""))</f>
        <v/>
      </c>
      <c r="KH26" s="69" t="str">
        <f ca="1">IF(AND($C26="Goal",KH$8&gt;=$G26,KH$8&lt;=$G26+$H26-1),2,IF(AND($C26="Milestone",KH$8&gt;=$G26,KH$8&lt;=$G26+$H26-1),1,""))</f>
        <v/>
      </c>
      <c r="KI26" s="69" t="str">
        <f ca="1">IF(AND($C26="Goal",KI$8&gt;=$G26,KI$8&lt;=$G26+$H26-1),2,IF(AND($C26="Milestone",KI$8&gt;=$G26,KI$8&lt;=$G26+$H26-1),1,""))</f>
        <v/>
      </c>
      <c r="KJ26" s="69" t="str">
        <f ca="1">IF(AND($C26="Goal",KJ$8&gt;=$G26,KJ$8&lt;=$G26+$H26-1),2,IF(AND($C26="Milestone",KJ$8&gt;=$G26,KJ$8&lt;=$G26+$H26-1),1,""))</f>
        <v/>
      </c>
      <c r="KK26" s="69" t="str">
        <f ca="1">IF(AND($C26="Goal",KK$8&gt;=$G26,KK$8&lt;=$G26+$H26-1),2,IF(AND($C26="Milestone",KK$8&gt;=$G26,KK$8&lt;=$G26+$H26-1),1,""))</f>
        <v/>
      </c>
      <c r="KL26" s="69" t="str">
        <f ca="1">IF(AND($C26="Goal",KL$8&gt;=$G26,KL$8&lt;=$G26+$H26-1),2,IF(AND($C26="Milestone",KL$8&gt;=$G26,KL$8&lt;=$G26+$H26-1),1,""))</f>
        <v/>
      </c>
      <c r="KM26" s="69" t="str">
        <f ca="1">IF(AND($C26="Goal",KM$8&gt;=$G26,KM$8&lt;=$G26+$H26-1),2,IF(AND($C26="Milestone",KM$8&gt;=$G26,KM$8&lt;=$G26+$H26-1),1,""))</f>
        <v/>
      </c>
      <c r="KN26" s="69" t="str">
        <f ca="1">IF(AND($C26="Goal",KN$8&gt;=$G26,KN$8&lt;=$G26+$H26-1),2,IF(AND($C26="Milestone",KN$8&gt;=$G26,KN$8&lt;=$G26+$H26-1),1,""))</f>
        <v/>
      </c>
      <c r="KO26" s="69" t="str">
        <f ca="1">IF(AND($C26="Goal",KO$8&gt;=$G26,KO$8&lt;=$G26+$H26-1),2,IF(AND($C26="Milestone",KO$8&gt;=$G26,KO$8&lt;=$G26+$H26-1),1,""))</f>
        <v/>
      </c>
      <c r="KP26" s="69" t="str">
        <f ca="1">IF(AND($C26="Goal",KP$8&gt;=$G26,KP$8&lt;=$G26+$H26-1),2,IF(AND($C26="Milestone",KP$8&gt;=$G26,KP$8&lt;=$G26+$H26-1),1,""))</f>
        <v/>
      </c>
      <c r="KQ26" s="69" t="str">
        <f ca="1">IF(AND($C26="Goal",KQ$8&gt;=$G26,KQ$8&lt;=$G26+$H26-1),2,IF(AND($C26="Milestone",KQ$8&gt;=$G26,KQ$8&lt;=$G26+$H26-1),1,""))</f>
        <v/>
      </c>
      <c r="KR26" s="69" t="str">
        <f ca="1">IF(AND($C26="Goal",KR$8&gt;=$G26,KR$8&lt;=$G26+$H26-1),2,IF(AND($C26="Milestone",KR$8&gt;=$G26,KR$8&lt;=$G26+$H26-1),1,""))</f>
        <v/>
      </c>
      <c r="KS26" s="69" t="str">
        <f ca="1">IF(AND($C26="Goal",KS$8&gt;=$G26,KS$8&lt;=$G26+$H26-1),2,IF(AND($C26="Milestone",KS$8&gt;=$G26,KS$8&lt;=$G26+$H26-1),1,""))</f>
        <v/>
      </c>
      <c r="KT26" s="69" t="str">
        <f ca="1">IF(AND($C26="Goal",KT$8&gt;=$G26,KT$8&lt;=$G26+$H26-1),2,IF(AND($C26="Milestone",KT$8&gt;=$G26,KT$8&lt;=$G26+$H26-1),1,""))</f>
        <v/>
      </c>
      <c r="KU26" s="69" t="str">
        <f ca="1">IF(AND($C26="Goal",KU$8&gt;=$G26,KU$8&lt;=$G26+$H26-1),2,IF(AND($C26="Milestone",KU$8&gt;=$G26,KU$8&lt;=$G26+$H26-1),1,""))</f>
        <v/>
      </c>
      <c r="KV26" s="69" t="str">
        <f ca="1">IF(AND($C26="Goal",KV$8&gt;=$G26,KV$8&lt;=$G26+$H26-1),2,IF(AND($C26="Milestone",KV$8&gt;=$G26,KV$8&lt;=$G26+$H26-1),1,""))</f>
        <v/>
      </c>
      <c r="KW26" s="69" t="str">
        <f ca="1">IF(AND($C26="Goal",KW$8&gt;=$G26,KW$8&lt;=$G26+$H26-1),2,IF(AND($C26="Milestone",KW$8&gt;=$G26,KW$8&lt;=$G26+$H26-1),1,""))</f>
        <v/>
      </c>
      <c r="KX26" s="69" t="str">
        <f ca="1">IF(AND($C26="Goal",KX$8&gt;=$G26,KX$8&lt;=$G26+$H26-1),2,IF(AND($C26="Milestone",KX$8&gt;=$G26,KX$8&lt;=$G26+$H26-1),1,""))</f>
        <v/>
      </c>
      <c r="KY26" s="69" t="str">
        <f ca="1">IF(AND($C26="Goal",KY$8&gt;=$G26,KY$8&lt;=$G26+$H26-1),2,IF(AND($C26="Milestone",KY$8&gt;=$G26,KY$8&lt;=$G26+$H26-1),1,""))</f>
        <v/>
      </c>
      <c r="KZ26" s="69" t="str">
        <f ca="1">IF(AND($C26="Goal",KZ$8&gt;=$G26,KZ$8&lt;=$G26+$H26-1),2,IF(AND($C26="Milestone",KZ$8&gt;=$G26,KZ$8&lt;=$G26+$H26-1),1,""))</f>
        <v/>
      </c>
      <c r="LA26" s="69" t="str">
        <f ca="1">IF(AND($C26="Goal",LA$8&gt;=$G26,LA$8&lt;=$G26+$H26-1),2,IF(AND($C26="Milestone",LA$8&gt;=$G26,LA$8&lt;=$G26+$H26-1),1,""))</f>
        <v/>
      </c>
      <c r="LB26" s="69" t="str">
        <f ca="1">IF(AND($C26="Goal",LB$8&gt;=$G26,LB$8&lt;=$G26+$H26-1),2,IF(AND($C26="Milestone",LB$8&gt;=$G26,LB$8&lt;=$G26+$H26-1),1,""))</f>
        <v/>
      </c>
      <c r="LC26" s="69" t="str">
        <f ca="1">IF(AND($C26="Goal",LC$8&gt;=$G26,LC$8&lt;=$G26+$H26-1),2,IF(AND($C26="Milestone",LC$8&gt;=$G26,LC$8&lt;=$G26+$H26-1),1,""))</f>
        <v/>
      </c>
      <c r="LD26" s="69" t="str">
        <f ca="1">IF(AND($C26="Goal",LD$8&gt;=$G26,LD$8&lt;=$G26+$H26-1),2,IF(AND($C26="Milestone",LD$8&gt;=$G26,LD$8&lt;=$G26+$H26-1),1,""))</f>
        <v/>
      </c>
      <c r="LE26" s="69" t="str">
        <f ca="1">IF(AND($C26="Goal",LE$8&gt;=$G26,LE$8&lt;=$G26+$H26-1),2,IF(AND($C26="Milestone",LE$8&gt;=$G26,LE$8&lt;=$G26+$H26-1),1,""))</f>
        <v/>
      </c>
      <c r="LF26" s="69" t="str">
        <f ca="1">IF(AND($C26="Goal",LF$8&gt;=$G26,LF$8&lt;=$G26+$H26-1),2,IF(AND($C26="Milestone",LF$8&gt;=$G26,LF$8&lt;=$G26+$H26-1),1,""))</f>
        <v/>
      </c>
      <c r="LG26" s="69" t="str">
        <f ca="1">IF(AND($C26="Goal",LG$8&gt;=$G26,LG$8&lt;=$G26+$H26-1),2,IF(AND($C26="Milestone",LG$8&gt;=$G26,LG$8&lt;=$G26+$H26-1),1,""))</f>
        <v/>
      </c>
      <c r="LH26" s="69" t="str">
        <f ca="1">IF(AND($C26="Goal",LH$8&gt;=$G26,LH$8&lt;=$G26+$H26-1),2,IF(AND($C26="Milestone",LH$8&gt;=$G26,LH$8&lt;=$G26+$H26-1),1,""))</f>
        <v/>
      </c>
      <c r="LI26" s="69" t="str">
        <f ca="1">IF(AND($C26="Goal",LI$8&gt;=$G26,LI$8&lt;=$G26+$H26-1),2,IF(AND($C26="Milestone",LI$8&gt;=$G26,LI$8&lt;=$G26+$H26-1),1,""))</f>
        <v/>
      </c>
      <c r="LJ26" s="69" t="str">
        <f ca="1">IF(AND($C26="Goal",LJ$8&gt;=$G26,LJ$8&lt;=$G26+$H26-1),2,IF(AND($C26="Milestone",LJ$8&gt;=$G26,LJ$8&lt;=$G26+$H26-1),1,""))</f>
        <v/>
      </c>
      <c r="LK26" s="69" t="str">
        <f ca="1">IF(AND($C26="Goal",LK$8&gt;=$G26,LK$8&lt;=$G26+$H26-1),2,IF(AND($C26="Milestone",LK$8&gt;=$G26,LK$8&lt;=$G26+$H26-1),1,""))</f>
        <v/>
      </c>
      <c r="LL26" s="69" t="str">
        <f ca="1">IF(AND($C26="Goal",LL$8&gt;=$G26,LL$8&lt;=$G26+$H26-1),2,IF(AND($C26="Milestone",LL$8&gt;=$G26,LL$8&lt;=$G26+$H26-1),1,""))</f>
        <v/>
      </c>
      <c r="LM26" s="69" t="str">
        <f ca="1">IF(AND($C26="Goal",LM$8&gt;=$G26,LM$8&lt;=$G26+$H26-1),2,IF(AND($C26="Milestone",LM$8&gt;=$G26,LM$8&lt;=$G26+$H26-1),1,""))</f>
        <v/>
      </c>
      <c r="LN26" s="69" t="str">
        <f ca="1">IF(AND($C26="Goal",LN$8&gt;=$G26,LN$8&lt;=$G26+$H26-1),2,IF(AND($C26="Milestone",LN$8&gt;=$G26,LN$8&lt;=$G26+$H26-1),1,""))</f>
        <v/>
      </c>
      <c r="LO26" s="69" t="str">
        <f ca="1">IF(AND($C26="Goal",LO$8&gt;=$G26,LO$8&lt;=$G26+$H26-1),2,IF(AND($C26="Milestone",LO$8&gt;=$G26,LO$8&lt;=$G26+$H26-1),1,""))</f>
        <v/>
      </c>
      <c r="LP26" s="69" t="str">
        <f ca="1">IF(AND($C26="Goal",LP$8&gt;=$G26,LP$8&lt;=$G26+$H26-1),2,IF(AND($C26="Milestone",LP$8&gt;=$G26,LP$8&lt;=$G26+$H26-1),1,""))</f>
        <v/>
      </c>
      <c r="LQ26" s="69" t="str">
        <f ca="1">IF(AND($C26="Goal",LQ$8&gt;=$G26,LQ$8&lt;=$G26+$H26-1),2,IF(AND($C26="Milestone",LQ$8&gt;=$G26,LQ$8&lt;=$G26+$H26-1),1,""))</f>
        <v/>
      </c>
      <c r="LR26" s="69" t="str">
        <f ca="1">IF(AND($C26="Goal",LR$8&gt;=$G26,LR$8&lt;=$G26+$H26-1),2,IF(AND($C26="Milestone",LR$8&gt;=$G26,LR$8&lt;=$G26+$H26-1),1,""))</f>
        <v/>
      </c>
      <c r="LS26" s="69" t="str">
        <f ca="1">IF(AND($C26="Goal",LS$8&gt;=$G26,LS$8&lt;=$G26+$H26-1),2,IF(AND($C26="Milestone",LS$8&gt;=$G26,LS$8&lt;=$G26+$H26-1),1,""))</f>
        <v/>
      </c>
      <c r="LT26" s="69" t="str">
        <f ca="1">IF(AND($C26="Goal",LT$8&gt;=$G26,LT$8&lt;=$G26+$H26-1),2,IF(AND($C26="Milestone",LT$8&gt;=$G26,LT$8&lt;=$G26+$H26-1),1,""))</f>
        <v/>
      </c>
      <c r="LU26" s="69" t="str">
        <f ca="1">IF(AND($C26="Goal",LU$8&gt;=$G26,LU$8&lt;=$G26+$H26-1),2,IF(AND($C26="Milestone",LU$8&gt;=$G26,LU$8&lt;=$G26+$H26-1),1,""))</f>
        <v/>
      </c>
      <c r="LV26" s="69" t="str">
        <f ca="1">IF(AND($C26="Goal",LV$8&gt;=$G26,LV$8&lt;=$G26+$H26-1),2,IF(AND($C26="Milestone",LV$8&gt;=$G26,LV$8&lt;=$G26+$H26-1),1,""))</f>
        <v/>
      </c>
      <c r="LW26" s="69" t="str">
        <f ca="1">IF(AND($C26="Goal",LW$8&gt;=$G26,LW$8&lt;=$G26+$H26-1),2,IF(AND($C26="Milestone",LW$8&gt;=$G26,LW$8&lt;=$G26+$H26-1),1,""))</f>
        <v/>
      </c>
      <c r="LX26" s="69" t="str">
        <f ca="1">IF(AND($C26="Goal",LX$8&gt;=$G26,LX$8&lt;=$G26+$H26-1),2,IF(AND($C26="Milestone",LX$8&gt;=$G26,LX$8&lt;=$G26+$H26-1),1,""))</f>
        <v/>
      </c>
    </row>
    <row r="27" spans="1:336" s="1" customFormat="1" ht="14.85" hidden="1" x14ac:dyDescent="0.25">
      <c r="A27" s="6"/>
      <c r="B27" s="47"/>
      <c r="C27" s="58"/>
      <c r="D27" s="58" t="str">
        <f ca="1">IF(G27="","",
IF(G27+Milestones4352[[#This Row],[Days]]="","",
IF(OR(F27=1,F27=100%),"Complete",
CHOOSE(
  1
  + --(((1-IF(F27&gt;1,F27/100,F27))*POWER(2.718281828,(60-MAX(0,G27+Milestones4352[[#This Row],[Days]]-TODAY()))/12))&gt;=0.6)
  + --(((1-IF(F27&gt;1,F27/100,F27))*POWER(2.718281828,(60-MAX(0,G27+Milestones4352[[#This Row],[Days]]-TODAY()))/12))&gt;=1.2)
  + --(((1-IF(F27&gt;1,F27/100,F27))*POWER(2.718281828,(60-MAX(0,G27+Milestones4352[[#This Row],[Days]]-TODAY()))/12))&gt;=2),
  "On track","Low risk","Medium risk","High risk"
))))</f>
        <v/>
      </c>
      <c r="E27" s="58"/>
      <c r="F27" s="56"/>
      <c r="G27" s="71"/>
      <c r="H27" s="57"/>
      <c r="I27" s="57" t="str">
        <f t="shared" si="207"/>
        <v/>
      </c>
      <c r="J27" s="12" t="str">
        <f ca="1">IF(OR(Milestones4352[[#This Row],[Start]]="",Milestones4352[[#This Row],[Days]]=""),"",(Milestones4352[[#This Row],[Start]]+Milestones4352[[#This Row],[Days]])-TODAY())</f>
        <v/>
      </c>
      <c r="K27" s="9"/>
      <c r="L27" s="69" t="str">
        <f ca="1">IF(AND($C27="Goal",L$8&gt;=$G27,L$8&lt;=$G27+$H27-1),2,IF(AND($C27="Milestone",L$8&gt;=$G27,L$8&lt;=$G27+$H27-1),1,""))</f>
        <v/>
      </c>
      <c r="M27" s="69" t="str">
        <f ca="1">IF(AND($C27="Goal",M$8&gt;=$G27,M$8&lt;=$G27+$H27-1),2,IF(AND($C27="Milestone",M$8&gt;=$G27,M$8&lt;=$G27+$H27-1),1,""))</f>
        <v/>
      </c>
      <c r="N27" s="69" t="str">
        <f ca="1">IF(AND($C27="Goal",N$8&gt;=$G27,N$8&lt;=$G27+$H27-1),2,IF(AND($C27="Milestone",N$8&gt;=$G27,N$8&lt;=$G27+$H27-1),1,""))</f>
        <v/>
      </c>
      <c r="O27" s="69" t="str">
        <f ca="1">IF(AND($C27="Goal",O$8&gt;=$G27,O$8&lt;=$G27+$H27-1),2,IF(AND($C27="Milestone",O$8&gt;=$G27,O$8&lt;=$G27+$H27-1),1,""))</f>
        <v/>
      </c>
      <c r="P27" s="69" t="str">
        <f ca="1">IF(AND($C27="Goal",P$8&gt;=$G27,P$8&lt;=$G27+$H27-1),2,IF(AND($C27="Milestone",P$8&gt;=$G27,P$8&lt;=$G27+$H27-1),1,""))</f>
        <v/>
      </c>
      <c r="Q27" s="69" t="str">
        <f ca="1">IF(AND($C27="Goal",Q$8&gt;=$G27,Q$8&lt;=$G27+$H27-1),2,IF(AND($C27="Milestone",Q$8&gt;=$G27,Q$8&lt;=$G27+$H27-1),1,""))</f>
        <v/>
      </c>
      <c r="R27" s="69" t="str">
        <f ca="1">IF(AND($C27="Goal",R$8&gt;=$G27,R$8&lt;=$G27+$H27-1),2,IF(AND($C27="Milestone",R$8&gt;=$G27,R$8&lt;=$G27+$H27-1),1,""))</f>
        <v/>
      </c>
      <c r="S27" s="69" t="str">
        <f ca="1">IF(AND($C27="Goal",S$8&gt;=$G27,S$8&lt;=$G27+$H27-1),2,IF(AND($C27="Milestone",S$8&gt;=$G27,S$8&lt;=$G27+$H27-1),1,""))</f>
        <v/>
      </c>
      <c r="T27" s="69" t="str">
        <f ca="1">IF(AND($C27="Goal",T$8&gt;=$G27,T$8&lt;=$G27+$H27-1),2,IF(AND($C27="Milestone",T$8&gt;=$G27,T$8&lt;=$G27+$H27-1),1,""))</f>
        <v/>
      </c>
      <c r="U27" s="69" t="str">
        <f ca="1">IF(AND($C27="Goal",U$8&gt;=$G27,U$8&lt;=$G27+$H27-1),2,IF(AND($C27="Milestone",U$8&gt;=$G27,U$8&lt;=$G27+$H27-1),1,""))</f>
        <v/>
      </c>
      <c r="V27" s="69" t="str">
        <f ca="1">IF(AND($C27="Goal",V$8&gt;=$G27,V$8&lt;=$G27+$H27-1),2,IF(AND($C27="Milestone",V$8&gt;=$G27,V$8&lt;=$G27+$H27-1),1,""))</f>
        <v/>
      </c>
      <c r="W27" s="69" t="str">
        <f ca="1">IF(AND($C27="Goal",W$8&gt;=$G27,W$8&lt;=$G27+$H27-1),2,IF(AND($C27="Milestone",W$8&gt;=$G27,W$8&lt;=$G27+$H27-1),1,""))</f>
        <v/>
      </c>
      <c r="X27" s="69" t="str">
        <f ca="1">IF(AND($C27="Goal",X$8&gt;=$G27,X$8&lt;=$G27+$H27-1),2,IF(AND($C27="Milestone",X$8&gt;=$G27,X$8&lt;=$G27+$H27-1),1,""))</f>
        <v/>
      </c>
      <c r="Y27" s="69" t="str">
        <f ca="1">IF(AND($C27="Goal",Y$8&gt;=$G27,Y$8&lt;=$G27+$H27-1),2,IF(AND($C27="Milestone",Y$8&gt;=$G27,Y$8&lt;=$G27+$H27-1),1,""))</f>
        <v/>
      </c>
      <c r="Z27" s="69" t="str">
        <f ca="1">IF(AND($C27="Goal",Z$8&gt;=$G27,Z$8&lt;=$G27+$H27-1),2,IF(AND($C27="Milestone",Z$8&gt;=$G27,Z$8&lt;=$G27+$H27-1),1,""))</f>
        <v/>
      </c>
      <c r="AA27" s="69" t="str">
        <f ca="1">IF(AND($C27="Goal",AA$8&gt;=$G27,AA$8&lt;=$G27+$H27-1),2,IF(AND($C27="Milestone",AA$8&gt;=$G27,AA$8&lt;=$G27+$H27-1),1,""))</f>
        <v/>
      </c>
      <c r="AB27" s="69" t="str">
        <f ca="1">IF(AND($C27="Goal",AB$8&gt;=$G27,AB$8&lt;=$G27+$H27-1),2,IF(AND($C27="Milestone",AB$8&gt;=$G27,AB$8&lt;=$G27+$H27-1),1,""))</f>
        <v/>
      </c>
      <c r="AC27" s="69" t="str">
        <f ca="1">IF(AND($C27="Goal",AC$8&gt;=$G27,AC$8&lt;=$G27+$H27-1),2,IF(AND($C27="Milestone",AC$8&gt;=$G27,AC$8&lt;=$G27+$H27-1),1,""))</f>
        <v/>
      </c>
      <c r="AD27" s="69" t="str">
        <f ca="1">IF(AND($C27="Goal",AD$8&gt;=$G27,AD$8&lt;=$G27+$H27-1),2,IF(AND($C27="Milestone",AD$8&gt;=$G27,AD$8&lt;=$G27+$H27-1),1,""))</f>
        <v/>
      </c>
      <c r="AE27" s="69" t="str">
        <f ca="1">IF(AND($C27="Goal",AE$8&gt;=$G27,AE$8&lt;=$G27+$H27-1),2,IF(AND($C27="Milestone",AE$8&gt;=$G27,AE$8&lt;=$G27+$H27-1),1,""))</f>
        <v/>
      </c>
      <c r="AF27" s="69" t="str">
        <f ca="1">IF(AND($C27="Goal",AF$8&gt;=$G27,AF$8&lt;=$G27+$H27-1),2,IF(AND($C27="Milestone",AF$8&gt;=$G27,AF$8&lt;=$G27+$H27-1),1,""))</f>
        <v/>
      </c>
      <c r="AG27" s="69" t="str">
        <f ca="1">IF(AND($C27="Goal",AG$8&gt;=$G27,AG$8&lt;=$G27+$H27-1),2,IF(AND($C27="Milestone",AG$8&gt;=$G27,AG$8&lt;=$G27+$H27-1),1,""))</f>
        <v/>
      </c>
      <c r="AH27" s="69" t="str">
        <f ca="1">IF(AND($C27="Goal",AH$8&gt;=$G27,AH$8&lt;=$G27+$H27-1),2,IF(AND($C27="Milestone",AH$8&gt;=$G27,AH$8&lt;=$G27+$H27-1),1,""))</f>
        <v/>
      </c>
      <c r="AI27" s="69" t="str">
        <f ca="1">IF(AND($C27="Goal",AI$8&gt;=$G27,AI$8&lt;=$G27+$H27-1),2,IF(AND($C27="Milestone",AI$8&gt;=$G27,AI$8&lt;=$G27+$H27-1),1,""))</f>
        <v/>
      </c>
      <c r="AJ27" s="69" t="str">
        <f ca="1">IF(AND($C27="Goal",AJ$8&gt;=$G27,AJ$8&lt;=$G27+$H27-1),2,IF(AND($C27="Milestone",AJ$8&gt;=$G27,AJ$8&lt;=$G27+$H27-1),1,""))</f>
        <v/>
      </c>
      <c r="AK27" s="69" t="str">
        <f ca="1">IF(AND($C27="Goal",AK$8&gt;=$G27,AK$8&lt;=$G27+$H27-1),2,IF(AND($C27="Milestone",AK$8&gt;=$G27,AK$8&lt;=$G27+$H27-1),1,""))</f>
        <v/>
      </c>
      <c r="AL27" s="69" t="str">
        <f ca="1">IF(AND($C27="Goal",AL$8&gt;=$G27,AL$8&lt;=$G27+$H27-1),2,IF(AND($C27="Milestone",AL$8&gt;=$G27,AL$8&lt;=$G27+$H27-1),1,""))</f>
        <v/>
      </c>
      <c r="AM27" s="69" t="str">
        <f ca="1">IF(AND($C27="Goal",AM$8&gt;=$G27,AM$8&lt;=$G27+$H27-1),2,IF(AND($C27="Milestone",AM$8&gt;=$G27,AM$8&lt;=$G27+$H27-1),1,""))</f>
        <v/>
      </c>
      <c r="AN27" s="69" t="str">
        <f ca="1">IF(AND($C27="Goal",AN$8&gt;=$G27,AN$8&lt;=$G27+$H27-1),2,IF(AND($C27="Milestone",AN$8&gt;=$G27,AN$8&lt;=$G27+$H27-1),1,""))</f>
        <v/>
      </c>
      <c r="AO27" s="69" t="str">
        <f ca="1">IF(AND($C27="Goal",AO$8&gt;=$G27,AO$8&lt;=$G27+$H27-1),2,IF(AND($C27="Milestone",AO$8&gt;=$G27,AO$8&lt;=$G27+$H27-1),1,""))</f>
        <v/>
      </c>
      <c r="AP27" s="69" t="str">
        <f ca="1">IF(AND($C27="Goal",AP$8&gt;=$G27,AP$8&lt;=$G27+$H27-1),2,IF(AND($C27="Milestone",AP$8&gt;=$G27,AP$8&lt;=$G27+$H27-1),1,""))</f>
        <v/>
      </c>
      <c r="AQ27" s="69" t="str">
        <f ca="1">IF(AND($C27="Goal",AQ$8&gt;=$G27,AQ$8&lt;=$G27+$H27-1),2,IF(AND($C27="Milestone",AQ$8&gt;=$G27,AQ$8&lt;=$G27+$H27-1),1,""))</f>
        <v/>
      </c>
      <c r="AR27" s="69" t="str">
        <f ca="1">IF(AND($C27="Goal",AR$8&gt;=$G27,AR$8&lt;=$G27+$H27-1),2,IF(AND($C27="Milestone",AR$8&gt;=$G27,AR$8&lt;=$G27+$H27-1),1,""))</f>
        <v/>
      </c>
      <c r="AS27" s="69" t="str">
        <f ca="1">IF(AND($C27="Goal",AS$8&gt;=$G27,AS$8&lt;=$G27+$H27-1),2,IF(AND($C27="Milestone",AS$8&gt;=$G27,AS$8&lt;=$G27+$H27-1),1,""))</f>
        <v/>
      </c>
      <c r="AT27" s="69" t="str">
        <f ca="1">IF(AND($C27="Goal",AT$8&gt;=$G27,AT$8&lt;=$G27+$H27-1),2,IF(AND($C27="Milestone",AT$8&gt;=$G27,AT$8&lt;=$G27+$H27-1),1,""))</f>
        <v/>
      </c>
      <c r="AU27" s="69" t="str">
        <f ca="1">IF(AND($C27="Goal",AU$8&gt;=$G27,AU$8&lt;=$G27+$H27-1),2,IF(AND($C27="Milestone",AU$8&gt;=$G27,AU$8&lt;=$G27+$H27-1),1,""))</f>
        <v/>
      </c>
      <c r="AV27" s="69" t="str">
        <f ca="1">IF(AND($C27="Goal",AV$8&gt;=$G27,AV$8&lt;=$G27+$H27-1),2,IF(AND($C27="Milestone",AV$8&gt;=$G27,AV$8&lt;=$G27+$H27-1),1,""))</f>
        <v/>
      </c>
      <c r="AW27" s="69" t="str">
        <f ca="1">IF(AND($C27="Goal",AW$8&gt;=$G27,AW$8&lt;=$G27+$H27-1),2,IF(AND($C27="Milestone",AW$8&gt;=$G27,AW$8&lt;=$G27+$H27-1),1,""))</f>
        <v/>
      </c>
      <c r="AX27" s="69" t="str">
        <f ca="1">IF(AND($C27="Goal",AX$8&gt;=$G27,AX$8&lt;=$G27+$H27-1),2,IF(AND($C27="Milestone",AX$8&gt;=$G27,AX$8&lt;=$G27+$H27-1),1,""))</f>
        <v/>
      </c>
      <c r="AY27" s="69" t="str">
        <f ca="1">IF(AND($C27="Goal",AY$8&gt;=$G27,AY$8&lt;=$G27+$H27-1),2,IF(AND($C27="Milestone",AY$8&gt;=$G27,AY$8&lt;=$G27+$H27-1),1,""))</f>
        <v/>
      </c>
      <c r="AZ27" s="69" t="str">
        <f ca="1">IF(AND($C27="Goal",AZ$8&gt;=$G27,AZ$8&lt;=$G27+$H27-1),2,IF(AND($C27="Milestone",AZ$8&gt;=$G27,AZ$8&lt;=$G27+$H27-1),1,""))</f>
        <v/>
      </c>
      <c r="BA27" s="69" t="str">
        <f ca="1">IF(AND($C27="Goal",BA$8&gt;=$G27,BA$8&lt;=$G27+$H27-1),2,IF(AND($C27="Milestone",BA$8&gt;=$G27,BA$8&lt;=$G27+$H27-1),1,""))</f>
        <v/>
      </c>
      <c r="BB27" s="69" t="str">
        <f ca="1">IF(AND($C27="Goal",BB$8&gt;=$G27,BB$8&lt;=$G27+$H27-1),2,IF(AND($C27="Milestone",BB$8&gt;=$G27,BB$8&lt;=$G27+$H27-1),1,""))</f>
        <v/>
      </c>
      <c r="BC27" s="69" t="str">
        <f ca="1">IF(AND($C27="Goal",BC$8&gt;=$G27,BC$8&lt;=$G27+$H27-1),2,IF(AND($C27="Milestone",BC$8&gt;=$G27,BC$8&lt;=$G27+$H27-1),1,""))</f>
        <v/>
      </c>
      <c r="BD27" s="69" t="str">
        <f ca="1">IF(AND($C27="Goal",BD$8&gt;=$G27,BD$8&lt;=$G27+$H27-1),2,IF(AND($C27="Milestone",BD$8&gt;=$G27,BD$8&lt;=$G27+$H27-1),1,""))</f>
        <v/>
      </c>
      <c r="BE27" s="69" t="str">
        <f ca="1">IF(AND($C27="Goal",BE$8&gt;=$G27,BE$8&lt;=$G27+$H27-1),2,IF(AND($C27="Milestone",BE$8&gt;=$G27,BE$8&lt;=$G27+$H27-1),1,""))</f>
        <v/>
      </c>
      <c r="BF27" s="69" t="str">
        <f ca="1">IF(AND($C27="Goal",BF$8&gt;=$G27,BF$8&lt;=$G27+$H27-1),2,IF(AND($C27="Milestone",BF$8&gt;=$G27,BF$8&lt;=$G27+$H27-1),1,""))</f>
        <v/>
      </c>
      <c r="BG27" s="69" t="str">
        <f ca="1">IF(AND($C27="Goal",BG$8&gt;=$G27,BG$8&lt;=$G27+$H27-1),2,IF(AND($C27="Milestone",BG$8&gt;=$G27,BG$8&lt;=$G27+$H27-1),1,""))</f>
        <v/>
      </c>
      <c r="BH27" s="69" t="str">
        <f ca="1">IF(AND($C27="Goal",BH$8&gt;=$G27,BH$8&lt;=$G27+$H27-1),2,IF(AND($C27="Milestone",BH$8&gt;=$G27,BH$8&lt;=$G27+$H27-1),1,""))</f>
        <v/>
      </c>
      <c r="BI27" s="69" t="str">
        <f ca="1">IF(AND($C27="Goal",BI$8&gt;=$G27,BI$8&lt;=$G27+$H27-1),2,IF(AND($C27="Milestone",BI$8&gt;=$G27,BI$8&lt;=$G27+$H27-1),1,""))</f>
        <v/>
      </c>
      <c r="BJ27" s="69" t="str">
        <f ca="1">IF(AND($C27="Goal",BJ$8&gt;=$G27,BJ$8&lt;=$G27+$H27-1),2,IF(AND($C27="Milestone",BJ$8&gt;=$G27,BJ$8&lt;=$G27+$H27-1),1,""))</f>
        <v/>
      </c>
      <c r="BK27" s="69" t="str">
        <f ca="1">IF(AND($C27="Goal",BK$8&gt;=$G27,BK$8&lt;=$G27+$H27-1),2,IF(AND($C27="Milestone",BK$8&gt;=$G27,BK$8&lt;=$G27+$H27-1),1,""))</f>
        <v/>
      </c>
      <c r="BL27" s="69" t="str">
        <f ca="1">IF(AND($C27="Goal",BL$8&gt;=$G27,BL$8&lt;=$G27+$H27-1),2,IF(AND($C27="Milestone",BL$8&gt;=$G27,BL$8&lt;=$G27+$H27-1),1,""))</f>
        <v/>
      </c>
      <c r="BM27" s="69" t="str">
        <f ca="1">IF(AND($C27="Goal",BM$8&gt;=$G27,BM$8&lt;=$G27+$H27-1),2,IF(AND($C27="Milestone",BM$8&gt;=$G27,BM$8&lt;=$G27+$H27-1),1,""))</f>
        <v/>
      </c>
      <c r="BN27" s="69" t="str">
        <f ca="1">IF(AND($C27="Goal",BN$8&gt;=$G27,BN$8&lt;=$G27+$H27-1),2,IF(AND($C27="Milestone",BN$8&gt;=$G27,BN$8&lt;=$G27+$H27-1),1,""))</f>
        <v/>
      </c>
      <c r="BO27" s="69" t="str">
        <f ca="1">IF(AND($C27="Goal",BO$8&gt;=$G27,BO$8&lt;=$G27+$H27-1),2,IF(AND($C27="Milestone",BO$8&gt;=$G27,BO$8&lt;=$G27+$H27-1),1,""))</f>
        <v/>
      </c>
      <c r="BP27" s="69" t="str">
        <f ca="1">IF(AND($C27="Goal",BP$8&gt;=$G27,BP$8&lt;=$G27+$H27-1),2,IF(AND($C27="Milestone",BP$8&gt;=$G27,BP$8&lt;=$G27+$H27-1),1,""))</f>
        <v/>
      </c>
      <c r="BQ27" s="69" t="str">
        <f ca="1">IF(AND($C27="Goal",BQ$8&gt;=$G27,BQ$8&lt;=$G27+$H27-1),2,IF(AND($C27="Milestone",BQ$8&gt;=$G27,BQ$8&lt;=$G27+$H27-1),1,""))</f>
        <v/>
      </c>
      <c r="BR27" s="69" t="str">
        <f ca="1">IF(AND($C27="Goal",BR$8&gt;=$G27,BR$8&lt;=$G27+$H27-1),2,IF(AND($C27="Milestone",BR$8&gt;=$G27,BR$8&lt;=$G27+$H27-1),1,""))</f>
        <v/>
      </c>
      <c r="BS27" s="69" t="str">
        <f ca="1">IF(AND($C27="Goal",BS$8&gt;=$G27,BS$8&lt;=$G27+$H27-1),2,IF(AND($C27="Milestone",BS$8&gt;=$G27,BS$8&lt;=$G27+$H27-1),1,""))</f>
        <v/>
      </c>
      <c r="BT27" s="69" t="str">
        <f ca="1">IF(AND($C27="Goal",BT$8&gt;=$G27,BT$8&lt;=$G27+$H27-1),2,IF(AND($C27="Milestone",BT$8&gt;=$G27,BT$8&lt;=$G27+$H27-1),1,""))</f>
        <v/>
      </c>
      <c r="BU27" s="69" t="str">
        <f ca="1">IF(AND($C27="Goal",BU$8&gt;=$G27,BU$8&lt;=$G27+$H27-1),2,IF(AND($C27="Milestone",BU$8&gt;=$G27,BU$8&lt;=$G27+$H27-1),1,""))</f>
        <v/>
      </c>
      <c r="BV27" s="69" t="str">
        <f ca="1">IF(AND($C27="Goal",BV$8&gt;=$G27,BV$8&lt;=$G27+$H27-1),2,IF(AND($C27="Milestone",BV$8&gt;=$G27,BV$8&lt;=$G27+$H27-1),1,""))</f>
        <v/>
      </c>
      <c r="BW27" s="69" t="str">
        <f ca="1">IF(AND($C27="Goal",BW$8&gt;=$G27,BW$8&lt;=$G27+$H27-1),2,IF(AND($C27="Milestone",BW$8&gt;=$G27,BW$8&lt;=$G27+$H27-1),1,""))</f>
        <v/>
      </c>
      <c r="BX27" s="69" t="str">
        <f ca="1">IF(AND($C27="Goal",BX$8&gt;=$G27,BX$8&lt;=$G27+$H27-1),2,IF(AND($C27="Milestone",BX$8&gt;=$G27,BX$8&lt;=$G27+$H27-1),1,""))</f>
        <v/>
      </c>
      <c r="BY27" s="69" t="str">
        <f ca="1">IF(AND($C27="Goal",BY$8&gt;=$G27,BY$8&lt;=$G27+$H27-1),2,IF(AND($C27="Milestone",BY$8&gt;=$G27,BY$8&lt;=$G27+$H27-1),1,""))</f>
        <v/>
      </c>
      <c r="BZ27" s="69" t="str">
        <f ca="1">IF(AND($C27="Goal",BZ$8&gt;=$G27,BZ$8&lt;=$G27+$H27-1),2,IF(AND($C27="Milestone",BZ$8&gt;=$G27,BZ$8&lt;=$G27+$H27-1),1,""))</f>
        <v/>
      </c>
      <c r="CA27" s="69" t="str">
        <f ca="1">IF(AND($C27="Goal",CA$8&gt;=$G27,CA$8&lt;=$G27+$H27-1),2,IF(AND($C27="Milestone",CA$8&gt;=$G27,CA$8&lt;=$G27+$H27-1),1,""))</f>
        <v/>
      </c>
      <c r="CB27" s="69" t="str">
        <f ca="1">IF(AND($C27="Goal",CB$8&gt;=$G27,CB$8&lt;=$G27+$H27-1),2,IF(AND($C27="Milestone",CB$8&gt;=$G27,CB$8&lt;=$G27+$H27-1),1,""))</f>
        <v/>
      </c>
      <c r="CC27" s="69" t="str">
        <f ca="1">IF(AND($C27="Goal",CC$8&gt;=$G27,CC$8&lt;=$G27+$H27-1),2,IF(AND($C27="Milestone",CC$8&gt;=$G27,CC$8&lt;=$G27+$H27-1),1,""))</f>
        <v/>
      </c>
      <c r="CD27" s="69" t="str">
        <f ca="1">IF(AND($C27="Goal",CD$8&gt;=$G27,CD$8&lt;=$G27+$H27-1),2,IF(AND($C27="Milestone",CD$8&gt;=$G27,CD$8&lt;=$G27+$H27-1),1,""))</f>
        <v/>
      </c>
      <c r="CE27" s="69" t="str">
        <f ca="1">IF(AND($C27="Goal",CE$8&gt;=$G27,CE$8&lt;=$G27+$H27-1),2,IF(AND($C27="Milestone",CE$8&gt;=$G27,CE$8&lt;=$G27+$H27-1),1,""))</f>
        <v/>
      </c>
      <c r="CF27" s="69" t="str">
        <f ca="1">IF(AND($C27="Goal",CF$8&gt;=$G27,CF$8&lt;=$G27+$H27-1),2,IF(AND($C27="Milestone",CF$8&gt;=$G27,CF$8&lt;=$G27+$H27-1),1,""))</f>
        <v/>
      </c>
      <c r="CG27" s="69" t="str">
        <f ca="1">IF(AND($C27="Goal",CG$8&gt;=$G27,CG$8&lt;=$G27+$H27-1),2,IF(AND($C27="Milestone",CG$8&gt;=$G27,CG$8&lt;=$G27+$H27-1),1,""))</f>
        <v/>
      </c>
      <c r="CH27" s="69" t="str">
        <f ca="1">IF(AND($C27="Goal",CH$8&gt;=$G27,CH$8&lt;=$G27+$H27-1),2,IF(AND($C27="Milestone",CH$8&gt;=$G27,CH$8&lt;=$G27+$H27-1),1,""))</f>
        <v/>
      </c>
      <c r="CI27" s="69" t="str">
        <f ca="1">IF(AND($C27="Goal",CI$8&gt;=$G27,CI$8&lt;=$G27+$H27-1),2,IF(AND($C27="Milestone",CI$8&gt;=$G27,CI$8&lt;=$G27+$H27-1),1,""))</f>
        <v/>
      </c>
      <c r="CJ27" s="69" t="str">
        <f ca="1">IF(AND($C27="Goal",CJ$8&gt;=$G27,CJ$8&lt;=$G27+$H27-1),2,IF(AND($C27="Milestone",CJ$8&gt;=$G27,CJ$8&lt;=$G27+$H27-1),1,""))</f>
        <v/>
      </c>
      <c r="CK27" s="69" t="str">
        <f ca="1">IF(AND($C27="Goal",CK$8&gt;=$G27,CK$8&lt;=$G27+$H27-1),2,IF(AND($C27="Milestone",CK$8&gt;=$G27,CK$8&lt;=$G27+$H27-1),1,""))</f>
        <v/>
      </c>
      <c r="CL27" s="69" t="str">
        <f ca="1">IF(AND($C27="Goal",CL$8&gt;=$G27,CL$8&lt;=$G27+$H27-1),2,IF(AND($C27="Milestone",CL$8&gt;=$G27,CL$8&lt;=$G27+$H27-1),1,""))</f>
        <v/>
      </c>
      <c r="CM27" s="69" t="str">
        <f ca="1">IF(AND($C27="Goal",CM$8&gt;=$G27,CM$8&lt;=$G27+$H27-1),2,IF(AND($C27="Milestone",CM$8&gt;=$G27,CM$8&lt;=$G27+$H27-1),1,""))</f>
        <v/>
      </c>
      <c r="CN27" s="69" t="str">
        <f ca="1">IF(AND($C27="Goal",CN$8&gt;=$G27,CN$8&lt;=$G27+$H27-1),2,IF(AND($C27="Milestone",CN$8&gt;=$G27,CN$8&lt;=$G27+$H27-1),1,""))</f>
        <v/>
      </c>
      <c r="CO27" s="69" t="str">
        <f ca="1">IF(AND($C27="Goal",CO$8&gt;=$G27,CO$8&lt;=$G27+$H27-1),2,IF(AND($C27="Milestone",CO$8&gt;=$G27,CO$8&lt;=$G27+$H27-1),1,""))</f>
        <v/>
      </c>
      <c r="CP27" s="69" t="str">
        <f ca="1">IF(AND($C27="Goal",CP$8&gt;=$G27,CP$8&lt;=$G27+$H27-1),2,IF(AND($C27="Milestone",CP$8&gt;=$G27,CP$8&lt;=$G27+$H27-1),1,""))</f>
        <v/>
      </c>
      <c r="CQ27" s="69" t="str">
        <f ca="1">IF(AND($C27="Goal",CQ$8&gt;=$G27,CQ$8&lt;=$G27+$H27-1),2,IF(AND($C27="Milestone",CQ$8&gt;=$G27,CQ$8&lt;=$G27+$H27-1),1,""))</f>
        <v/>
      </c>
      <c r="CR27" s="69" t="str">
        <f ca="1">IF(AND($C27="Goal",CR$8&gt;=$G27,CR$8&lt;=$G27+$H27-1),2,IF(AND($C27="Milestone",CR$8&gt;=$G27,CR$8&lt;=$G27+$H27-1),1,""))</f>
        <v/>
      </c>
      <c r="CS27" s="69" t="str">
        <f ca="1">IF(AND($C27="Goal",CS$8&gt;=$G27,CS$8&lt;=$G27+$H27-1),2,IF(AND($C27="Milestone",CS$8&gt;=$G27,CS$8&lt;=$G27+$H27-1),1,""))</f>
        <v/>
      </c>
      <c r="CT27" s="69" t="str">
        <f ca="1">IF(AND($C27="Goal",CT$8&gt;=$G27,CT$8&lt;=$G27+$H27-1),2,IF(AND($C27="Milestone",CT$8&gt;=$G27,CT$8&lt;=$G27+$H27-1),1,""))</f>
        <v/>
      </c>
      <c r="CU27" s="69" t="str">
        <f ca="1">IF(AND($C27="Goal",CU$8&gt;=$G27,CU$8&lt;=$G27+$H27-1),2,IF(AND($C27="Milestone",CU$8&gt;=$G27,CU$8&lt;=$G27+$H27-1),1,""))</f>
        <v/>
      </c>
      <c r="CV27" s="69" t="str">
        <f ca="1">IF(AND($C27="Goal",CV$8&gt;=$G27,CV$8&lt;=$G27+$H27-1),2,IF(AND($C27="Milestone",CV$8&gt;=$G27,CV$8&lt;=$G27+$H27-1),1,""))</f>
        <v/>
      </c>
      <c r="CW27" s="69" t="str">
        <f ca="1">IF(AND($C27="Goal",CW$8&gt;=$G27,CW$8&lt;=$G27+$H27-1),2,IF(AND($C27="Milestone",CW$8&gt;=$G27,CW$8&lt;=$G27+$H27-1),1,""))</f>
        <v/>
      </c>
      <c r="CX27" s="69" t="str">
        <f ca="1">IF(AND($C27="Goal",CX$8&gt;=$G27,CX$8&lt;=$G27+$H27-1),2,IF(AND($C27="Milestone",CX$8&gt;=$G27,CX$8&lt;=$G27+$H27-1),1,""))</f>
        <v/>
      </c>
      <c r="CY27" s="69" t="str">
        <f ca="1">IF(AND($C27="Goal",CY$8&gt;=$G27,CY$8&lt;=$G27+$H27-1),2,IF(AND($C27="Milestone",CY$8&gt;=$G27,CY$8&lt;=$G27+$H27-1),1,""))</f>
        <v/>
      </c>
      <c r="CZ27" s="69" t="str">
        <f ca="1">IF(AND($C27="Goal",CZ$8&gt;=$G27,CZ$8&lt;=$G27+$H27-1),2,IF(AND($C27="Milestone",CZ$8&gt;=$G27,CZ$8&lt;=$G27+$H27-1),1,""))</f>
        <v/>
      </c>
      <c r="DA27" s="69" t="str">
        <f ca="1">IF(AND($C27="Goal",DA$8&gt;=$G27,DA$8&lt;=$G27+$H27-1),2,IF(AND($C27="Milestone",DA$8&gt;=$G27,DA$8&lt;=$G27+$H27-1),1,""))</f>
        <v/>
      </c>
      <c r="DB27" s="69" t="str">
        <f ca="1">IF(AND($C27="Goal",DB$8&gt;=$G27,DB$8&lt;=$G27+$H27-1),2,IF(AND($C27="Milestone",DB$8&gt;=$G27,DB$8&lt;=$G27+$H27-1),1,""))</f>
        <v/>
      </c>
      <c r="DC27" s="69" t="str">
        <f ca="1">IF(AND($C27="Goal",DC$8&gt;=$G27,DC$8&lt;=$G27+$H27-1),2,IF(AND($C27="Milestone",DC$8&gt;=$G27,DC$8&lt;=$G27+$H27-1),1,""))</f>
        <v/>
      </c>
      <c r="DD27" s="69" t="str">
        <f ca="1">IF(AND($C27="Goal",DD$8&gt;=$G27,DD$8&lt;=$G27+$H27-1),2,IF(AND($C27="Milestone",DD$8&gt;=$G27,DD$8&lt;=$G27+$H27-1),1,""))</f>
        <v/>
      </c>
      <c r="DE27" s="69" t="str">
        <f ca="1">IF(AND($C27="Goal",DE$8&gt;=$G27,DE$8&lt;=$G27+$H27-1),2,IF(AND($C27="Milestone",DE$8&gt;=$G27,DE$8&lt;=$G27+$H27-1),1,""))</f>
        <v/>
      </c>
      <c r="DF27" s="69" t="str">
        <f ca="1">IF(AND($C27="Goal",DF$8&gt;=$G27,DF$8&lt;=$G27+$H27-1),2,IF(AND($C27="Milestone",DF$8&gt;=$G27,DF$8&lt;=$G27+$H27-1),1,""))</f>
        <v/>
      </c>
      <c r="DG27" s="69" t="str">
        <f ca="1">IF(AND($C27="Goal",DG$8&gt;=$G27,DG$8&lt;=$G27+$H27-1),2,IF(AND($C27="Milestone",DG$8&gt;=$G27,DG$8&lt;=$G27+$H27-1),1,""))</f>
        <v/>
      </c>
      <c r="DH27" s="69" t="str">
        <f ca="1">IF(AND($C27="Goal",DH$8&gt;=$G27,DH$8&lt;=$G27+$H27-1),2,IF(AND($C27="Milestone",DH$8&gt;=$G27,DH$8&lt;=$G27+$H27-1),1,""))</f>
        <v/>
      </c>
      <c r="DI27" s="69" t="str">
        <f ca="1">IF(AND($C27="Goal",DI$8&gt;=$G27,DI$8&lt;=$G27+$H27-1),2,IF(AND($C27="Milestone",DI$8&gt;=$G27,DI$8&lt;=$G27+$H27-1),1,""))</f>
        <v/>
      </c>
      <c r="DJ27" s="69" t="str">
        <f ca="1">IF(AND($C27="Goal",DJ$8&gt;=$G27,DJ$8&lt;=$G27+$H27-1),2,IF(AND($C27="Milestone",DJ$8&gt;=$G27,DJ$8&lt;=$G27+$H27-1),1,""))</f>
        <v/>
      </c>
      <c r="DK27" s="69" t="str">
        <f ca="1">IF(AND($C27="Goal",DK$8&gt;=$G27,DK$8&lt;=$G27+$H27-1),2,IF(AND($C27="Milestone",DK$8&gt;=$G27,DK$8&lt;=$G27+$H27-1),1,""))</f>
        <v/>
      </c>
      <c r="DL27" s="69" t="str">
        <f ca="1">IF(AND($C27="Goal",DL$8&gt;=$G27,DL$8&lt;=$G27+$H27-1),2,IF(AND($C27="Milestone",DL$8&gt;=$G27,DL$8&lt;=$G27+$H27-1),1,""))</f>
        <v/>
      </c>
      <c r="DM27" s="69" t="str">
        <f ca="1">IF(AND($C27="Goal",DM$8&gt;=$G27,DM$8&lt;=$G27+$H27-1),2,IF(AND($C27="Milestone",DM$8&gt;=$G27,DM$8&lt;=$G27+$H27-1),1,""))</f>
        <v/>
      </c>
      <c r="DN27" s="69" t="str">
        <f ca="1">IF(AND($C27="Goal",DN$8&gt;=$G27,DN$8&lt;=$G27+$H27-1),2,IF(AND($C27="Milestone",DN$8&gt;=$G27,DN$8&lt;=$G27+$H27-1),1,""))</f>
        <v/>
      </c>
      <c r="DO27" s="69" t="str">
        <f ca="1">IF(AND($C27="Goal",DO$8&gt;=$G27,DO$8&lt;=$G27+$H27-1),2,IF(AND($C27="Milestone",DO$8&gt;=$G27,DO$8&lt;=$G27+$H27-1),1,""))</f>
        <v/>
      </c>
      <c r="DP27" s="69" t="str">
        <f ca="1">IF(AND($C27="Goal",DP$8&gt;=$G27,DP$8&lt;=$G27+$H27-1),2,IF(AND($C27="Milestone",DP$8&gt;=$G27,DP$8&lt;=$G27+$H27-1),1,""))</f>
        <v/>
      </c>
      <c r="DQ27" s="69" t="str">
        <f ca="1">IF(AND($C27="Goal",DQ$8&gt;=$G27,DQ$8&lt;=$G27+$H27-1),2,IF(AND($C27="Milestone",DQ$8&gt;=$G27,DQ$8&lt;=$G27+$H27-1),1,""))</f>
        <v/>
      </c>
      <c r="DR27" s="69" t="str">
        <f ca="1">IF(AND($C27="Goal",DR$8&gt;=$G27,DR$8&lt;=$G27+$H27-1),2,IF(AND($C27="Milestone",DR$8&gt;=$G27,DR$8&lt;=$G27+$H27-1),1,""))</f>
        <v/>
      </c>
      <c r="DS27" s="69" t="str">
        <f ca="1">IF(AND($C27="Goal",DS$8&gt;=$G27,DS$8&lt;=$G27+$H27-1),2,IF(AND($C27="Milestone",DS$8&gt;=$G27,DS$8&lt;=$G27+$H27-1),1,""))</f>
        <v/>
      </c>
      <c r="DT27" s="69" t="str">
        <f ca="1">IF(AND($C27="Goal",DT$8&gt;=$G27,DT$8&lt;=$G27+$H27-1),2,IF(AND($C27="Milestone",DT$8&gt;=$G27,DT$8&lt;=$G27+$H27-1),1,""))</f>
        <v/>
      </c>
      <c r="DU27" s="69" t="str">
        <f ca="1">IF(AND($C27="Goal",DU$8&gt;=$G27,DU$8&lt;=$G27+$H27-1),2,IF(AND($C27="Milestone",DU$8&gt;=$G27,DU$8&lt;=$G27+$H27-1),1,""))</f>
        <v/>
      </c>
      <c r="DV27" s="69" t="str">
        <f ca="1">IF(AND($C27="Goal",DV$8&gt;=$G27,DV$8&lt;=$G27+$H27-1),2,IF(AND($C27="Milestone",DV$8&gt;=$G27,DV$8&lt;=$G27+$H27-1),1,""))</f>
        <v/>
      </c>
      <c r="DW27" s="69" t="str">
        <f ca="1">IF(AND($C27="Goal",DW$8&gt;=$G27,DW$8&lt;=$G27+$H27-1),2,IF(AND($C27="Milestone",DW$8&gt;=$G27,DW$8&lt;=$G27+$H27-1),1,""))</f>
        <v/>
      </c>
      <c r="DX27" s="69" t="str">
        <f ca="1">IF(AND($C27="Goal",DX$8&gt;=$G27,DX$8&lt;=$G27+$H27-1),2,IF(AND($C27="Milestone",DX$8&gt;=$G27,DX$8&lt;=$G27+$H27-1),1,""))</f>
        <v/>
      </c>
      <c r="DY27" s="69" t="str">
        <f ca="1">IF(AND($C27="Goal",DY$8&gt;=$G27,DY$8&lt;=$G27+$H27-1),2,IF(AND($C27="Milestone",DY$8&gt;=$G27,DY$8&lt;=$G27+$H27-1),1,""))</f>
        <v/>
      </c>
      <c r="DZ27" s="69" t="str">
        <f ca="1">IF(AND($C27="Goal",DZ$8&gt;=$G27,DZ$8&lt;=$G27+$H27-1),2,IF(AND($C27="Milestone",DZ$8&gt;=$G27,DZ$8&lt;=$G27+$H27-1),1,""))</f>
        <v/>
      </c>
      <c r="EA27" s="69" t="str">
        <f ca="1">IF(AND($C27="Goal",EA$8&gt;=$G27,EA$8&lt;=$G27+$H27-1),2,IF(AND($C27="Milestone",EA$8&gt;=$G27,EA$8&lt;=$G27+$H27-1),1,""))</f>
        <v/>
      </c>
      <c r="EB27" s="69" t="str">
        <f ca="1">IF(AND($C27="Goal",EB$8&gt;=$G27,EB$8&lt;=$G27+$H27-1),2,IF(AND($C27="Milestone",EB$8&gt;=$G27,EB$8&lt;=$G27+$H27-1),1,""))</f>
        <v/>
      </c>
      <c r="EC27" s="69" t="str">
        <f ca="1">IF(AND($C27="Goal",EC$8&gt;=$G27,EC$8&lt;=$G27+$H27-1),2,IF(AND($C27="Milestone",EC$8&gt;=$G27,EC$8&lt;=$G27+$H27-1),1,""))</f>
        <v/>
      </c>
      <c r="ED27" s="69" t="str">
        <f ca="1">IF(AND($C27="Goal",ED$8&gt;=$G27,ED$8&lt;=$G27+$H27-1),2,IF(AND($C27="Milestone",ED$8&gt;=$G27,ED$8&lt;=$G27+$H27-1),1,""))</f>
        <v/>
      </c>
      <c r="EE27" s="69" t="str">
        <f ca="1">IF(AND($C27="Goal",EE$8&gt;=$G27,EE$8&lt;=$G27+$H27-1),2,IF(AND($C27="Milestone",EE$8&gt;=$G27,EE$8&lt;=$G27+$H27-1),1,""))</f>
        <v/>
      </c>
      <c r="EF27" s="69" t="str">
        <f ca="1">IF(AND($C27="Goal",EF$8&gt;=$G27,EF$8&lt;=$G27+$H27-1),2,IF(AND($C27="Milestone",EF$8&gt;=$G27,EF$8&lt;=$G27+$H27-1),1,""))</f>
        <v/>
      </c>
      <c r="EG27" s="69" t="str">
        <f ca="1">IF(AND($C27="Goal",EG$8&gt;=$G27,EG$8&lt;=$G27+$H27-1),2,IF(AND($C27="Milestone",EG$8&gt;=$G27,EG$8&lt;=$G27+$H27-1),1,""))</f>
        <v/>
      </c>
      <c r="EH27" s="69" t="str">
        <f ca="1">IF(AND($C27="Goal",EH$8&gt;=$G27,EH$8&lt;=$G27+$H27-1),2,IF(AND($C27="Milestone",EH$8&gt;=$G27,EH$8&lt;=$G27+$H27-1),1,""))</f>
        <v/>
      </c>
      <c r="EI27" s="69" t="str">
        <f ca="1">IF(AND($C27="Goal",EI$8&gt;=$G27,EI$8&lt;=$G27+$H27-1),2,IF(AND($C27="Milestone",EI$8&gt;=$G27,EI$8&lt;=$G27+$H27-1),1,""))</f>
        <v/>
      </c>
      <c r="EJ27" s="69" t="str">
        <f ca="1">IF(AND($C27="Goal",EJ$8&gt;=$G27,EJ$8&lt;=$G27+$H27-1),2,IF(AND($C27="Milestone",EJ$8&gt;=$G27,EJ$8&lt;=$G27+$H27-1),1,""))</f>
        <v/>
      </c>
      <c r="EK27" s="69" t="str">
        <f ca="1">IF(AND($C27="Goal",EK$8&gt;=$G27,EK$8&lt;=$G27+$H27-1),2,IF(AND($C27="Milestone",EK$8&gt;=$G27,EK$8&lt;=$G27+$H27-1),1,""))</f>
        <v/>
      </c>
      <c r="EL27" s="69" t="str">
        <f ca="1">IF(AND($C27="Goal",EL$8&gt;=$G27,EL$8&lt;=$G27+$H27-1),2,IF(AND($C27="Milestone",EL$8&gt;=$G27,EL$8&lt;=$G27+$H27-1),1,""))</f>
        <v/>
      </c>
      <c r="EM27" s="69" t="str">
        <f ca="1">IF(AND($C27="Goal",EM$8&gt;=$G27,EM$8&lt;=$G27+$H27-1),2,IF(AND($C27="Milestone",EM$8&gt;=$G27,EM$8&lt;=$G27+$H27-1),1,""))</f>
        <v/>
      </c>
      <c r="EN27" s="69" t="str">
        <f ca="1">IF(AND($C27="Goal",EN$8&gt;=$G27,EN$8&lt;=$G27+$H27-1),2,IF(AND($C27="Milestone",EN$8&gt;=$G27,EN$8&lt;=$G27+$H27-1),1,""))</f>
        <v/>
      </c>
      <c r="EO27" s="69" t="str">
        <f ca="1">IF(AND($C27="Goal",EO$8&gt;=$G27,EO$8&lt;=$G27+$H27-1),2,IF(AND($C27="Milestone",EO$8&gt;=$G27,EO$8&lt;=$G27+$H27-1),1,""))</f>
        <v/>
      </c>
      <c r="EP27" s="69" t="str">
        <f ca="1">IF(AND($C27="Goal",EP$8&gt;=$G27,EP$8&lt;=$G27+$H27-1),2,IF(AND($C27="Milestone",EP$8&gt;=$G27,EP$8&lt;=$G27+$H27-1),1,""))</f>
        <v/>
      </c>
      <c r="EQ27" s="69" t="str">
        <f ca="1">IF(AND($C27="Goal",EQ$8&gt;=$G27,EQ$8&lt;=$G27+$H27-1),2,IF(AND($C27="Milestone",EQ$8&gt;=$G27,EQ$8&lt;=$G27+$H27-1),1,""))</f>
        <v/>
      </c>
      <c r="ER27" s="69" t="str">
        <f ca="1">IF(AND($C27="Goal",ER$8&gt;=$G27,ER$8&lt;=$G27+$H27-1),2,IF(AND($C27="Milestone",ER$8&gt;=$G27,ER$8&lt;=$G27+$H27-1),1,""))</f>
        <v/>
      </c>
      <c r="ES27" s="69" t="str">
        <f ca="1">IF(AND($C27="Goal",ES$8&gt;=$G27,ES$8&lt;=$G27+$H27-1),2,IF(AND($C27="Milestone",ES$8&gt;=$G27,ES$8&lt;=$G27+$H27-1),1,""))</f>
        <v/>
      </c>
      <c r="ET27" s="69" t="str">
        <f ca="1">IF(AND($C27="Goal",ET$8&gt;=$G27,ET$8&lt;=$G27+$H27-1),2,IF(AND($C27="Milestone",ET$8&gt;=$G27,ET$8&lt;=$G27+$H27-1),1,""))</f>
        <v/>
      </c>
      <c r="EU27" s="69" t="str">
        <f ca="1">IF(AND($C27="Goal",EU$8&gt;=$G27,EU$8&lt;=$G27+$H27-1),2,IF(AND($C27="Milestone",EU$8&gt;=$G27,EU$8&lt;=$G27+$H27-1),1,""))</f>
        <v/>
      </c>
      <c r="EV27" s="69" t="str">
        <f ca="1">IF(AND($C27="Goal",EV$8&gt;=$G27,EV$8&lt;=$G27+$H27-1),2,IF(AND($C27="Milestone",EV$8&gt;=$G27,EV$8&lt;=$G27+$H27-1),1,""))</f>
        <v/>
      </c>
      <c r="EW27" s="69" t="str">
        <f ca="1">IF(AND($C27="Goal",EW$8&gt;=$G27,EW$8&lt;=$G27+$H27-1),2,IF(AND($C27="Milestone",EW$8&gt;=$G27,EW$8&lt;=$G27+$H27-1),1,""))</f>
        <v/>
      </c>
      <c r="EX27" s="69" t="str">
        <f ca="1">IF(AND($C27="Goal",EX$8&gt;=$G27,EX$8&lt;=$G27+$H27-1),2,IF(AND($C27="Milestone",EX$8&gt;=$G27,EX$8&lt;=$G27+$H27-1),1,""))</f>
        <v/>
      </c>
      <c r="EY27" s="69" t="str">
        <f ca="1">IF(AND($C27="Goal",EY$8&gt;=$G27,EY$8&lt;=$G27+$H27-1),2,IF(AND($C27="Milestone",EY$8&gt;=$G27,EY$8&lt;=$G27+$H27-1),1,""))</f>
        <v/>
      </c>
      <c r="EZ27" s="69" t="str">
        <f ca="1">IF(AND($C27="Goal",EZ$8&gt;=$G27,EZ$8&lt;=$G27+$H27-1),2,IF(AND($C27="Milestone",EZ$8&gt;=$G27,EZ$8&lt;=$G27+$H27-1),1,""))</f>
        <v/>
      </c>
      <c r="FA27" s="69" t="str">
        <f ca="1">IF(AND($C27="Goal",FA$8&gt;=$G27,FA$8&lt;=$G27+$H27-1),2,IF(AND($C27="Milestone",FA$8&gt;=$G27,FA$8&lt;=$G27+$H27-1),1,""))</f>
        <v/>
      </c>
      <c r="FB27" s="69" t="str">
        <f ca="1">IF(AND($C27="Goal",FB$8&gt;=$G27,FB$8&lt;=$G27+$H27-1),2,IF(AND($C27="Milestone",FB$8&gt;=$G27,FB$8&lt;=$G27+$H27-1),1,""))</f>
        <v/>
      </c>
      <c r="FC27" s="69" t="str">
        <f ca="1">IF(AND($C27="Goal",FC$8&gt;=$G27,FC$8&lt;=$G27+$H27-1),2,IF(AND($C27="Milestone",FC$8&gt;=$G27,FC$8&lt;=$G27+$H27-1),1,""))</f>
        <v/>
      </c>
      <c r="FD27" s="69" t="str">
        <f ca="1">IF(AND($C27="Goal",FD$8&gt;=$G27,FD$8&lt;=$G27+$H27-1),2,IF(AND($C27="Milestone",FD$8&gt;=$G27,FD$8&lt;=$G27+$H27-1),1,""))</f>
        <v/>
      </c>
      <c r="FE27" s="69" t="str">
        <f ca="1">IF(AND($C27="Goal",FE$8&gt;=$G27,FE$8&lt;=$G27+$H27-1),2,IF(AND($C27="Milestone",FE$8&gt;=$G27,FE$8&lt;=$G27+$H27-1),1,""))</f>
        <v/>
      </c>
      <c r="FF27" s="69" t="str">
        <f ca="1">IF(AND($C27="Goal",FF$8&gt;=$G27,FF$8&lt;=$G27+$H27-1),2,IF(AND($C27="Milestone",FF$8&gt;=$G27,FF$8&lt;=$G27+$H27-1),1,""))</f>
        <v/>
      </c>
      <c r="FG27" s="69" t="str">
        <f ca="1">IF(AND($C27="Goal",FG$8&gt;=$G27,FG$8&lt;=$G27+$H27-1),2,IF(AND($C27="Milestone",FG$8&gt;=$G27,FG$8&lt;=$G27+$H27-1),1,""))</f>
        <v/>
      </c>
      <c r="FH27" s="69" t="str">
        <f ca="1">IF(AND($C27="Goal",FH$8&gt;=$G27,FH$8&lt;=$G27+$H27-1),2,IF(AND($C27="Milestone",FH$8&gt;=$G27,FH$8&lt;=$G27+$H27-1),1,""))</f>
        <v/>
      </c>
      <c r="FI27" s="69" t="str">
        <f ca="1">IF(AND($C27="Goal",FI$8&gt;=$G27,FI$8&lt;=$G27+$H27-1),2,IF(AND($C27="Milestone",FI$8&gt;=$G27,FI$8&lt;=$G27+$H27-1),1,""))</f>
        <v/>
      </c>
      <c r="FJ27" s="69" t="str">
        <f ca="1">IF(AND($C27="Goal",FJ$8&gt;=$G27,FJ$8&lt;=$G27+$H27-1),2,IF(AND($C27="Milestone",FJ$8&gt;=$G27,FJ$8&lt;=$G27+$H27-1),1,""))</f>
        <v/>
      </c>
      <c r="FK27" s="69" t="str">
        <f ca="1">IF(AND($C27="Goal",FK$8&gt;=$G27,FK$8&lt;=$G27+$H27-1),2,IF(AND($C27="Milestone",FK$8&gt;=$G27,FK$8&lt;=$G27+$H27-1),1,""))</f>
        <v/>
      </c>
      <c r="FL27" s="69" t="str">
        <f ca="1">IF(AND($C27="Goal",FL$8&gt;=$G27,FL$8&lt;=$G27+$H27-1),2,IF(AND($C27="Milestone",FL$8&gt;=$G27,FL$8&lt;=$G27+$H27-1),1,""))</f>
        <v/>
      </c>
      <c r="FM27" s="69" t="str">
        <f ca="1">IF(AND($C27="Goal",FM$8&gt;=$G27,FM$8&lt;=$G27+$H27-1),2,IF(AND($C27="Milestone",FM$8&gt;=$G27,FM$8&lt;=$G27+$H27-1),1,""))</f>
        <v/>
      </c>
      <c r="FN27" s="69" t="str">
        <f ca="1">IF(AND($C27="Goal",FN$8&gt;=$G27,FN$8&lt;=$G27+$H27-1),2,IF(AND($C27="Milestone",FN$8&gt;=$G27,FN$8&lt;=$G27+$H27-1),1,""))</f>
        <v/>
      </c>
      <c r="FO27" s="69" t="str">
        <f ca="1">IF(AND($C27="Goal",FO$8&gt;=$G27,FO$8&lt;=$G27+$H27-1),2,IF(AND($C27="Milestone",FO$8&gt;=$G27,FO$8&lt;=$G27+$H27-1),1,""))</f>
        <v/>
      </c>
      <c r="FP27" s="69" t="str">
        <f ca="1">IF(AND($C27="Goal",FP$8&gt;=$G27,FP$8&lt;=$G27+$H27-1),2,IF(AND($C27="Milestone",FP$8&gt;=$G27,FP$8&lt;=$G27+$H27-1),1,""))</f>
        <v/>
      </c>
      <c r="FQ27" s="69" t="str">
        <f ca="1">IF(AND($C27="Goal",FQ$8&gt;=$G27,FQ$8&lt;=$G27+$H27-1),2,IF(AND($C27="Milestone",FQ$8&gt;=$G27,FQ$8&lt;=$G27+$H27-1),1,""))</f>
        <v/>
      </c>
      <c r="FR27" s="69" t="str">
        <f ca="1">IF(AND($C27="Goal",FR$8&gt;=$G27,FR$8&lt;=$G27+$H27-1),2,IF(AND($C27="Milestone",FR$8&gt;=$G27,FR$8&lt;=$G27+$H27-1),1,""))</f>
        <v/>
      </c>
      <c r="FS27" s="69" t="str">
        <f ca="1">IF(AND($C27="Goal",FS$8&gt;=$G27,FS$8&lt;=$G27+$H27-1),2,IF(AND($C27="Milestone",FS$8&gt;=$G27,FS$8&lt;=$G27+$H27-1),1,""))</f>
        <v/>
      </c>
      <c r="FT27" s="69" t="str">
        <f ca="1">IF(AND($C27="Goal",FT$8&gt;=$G27,FT$8&lt;=$G27+$H27-1),2,IF(AND($C27="Milestone",FT$8&gt;=$G27,FT$8&lt;=$G27+$H27-1),1,""))</f>
        <v/>
      </c>
      <c r="FU27" s="69" t="str">
        <f ca="1">IF(AND($C27="Goal",FU$8&gt;=$G27,FU$8&lt;=$G27+$H27-1),2,IF(AND($C27="Milestone",FU$8&gt;=$G27,FU$8&lt;=$G27+$H27-1),1,""))</f>
        <v/>
      </c>
      <c r="FV27" s="69" t="str">
        <f ca="1">IF(AND($C27="Goal",FV$8&gt;=$G27,FV$8&lt;=$G27+$H27-1),2,IF(AND($C27="Milestone",FV$8&gt;=$G27,FV$8&lt;=$G27+$H27-1),1,""))</f>
        <v/>
      </c>
      <c r="FW27" s="69" t="str">
        <f ca="1">IF(AND($C27="Goal",FW$8&gt;=$G27,FW$8&lt;=$G27+$H27-1),2,IF(AND($C27="Milestone",FW$8&gt;=$G27,FW$8&lt;=$G27+$H27-1),1,""))</f>
        <v/>
      </c>
      <c r="FX27" s="69" t="str">
        <f ca="1">IF(AND($C27="Goal",FX$8&gt;=$G27,FX$8&lt;=$G27+$H27-1),2,IF(AND($C27="Milestone",FX$8&gt;=$G27,FX$8&lt;=$G27+$H27-1),1,""))</f>
        <v/>
      </c>
      <c r="FY27" s="69" t="str">
        <f ca="1">IF(AND($C27="Goal",FY$8&gt;=$G27,FY$8&lt;=$G27+$H27-1),2,IF(AND($C27="Milestone",FY$8&gt;=$G27,FY$8&lt;=$G27+$H27-1),1,""))</f>
        <v/>
      </c>
      <c r="FZ27" s="69" t="str">
        <f ca="1">IF(AND($C27="Goal",FZ$8&gt;=$G27,FZ$8&lt;=$G27+$H27-1),2,IF(AND($C27="Milestone",FZ$8&gt;=$G27,FZ$8&lt;=$G27+$H27-1),1,""))</f>
        <v/>
      </c>
      <c r="GA27" s="69" t="str">
        <f ca="1">IF(AND($C27="Goal",GA$8&gt;=$G27,GA$8&lt;=$G27+$H27-1),2,IF(AND($C27="Milestone",GA$8&gt;=$G27,GA$8&lt;=$G27+$H27-1),1,""))</f>
        <v/>
      </c>
      <c r="GB27" s="69" t="str">
        <f ca="1">IF(AND($C27="Goal",GB$8&gt;=$G27,GB$8&lt;=$G27+$H27-1),2,IF(AND($C27="Milestone",GB$8&gt;=$G27,GB$8&lt;=$G27+$H27-1),1,""))</f>
        <v/>
      </c>
      <c r="GC27" s="69" t="str">
        <f ca="1">IF(AND($C27="Goal",GC$8&gt;=$G27,GC$8&lt;=$G27+$H27-1),2,IF(AND($C27="Milestone",GC$8&gt;=$G27,GC$8&lt;=$G27+$H27-1),1,""))</f>
        <v/>
      </c>
      <c r="GD27" s="69" t="str">
        <f ca="1">IF(AND($C27="Goal",GD$8&gt;=$G27,GD$8&lt;=$G27+$H27-1),2,IF(AND($C27="Milestone",GD$8&gt;=$G27,GD$8&lt;=$G27+$H27-1),1,""))</f>
        <v/>
      </c>
      <c r="GE27" s="69" t="str">
        <f ca="1">IF(AND($C27="Goal",GE$8&gt;=$G27,GE$8&lt;=$G27+$H27-1),2,IF(AND($C27="Milestone",GE$8&gt;=$G27,GE$8&lt;=$G27+$H27-1),1,""))</f>
        <v/>
      </c>
      <c r="GF27" s="69" t="str">
        <f ca="1">IF(AND($C27="Goal",GF$8&gt;=$G27,GF$8&lt;=$G27+$H27-1),2,IF(AND($C27="Milestone",GF$8&gt;=$G27,GF$8&lt;=$G27+$H27-1),1,""))</f>
        <v/>
      </c>
      <c r="GG27" s="69" t="str">
        <f ca="1">IF(AND($C27="Goal",GG$8&gt;=$G27,GG$8&lt;=$G27+$H27-1),2,IF(AND($C27="Milestone",GG$8&gt;=$G27,GG$8&lt;=$G27+$H27-1),1,""))</f>
        <v/>
      </c>
      <c r="GH27" s="69" t="str">
        <f ca="1">IF(AND($C27="Goal",GH$8&gt;=$G27,GH$8&lt;=$G27+$H27-1),2,IF(AND($C27="Milestone",GH$8&gt;=$G27,GH$8&lt;=$G27+$H27-1),1,""))</f>
        <v/>
      </c>
      <c r="GI27" s="69" t="str">
        <f ca="1">IF(AND($C27="Goal",GI$8&gt;=$G27,GI$8&lt;=$G27+$H27-1),2,IF(AND($C27="Milestone",GI$8&gt;=$G27,GI$8&lt;=$G27+$H27-1),1,""))</f>
        <v/>
      </c>
      <c r="GJ27" s="69" t="str">
        <f ca="1">IF(AND($C27="Goal",GJ$8&gt;=$G27,GJ$8&lt;=$G27+$H27-1),2,IF(AND($C27="Milestone",GJ$8&gt;=$G27,GJ$8&lt;=$G27+$H27-1),1,""))</f>
        <v/>
      </c>
      <c r="GK27" s="69" t="str">
        <f ca="1">IF(AND($C27="Goal",GK$8&gt;=$G27,GK$8&lt;=$G27+$H27-1),2,IF(AND($C27="Milestone",GK$8&gt;=$G27,GK$8&lt;=$G27+$H27-1),1,""))</f>
        <v/>
      </c>
      <c r="GL27" s="69" t="str">
        <f ca="1">IF(AND($C27="Goal",GL$8&gt;=$G27,GL$8&lt;=$G27+$H27-1),2,IF(AND($C27="Milestone",GL$8&gt;=$G27,GL$8&lt;=$G27+$H27-1),1,""))</f>
        <v/>
      </c>
      <c r="GM27" s="69" t="str">
        <f ca="1">IF(AND($C27="Goal",GM$8&gt;=$G27,GM$8&lt;=$G27+$H27-1),2,IF(AND($C27="Milestone",GM$8&gt;=$G27,GM$8&lt;=$G27+$H27-1),1,""))</f>
        <v/>
      </c>
      <c r="GN27" s="69" t="str">
        <f ca="1">IF(AND($C27="Goal",GN$8&gt;=$G27,GN$8&lt;=$G27+$H27-1),2,IF(AND($C27="Milestone",GN$8&gt;=$G27,GN$8&lt;=$G27+$H27-1),1,""))</f>
        <v/>
      </c>
      <c r="GO27" s="69" t="str">
        <f ca="1">IF(AND($C27="Goal",GO$8&gt;=$G27,GO$8&lt;=$G27+$H27-1),2,IF(AND($C27="Milestone",GO$8&gt;=$G27,GO$8&lt;=$G27+$H27-1),1,""))</f>
        <v/>
      </c>
      <c r="GP27" s="69" t="str">
        <f ca="1">IF(AND($C27="Goal",GP$8&gt;=$G27,GP$8&lt;=$G27+$H27-1),2,IF(AND($C27="Milestone",GP$8&gt;=$G27,GP$8&lt;=$G27+$H27-1),1,""))</f>
        <v/>
      </c>
      <c r="GQ27" s="69" t="str">
        <f ca="1">IF(AND($C27="Goal",GQ$8&gt;=$G27,GQ$8&lt;=$G27+$H27-1),2,IF(AND($C27="Milestone",GQ$8&gt;=$G27,GQ$8&lt;=$G27+$H27-1),1,""))</f>
        <v/>
      </c>
      <c r="GR27" s="69" t="str">
        <f ca="1">IF(AND($C27="Goal",GR$8&gt;=$G27,GR$8&lt;=$G27+$H27-1),2,IF(AND($C27="Milestone",GR$8&gt;=$G27,GR$8&lt;=$G27+$H27-1),1,""))</f>
        <v/>
      </c>
      <c r="GS27" s="69" t="str">
        <f ca="1">IF(AND($C27="Goal",GS$8&gt;=$G27,GS$8&lt;=$G27+$H27-1),2,IF(AND($C27="Milestone",GS$8&gt;=$G27,GS$8&lt;=$G27+$H27-1),1,""))</f>
        <v/>
      </c>
      <c r="GT27" s="69" t="str">
        <f ca="1">IF(AND($C27="Goal",GT$8&gt;=$G27,GT$8&lt;=$G27+$H27-1),2,IF(AND($C27="Milestone",GT$8&gt;=$G27,GT$8&lt;=$G27+$H27-1),1,""))</f>
        <v/>
      </c>
      <c r="GU27" s="69" t="str">
        <f ca="1">IF(AND($C27="Goal",GU$8&gt;=$G27,GU$8&lt;=$G27+$H27-1),2,IF(AND($C27="Milestone",GU$8&gt;=$G27,GU$8&lt;=$G27+$H27-1),1,""))</f>
        <v/>
      </c>
      <c r="GV27" s="69" t="str">
        <f ca="1">IF(AND($C27="Goal",GV$8&gt;=$G27,GV$8&lt;=$G27+$H27-1),2,IF(AND($C27="Milestone",GV$8&gt;=$G27,GV$8&lt;=$G27+$H27-1),1,""))</f>
        <v/>
      </c>
      <c r="GW27" s="69" t="str">
        <f ca="1">IF(AND($C27="Goal",GW$8&gt;=$G27,GW$8&lt;=$G27+$H27-1),2,IF(AND($C27="Milestone",GW$8&gt;=$G27,GW$8&lt;=$G27+$H27-1),1,""))</f>
        <v/>
      </c>
      <c r="GX27" s="69" t="str">
        <f ca="1">IF(AND($C27="Goal",GX$8&gt;=$G27,GX$8&lt;=$G27+$H27-1),2,IF(AND($C27="Milestone",GX$8&gt;=$G27,GX$8&lt;=$G27+$H27-1),1,""))</f>
        <v/>
      </c>
      <c r="GY27" s="69" t="str">
        <f ca="1">IF(AND($C27="Goal",GY$8&gt;=$G27,GY$8&lt;=$G27+$H27-1),2,IF(AND($C27="Milestone",GY$8&gt;=$G27,GY$8&lt;=$G27+$H27-1),1,""))</f>
        <v/>
      </c>
      <c r="GZ27" s="69" t="str">
        <f ca="1">IF(AND($C27="Goal",GZ$8&gt;=$G27,GZ$8&lt;=$G27+$H27-1),2,IF(AND($C27="Milestone",GZ$8&gt;=$G27,GZ$8&lt;=$G27+$H27-1),1,""))</f>
        <v/>
      </c>
      <c r="HA27" s="69" t="str">
        <f ca="1">IF(AND($C27="Goal",HA$8&gt;=$G27,HA$8&lt;=$G27+$H27-1),2,IF(AND($C27="Milestone",HA$8&gt;=$G27,HA$8&lt;=$G27+$H27-1),1,""))</f>
        <v/>
      </c>
      <c r="HB27" s="69" t="str">
        <f ca="1">IF(AND($C27="Goal",HB$8&gt;=$G27,HB$8&lt;=$G27+$H27-1),2,IF(AND($C27="Milestone",HB$8&gt;=$G27,HB$8&lt;=$G27+$H27-1),1,""))</f>
        <v/>
      </c>
      <c r="HC27" s="69" t="str">
        <f ca="1">IF(AND($C27="Goal",HC$8&gt;=$G27,HC$8&lt;=$G27+$H27-1),2,IF(AND($C27="Milestone",HC$8&gt;=$G27,HC$8&lt;=$G27+$H27-1),1,""))</f>
        <v/>
      </c>
      <c r="HD27" s="69" t="str">
        <f ca="1">IF(AND($C27="Goal",HD$8&gt;=$G27,HD$8&lt;=$G27+$H27-1),2,IF(AND($C27="Milestone",HD$8&gt;=$G27,HD$8&lt;=$G27+$H27-1),1,""))</f>
        <v/>
      </c>
      <c r="HE27" s="69" t="str">
        <f ca="1">IF(AND($C27="Goal",HE$8&gt;=$G27,HE$8&lt;=$G27+$H27-1),2,IF(AND($C27="Milestone",HE$8&gt;=$G27,HE$8&lt;=$G27+$H27-1),1,""))</f>
        <v/>
      </c>
      <c r="HF27" s="69" t="str">
        <f ca="1">IF(AND($C27="Goal",HF$8&gt;=$G27,HF$8&lt;=$G27+$H27-1),2,IF(AND($C27="Milestone",HF$8&gt;=$G27,HF$8&lt;=$G27+$H27-1),1,""))</f>
        <v/>
      </c>
      <c r="HG27" s="69" t="str">
        <f ca="1">IF(AND($C27="Goal",HG$8&gt;=$G27,HG$8&lt;=$G27+$H27-1),2,IF(AND($C27="Milestone",HG$8&gt;=$G27,HG$8&lt;=$G27+$H27-1),1,""))</f>
        <v/>
      </c>
      <c r="HH27" s="69" t="str">
        <f ca="1">IF(AND($C27="Goal",HH$8&gt;=$G27,HH$8&lt;=$G27+$H27-1),2,IF(AND($C27="Milestone",HH$8&gt;=$G27,HH$8&lt;=$G27+$H27-1),1,""))</f>
        <v/>
      </c>
      <c r="HI27" s="69" t="str">
        <f ca="1">IF(AND($C27="Goal",HI$8&gt;=$G27,HI$8&lt;=$G27+$H27-1),2,IF(AND($C27="Milestone",HI$8&gt;=$G27,HI$8&lt;=$G27+$H27-1),1,""))</f>
        <v/>
      </c>
      <c r="HJ27" s="69" t="str">
        <f ca="1">IF(AND($C27="Goal",HJ$8&gt;=$G27,HJ$8&lt;=$G27+$H27-1),2,IF(AND($C27="Milestone",HJ$8&gt;=$G27,HJ$8&lt;=$G27+$H27-1),1,""))</f>
        <v/>
      </c>
      <c r="HK27" s="69" t="str">
        <f ca="1">IF(AND($C27="Goal",HK$8&gt;=$G27,HK$8&lt;=$G27+$H27-1),2,IF(AND($C27="Milestone",HK$8&gt;=$G27,HK$8&lt;=$G27+$H27-1),1,""))</f>
        <v/>
      </c>
      <c r="HL27" s="69" t="str">
        <f ca="1">IF(AND($C27="Goal",HL$8&gt;=$G27,HL$8&lt;=$G27+$H27-1),2,IF(AND($C27="Milestone",HL$8&gt;=$G27,HL$8&lt;=$G27+$H27-1),1,""))</f>
        <v/>
      </c>
      <c r="HM27" s="69" t="str">
        <f ca="1">IF(AND($C27="Goal",HM$8&gt;=$G27,HM$8&lt;=$G27+$H27-1),2,IF(AND($C27="Milestone",HM$8&gt;=$G27,HM$8&lt;=$G27+$H27-1),1,""))</f>
        <v/>
      </c>
      <c r="HN27" s="69" t="str">
        <f ca="1">IF(AND($C27="Goal",HN$8&gt;=$G27,HN$8&lt;=$G27+$H27-1),2,IF(AND($C27="Milestone",HN$8&gt;=$G27,HN$8&lt;=$G27+$H27-1),1,""))</f>
        <v/>
      </c>
      <c r="HO27" s="69" t="str">
        <f ca="1">IF(AND($C27="Goal",HO$8&gt;=$G27,HO$8&lt;=$G27+$H27-1),2,IF(AND($C27="Milestone",HO$8&gt;=$G27,HO$8&lt;=$G27+$H27-1),1,""))</f>
        <v/>
      </c>
      <c r="HP27" s="69" t="str">
        <f ca="1">IF(AND($C27="Goal",HP$8&gt;=$G27,HP$8&lt;=$G27+$H27-1),2,IF(AND($C27="Milestone",HP$8&gt;=$G27,HP$8&lt;=$G27+$H27-1),1,""))</f>
        <v/>
      </c>
      <c r="HQ27" s="69" t="str">
        <f ca="1">IF(AND($C27="Goal",HQ$8&gt;=$G27,HQ$8&lt;=$G27+$H27-1),2,IF(AND($C27="Milestone",HQ$8&gt;=$G27,HQ$8&lt;=$G27+$H27-1),1,""))</f>
        <v/>
      </c>
      <c r="HR27" s="69" t="str">
        <f ca="1">IF(AND($C27="Goal",HR$8&gt;=$G27,HR$8&lt;=$G27+$H27-1),2,IF(AND($C27="Milestone",HR$8&gt;=$G27,HR$8&lt;=$G27+$H27-1),1,""))</f>
        <v/>
      </c>
      <c r="HS27" s="69" t="str">
        <f ca="1">IF(AND($C27="Goal",HS$8&gt;=$G27,HS$8&lt;=$G27+$H27-1),2,IF(AND($C27="Milestone",HS$8&gt;=$G27,HS$8&lt;=$G27+$H27-1),1,""))</f>
        <v/>
      </c>
      <c r="HT27" s="69" t="str">
        <f ca="1">IF(AND($C27="Goal",HT$8&gt;=$G27,HT$8&lt;=$G27+$H27-1),2,IF(AND($C27="Milestone",HT$8&gt;=$G27,HT$8&lt;=$G27+$H27-1),1,""))</f>
        <v/>
      </c>
      <c r="HU27" s="69" t="str">
        <f ca="1">IF(AND($C27="Goal",HU$8&gt;=$G27,HU$8&lt;=$G27+$H27-1),2,IF(AND($C27="Milestone",HU$8&gt;=$G27,HU$8&lt;=$G27+$H27-1),1,""))</f>
        <v/>
      </c>
      <c r="HV27" s="69" t="str">
        <f ca="1">IF(AND($C27="Goal",HV$8&gt;=$G27,HV$8&lt;=$G27+$H27-1),2,IF(AND($C27="Milestone",HV$8&gt;=$G27,HV$8&lt;=$G27+$H27-1),1,""))</f>
        <v/>
      </c>
      <c r="HW27" s="69" t="str">
        <f ca="1">IF(AND($C27="Goal",HW$8&gt;=$G27,HW$8&lt;=$G27+$H27-1),2,IF(AND($C27="Milestone",HW$8&gt;=$G27,HW$8&lt;=$G27+$H27-1),1,""))</f>
        <v/>
      </c>
      <c r="HX27" s="69" t="str">
        <f ca="1">IF(AND($C27="Goal",HX$8&gt;=$G27,HX$8&lt;=$G27+$H27-1),2,IF(AND($C27="Milestone",HX$8&gt;=$G27,HX$8&lt;=$G27+$H27-1),1,""))</f>
        <v/>
      </c>
      <c r="HY27" s="69" t="str">
        <f ca="1">IF(AND($C27="Goal",HY$8&gt;=$G27,HY$8&lt;=$G27+$H27-1),2,IF(AND($C27="Milestone",HY$8&gt;=$G27,HY$8&lt;=$G27+$H27-1),1,""))</f>
        <v/>
      </c>
      <c r="HZ27" s="69" t="str">
        <f ca="1">IF(AND($C27="Goal",HZ$8&gt;=$G27,HZ$8&lt;=$G27+$H27-1),2,IF(AND($C27="Milestone",HZ$8&gt;=$G27,HZ$8&lt;=$G27+$H27-1),1,""))</f>
        <v/>
      </c>
      <c r="IA27" s="69" t="str">
        <f ca="1">IF(AND($C27="Goal",IA$8&gt;=$G27,IA$8&lt;=$G27+$H27-1),2,IF(AND($C27="Milestone",IA$8&gt;=$G27,IA$8&lt;=$G27+$H27-1),1,""))</f>
        <v/>
      </c>
      <c r="IB27" s="69" t="str">
        <f ca="1">IF(AND($C27="Goal",IB$8&gt;=$G27,IB$8&lt;=$G27+$H27-1),2,IF(AND($C27="Milestone",IB$8&gt;=$G27,IB$8&lt;=$G27+$H27-1),1,""))</f>
        <v/>
      </c>
      <c r="IC27" s="69" t="str">
        <f ca="1">IF(AND($C27="Goal",IC$8&gt;=$G27,IC$8&lt;=$G27+$H27-1),2,IF(AND($C27="Milestone",IC$8&gt;=$G27,IC$8&lt;=$G27+$H27-1),1,""))</f>
        <v/>
      </c>
      <c r="ID27" s="69" t="str">
        <f ca="1">IF(AND($C27="Goal",ID$8&gt;=$G27,ID$8&lt;=$G27+$H27-1),2,IF(AND($C27="Milestone",ID$8&gt;=$G27,ID$8&lt;=$G27+$H27-1),1,""))</f>
        <v/>
      </c>
      <c r="IE27" s="69" t="str">
        <f ca="1">IF(AND($C27="Goal",IE$8&gt;=$G27,IE$8&lt;=$G27+$H27-1),2,IF(AND($C27="Milestone",IE$8&gt;=$G27,IE$8&lt;=$G27+$H27-1),1,""))</f>
        <v/>
      </c>
      <c r="IF27" s="69" t="str">
        <f ca="1">IF(AND($C27="Goal",IF$8&gt;=$G27,IF$8&lt;=$G27+$H27-1),2,IF(AND($C27="Milestone",IF$8&gt;=$G27,IF$8&lt;=$G27+$H27-1),1,""))</f>
        <v/>
      </c>
      <c r="IG27" s="69" t="str">
        <f ca="1">IF(AND($C27="Goal",IG$8&gt;=$G27,IG$8&lt;=$G27+$H27-1),2,IF(AND($C27="Milestone",IG$8&gt;=$G27,IG$8&lt;=$G27+$H27-1),1,""))</f>
        <v/>
      </c>
      <c r="IH27" s="69" t="str">
        <f ca="1">IF(AND($C27="Goal",IH$8&gt;=$G27,IH$8&lt;=$G27+$H27-1),2,IF(AND($C27="Milestone",IH$8&gt;=$G27,IH$8&lt;=$G27+$H27-1),1,""))</f>
        <v/>
      </c>
      <c r="II27" s="69" t="str">
        <f ca="1">IF(AND($C27="Goal",II$8&gt;=$G27,II$8&lt;=$G27+$H27-1),2,IF(AND($C27="Milestone",II$8&gt;=$G27,II$8&lt;=$G27+$H27-1),1,""))</f>
        <v/>
      </c>
      <c r="IJ27" s="69" t="str">
        <f ca="1">IF(AND($C27="Goal",IJ$8&gt;=$G27,IJ$8&lt;=$G27+$H27-1),2,IF(AND($C27="Milestone",IJ$8&gt;=$G27,IJ$8&lt;=$G27+$H27-1),1,""))</f>
        <v/>
      </c>
      <c r="IK27" s="69" t="str">
        <f ca="1">IF(AND($C27="Goal",IK$8&gt;=$G27,IK$8&lt;=$G27+$H27-1),2,IF(AND($C27="Milestone",IK$8&gt;=$G27,IK$8&lt;=$G27+$H27-1),1,""))</f>
        <v/>
      </c>
      <c r="IL27" s="69" t="str">
        <f ca="1">IF(AND($C27="Goal",IL$8&gt;=$G27,IL$8&lt;=$G27+$H27-1),2,IF(AND($C27="Milestone",IL$8&gt;=$G27,IL$8&lt;=$G27+$H27-1),1,""))</f>
        <v/>
      </c>
      <c r="IM27" s="69" t="str">
        <f ca="1">IF(AND($C27="Goal",IM$8&gt;=$G27,IM$8&lt;=$G27+$H27-1),2,IF(AND($C27="Milestone",IM$8&gt;=$G27,IM$8&lt;=$G27+$H27-1),1,""))</f>
        <v/>
      </c>
      <c r="IN27" s="69" t="str">
        <f ca="1">IF(AND($C27="Goal",IN$8&gt;=$G27,IN$8&lt;=$G27+$H27-1),2,IF(AND($C27="Milestone",IN$8&gt;=$G27,IN$8&lt;=$G27+$H27-1),1,""))</f>
        <v/>
      </c>
      <c r="IO27" s="69" t="str">
        <f ca="1">IF(AND($C27="Goal",IO$8&gt;=$G27,IO$8&lt;=$G27+$H27-1),2,IF(AND($C27="Milestone",IO$8&gt;=$G27,IO$8&lt;=$G27+$H27-1),1,""))</f>
        <v/>
      </c>
      <c r="IP27" s="69" t="str">
        <f ca="1">IF(AND($C27="Goal",IP$8&gt;=$G27,IP$8&lt;=$G27+$H27-1),2,IF(AND($C27="Milestone",IP$8&gt;=$G27,IP$8&lt;=$G27+$H27-1),1,""))</f>
        <v/>
      </c>
      <c r="IQ27" s="69" t="str">
        <f ca="1">IF(AND($C27="Goal",IQ$8&gt;=$G27,IQ$8&lt;=$G27+$H27-1),2,IF(AND($C27="Milestone",IQ$8&gt;=$G27,IQ$8&lt;=$G27+$H27-1),1,""))</f>
        <v/>
      </c>
      <c r="IR27" s="69" t="str">
        <f ca="1">IF(AND($C27="Goal",IR$8&gt;=$G27,IR$8&lt;=$G27+$H27-1),2,IF(AND($C27="Milestone",IR$8&gt;=$G27,IR$8&lt;=$G27+$H27-1),1,""))</f>
        <v/>
      </c>
      <c r="IS27" s="69" t="str">
        <f ca="1">IF(AND($C27="Goal",IS$8&gt;=$G27,IS$8&lt;=$G27+$H27-1),2,IF(AND($C27="Milestone",IS$8&gt;=$G27,IS$8&lt;=$G27+$H27-1),1,""))</f>
        <v/>
      </c>
      <c r="IT27" s="69" t="str">
        <f ca="1">IF(AND($C27="Goal",IT$8&gt;=$G27,IT$8&lt;=$G27+$H27-1),2,IF(AND($C27="Milestone",IT$8&gt;=$G27,IT$8&lt;=$G27+$H27-1),1,""))</f>
        <v/>
      </c>
      <c r="IU27" s="69" t="str">
        <f ca="1">IF(AND($C27="Goal",IU$8&gt;=$G27,IU$8&lt;=$G27+$H27-1),2,IF(AND($C27="Milestone",IU$8&gt;=$G27,IU$8&lt;=$G27+$H27-1),1,""))</f>
        <v/>
      </c>
      <c r="IV27" s="69" t="str">
        <f ca="1">IF(AND($C27="Goal",IV$8&gt;=$G27,IV$8&lt;=$G27+$H27-1),2,IF(AND($C27="Milestone",IV$8&gt;=$G27,IV$8&lt;=$G27+$H27-1),1,""))</f>
        <v/>
      </c>
      <c r="IW27" s="69" t="str">
        <f ca="1">IF(AND($C27="Goal",IW$8&gt;=$G27,IW$8&lt;=$G27+$H27-1),2,IF(AND($C27="Milestone",IW$8&gt;=$G27,IW$8&lt;=$G27+$H27-1),1,""))</f>
        <v/>
      </c>
      <c r="IX27" s="69" t="str">
        <f ca="1">IF(AND($C27="Goal",IX$8&gt;=$G27,IX$8&lt;=$G27+$H27-1),2,IF(AND($C27="Milestone",IX$8&gt;=$G27,IX$8&lt;=$G27+$H27-1),1,""))</f>
        <v/>
      </c>
      <c r="IY27" s="69" t="str">
        <f ca="1">IF(AND($C27="Goal",IY$8&gt;=$G27,IY$8&lt;=$G27+$H27-1),2,IF(AND($C27="Milestone",IY$8&gt;=$G27,IY$8&lt;=$G27+$H27-1),1,""))</f>
        <v/>
      </c>
      <c r="IZ27" s="69" t="str">
        <f ca="1">IF(AND($C27="Goal",IZ$8&gt;=$G27,IZ$8&lt;=$G27+$H27-1),2,IF(AND($C27="Milestone",IZ$8&gt;=$G27,IZ$8&lt;=$G27+$H27-1),1,""))</f>
        <v/>
      </c>
      <c r="JA27" s="69" t="str">
        <f ca="1">IF(AND($C27="Goal",JA$8&gt;=$G27,JA$8&lt;=$G27+$H27-1),2,IF(AND($C27="Milestone",JA$8&gt;=$G27,JA$8&lt;=$G27+$H27-1),1,""))</f>
        <v/>
      </c>
      <c r="JB27" s="69" t="str">
        <f ca="1">IF(AND($C27="Goal",JB$8&gt;=$G27,JB$8&lt;=$G27+$H27-1),2,IF(AND($C27="Milestone",JB$8&gt;=$G27,JB$8&lt;=$G27+$H27-1),1,""))</f>
        <v/>
      </c>
      <c r="JC27" s="69" t="str">
        <f ca="1">IF(AND($C27="Goal",JC$8&gt;=$G27,JC$8&lt;=$G27+$H27-1),2,IF(AND($C27="Milestone",JC$8&gt;=$G27,JC$8&lt;=$G27+$H27-1),1,""))</f>
        <v/>
      </c>
      <c r="JD27" s="69" t="str">
        <f ca="1">IF(AND($C27="Goal",JD$8&gt;=$G27,JD$8&lt;=$G27+$H27-1),2,IF(AND($C27="Milestone",JD$8&gt;=$G27,JD$8&lt;=$G27+$H27-1),1,""))</f>
        <v/>
      </c>
      <c r="JE27" s="69" t="str">
        <f ca="1">IF(AND($C27="Goal",JE$8&gt;=$G27,JE$8&lt;=$G27+$H27-1),2,IF(AND($C27="Milestone",JE$8&gt;=$G27,JE$8&lt;=$G27+$H27-1),1,""))</f>
        <v/>
      </c>
      <c r="JF27" s="69" t="str">
        <f ca="1">IF(AND($C27="Goal",JF$8&gt;=$G27,JF$8&lt;=$G27+$H27-1),2,IF(AND($C27="Milestone",JF$8&gt;=$G27,JF$8&lt;=$G27+$H27-1),1,""))</f>
        <v/>
      </c>
      <c r="JG27" s="69" t="str">
        <f ca="1">IF(AND($C27="Goal",JG$8&gt;=$G27,JG$8&lt;=$G27+$H27-1),2,IF(AND($C27="Milestone",JG$8&gt;=$G27,JG$8&lt;=$G27+$H27-1),1,""))</f>
        <v/>
      </c>
      <c r="JH27" s="69" t="str">
        <f ca="1">IF(AND($C27="Goal",JH$8&gt;=$G27,JH$8&lt;=$G27+$H27-1),2,IF(AND($C27="Milestone",JH$8&gt;=$G27,JH$8&lt;=$G27+$H27-1),1,""))</f>
        <v/>
      </c>
      <c r="JI27" s="69" t="str">
        <f ca="1">IF(AND($C27="Goal",JI$8&gt;=$G27,JI$8&lt;=$G27+$H27-1),2,IF(AND($C27="Milestone",JI$8&gt;=$G27,JI$8&lt;=$G27+$H27-1),1,""))</f>
        <v/>
      </c>
      <c r="JJ27" s="69" t="str">
        <f ca="1">IF(AND($C27="Goal",JJ$8&gt;=$G27,JJ$8&lt;=$G27+$H27-1),2,IF(AND($C27="Milestone",JJ$8&gt;=$G27,JJ$8&lt;=$G27+$H27-1),1,""))</f>
        <v/>
      </c>
      <c r="JK27" s="69" t="str">
        <f ca="1">IF(AND($C27="Goal",JK$8&gt;=$G27,JK$8&lt;=$G27+$H27-1),2,IF(AND($C27="Milestone",JK$8&gt;=$G27,JK$8&lt;=$G27+$H27-1),1,""))</f>
        <v/>
      </c>
      <c r="JL27" s="69" t="str">
        <f ca="1">IF(AND($C27="Goal",JL$8&gt;=$G27,JL$8&lt;=$G27+$H27-1),2,IF(AND($C27="Milestone",JL$8&gt;=$G27,JL$8&lt;=$G27+$H27-1),1,""))</f>
        <v/>
      </c>
      <c r="JM27" s="69" t="str">
        <f ca="1">IF(AND($C27="Goal",JM$8&gt;=$G27,JM$8&lt;=$G27+$H27-1),2,IF(AND($C27="Milestone",JM$8&gt;=$G27,JM$8&lt;=$G27+$H27-1),1,""))</f>
        <v/>
      </c>
      <c r="JN27" s="69" t="str">
        <f ca="1">IF(AND($C27="Goal",JN$8&gt;=$G27,JN$8&lt;=$G27+$H27-1),2,IF(AND($C27="Milestone",JN$8&gt;=$G27,JN$8&lt;=$G27+$H27-1),1,""))</f>
        <v/>
      </c>
      <c r="JO27" s="69" t="str">
        <f ca="1">IF(AND($C27="Goal",JO$8&gt;=$G27,JO$8&lt;=$G27+$H27-1),2,IF(AND($C27="Milestone",JO$8&gt;=$G27,JO$8&lt;=$G27+$H27-1),1,""))</f>
        <v/>
      </c>
      <c r="JP27" s="69" t="str">
        <f ca="1">IF(AND($C27="Goal",JP$8&gt;=$G27,JP$8&lt;=$G27+$H27-1),2,IF(AND($C27="Milestone",JP$8&gt;=$G27,JP$8&lt;=$G27+$H27-1),1,""))</f>
        <v/>
      </c>
      <c r="JQ27" s="69" t="str">
        <f ca="1">IF(AND($C27="Goal",JQ$8&gt;=$G27,JQ$8&lt;=$G27+$H27-1),2,IF(AND($C27="Milestone",JQ$8&gt;=$G27,JQ$8&lt;=$G27+$H27-1),1,""))</f>
        <v/>
      </c>
      <c r="JR27" s="69" t="str">
        <f ca="1">IF(AND($C27="Goal",JR$8&gt;=$G27,JR$8&lt;=$G27+$H27-1),2,IF(AND($C27="Milestone",JR$8&gt;=$G27,JR$8&lt;=$G27+$H27-1),1,""))</f>
        <v/>
      </c>
      <c r="JS27" s="69" t="str">
        <f ca="1">IF(AND($C27="Goal",JS$8&gt;=$G27,JS$8&lt;=$G27+$H27-1),2,IF(AND($C27="Milestone",JS$8&gt;=$G27,JS$8&lt;=$G27+$H27-1),1,""))</f>
        <v/>
      </c>
      <c r="JT27" s="69" t="str">
        <f ca="1">IF(AND($C27="Goal",JT$8&gt;=$G27,JT$8&lt;=$G27+$H27-1),2,IF(AND($C27="Milestone",JT$8&gt;=$G27,JT$8&lt;=$G27+$H27-1),1,""))</f>
        <v/>
      </c>
      <c r="JU27" s="69" t="str">
        <f ca="1">IF(AND($C27="Goal",JU$8&gt;=$G27,JU$8&lt;=$G27+$H27-1),2,IF(AND($C27="Milestone",JU$8&gt;=$G27,JU$8&lt;=$G27+$H27-1),1,""))</f>
        <v/>
      </c>
      <c r="JV27" s="69" t="str">
        <f ca="1">IF(AND($C27="Goal",JV$8&gt;=$G27,JV$8&lt;=$G27+$H27-1),2,IF(AND($C27="Milestone",JV$8&gt;=$G27,JV$8&lt;=$G27+$H27-1),1,""))</f>
        <v/>
      </c>
      <c r="JW27" s="69" t="str">
        <f ca="1">IF(AND($C27="Goal",JW$8&gt;=$G27,JW$8&lt;=$G27+$H27-1),2,IF(AND($C27="Milestone",JW$8&gt;=$G27,JW$8&lt;=$G27+$H27-1),1,""))</f>
        <v/>
      </c>
      <c r="JX27" s="69" t="str">
        <f ca="1">IF(AND($C27="Goal",JX$8&gt;=$G27,JX$8&lt;=$G27+$H27-1),2,IF(AND($C27="Milestone",JX$8&gt;=$G27,JX$8&lt;=$G27+$H27-1),1,""))</f>
        <v/>
      </c>
      <c r="JY27" s="69" t="str">
        <f ca="1">IF(AND($C27="Goal",JY$8&gt;=$G27,JY$8&lt;=$G27+$H27-1),2,IF(AND($C27="Milestone",JY$8&gt;=$G27,JY$8&lt;=$G27+$H27-1),1,""))</f>
        <v/>
      </c>
      <c r="JZ27" s="69" t="str">
        <f ca="1">IF(AND($C27="Goal",JZ$8&gt;=$G27,JZ$8&lt;=$G27+$H27-1),2,IF(AND($C27="Milestone",JZ$8&gt;=$G27,JZ$8&lt;=$G27+$H27-1),1,""))</f>
        <v/>
      </c>
      <c r="KA27" s="69" t="str">
        <f ca="1">IF(AND($C27="Goal",KA$8&gt;=$G27,KA$8&lt;=$G27+$H27-1),2,IF(AND($C27="Milestone",KA$8&gt;=$G27,KA$8&lt;=$G27+$H27-1),1,""))</f>
        <v/>
      </c>
      <c r="KB27" s="69" t="str">
        <f ca="1">IF(AND($C27="Goal",KB$8&gt;=$G27,KB$8&lt;=$G27+$H27-1),2,IF(AND($C27="Milestone",KB$8&gt;=$G27,KB$8&lt;=$G27+$H27-1),1,""))</f>
        <v/>
      </c>
      <c r="KC27" s="69" t="str">
        <f ca="1">IF(AND($C27="Goal",KC$8&gt;=$G27,KC$8&lt;=$G27+$H27-1),2,IF(AND($C27="Milestone",KC$8&gt;=$G27,KC$8&lt;=$G27+$H27-1),1,""))</f>
        <v/>
      </c>
      <c r="KD27" s="69" t="str">
        <f ca="1">IF(AND($C27="Goal",KD$8&gt;=$G27,KD$8&lt;=$G27+$H27-1),2,IF(AND($C27="Milestone",KD$8&gt;=$G27,KD$8&lt;=$G27+$H27-1),1,""))</f>
        <v/>
      </c>
      <c r="KE27" s="69" t="str">
        <f ca="1">IF(AND($C27="Goal",KE$8&gt;=$G27,KE$8&lt;=$G27+$H27-1),2,IF(AND($C27="Milestone",KE$8&gt;=$G27,KE$8&lt;=$G27+$H27-1),1,""))</f>
        <v/>
      </c>
      <c r="KF27" s="69" t="str">
        <f ca="1">IF(AND($C27="Goal",KF$8&gt;=$G27,KF$8&lt;=$G27+$H27-1),2,IF(AND($C27="Milestone",KF$8&gt;=$G27,KF$8&lt;=$G27+$H27-1),1,""))</f>
        <v/>
      </c>
      <c r="KG27" s="69" t="str">
        <f ca="1">IF(AND($C27="Goal",KG$8&gt;=$G27,KG$8&lt;=$G27+$H27-1),2,IF(AND($C27="Milestone",KG$8&gt;=$G27,KG$8&lt;=$G27+$H27-1),1,""))</f>
        <v/>
      </c>
      <c r="KH27" s="69" t="str">
        <f ca="1">IF(AND($C27="Goal",KH$8&gt;=$G27,KH$8&lt;=$G27+$H27-1),2,IF(AND($C27="Milestone",KH$8&gt;=$G27,KH$8&lt;=$G27+$H27-1),1,""))</f>
        <v/>
      </c>
      <c r="KI27" s="69" t="str">
        <f ca="1">IF(AND($C27="Goal",KI$8&gt;=$G27,KI$8&lt;=$G27+$H27-1),2,IF(AND($C27="Milestone",KI$8&gt;=$G27,KI$8&lt;=$G27+$H27-1),1,""))</f>
        <v/>
      </c>
      <c r="KJ27" s="69" t="str">
        <f ca="1">IF(AND($C27="Goal",KJ$8&gt;=$G27,KJ$8&lt;=$G27+$H27-1),2,IF(AND($C27="Milestone",KJ$8&gt;=$G27,KJ$8&lt;=$G27+$H27-1),1,""))</f>
        <v/>
      </c>
      <c r="KK27" s="69" t="str">
        <f ca="1">IF(AND($C27="Goal",KK$8&gt;=$G27,KK$8&lt;=$G27+$H27-1),2,IF(AND($C27="Milestone",KK$8&gt;=$G27,KK$8&lt;=$G27+$H27-1),1,""))</f>
        <v/>
      </c>
      <c r="KL27" s="69" t="str">
        <f ca="1">IF(AND($C27="Goal",KL$8&gt;=$G27,KL$8&lt;=$G27+$H27-1),2,IF(AND($C27="Milestone",KL$8&gt;=$G27,KL$8&lt;=$G27+$H27-1),1,""))</f>
        <v/>
      </c>
      <c r="KM27" s="69" t="str">
        <f ca="1">IF(AND($C27="Goal",KM$8&gt;=$G27,KM$8&lt;=$G27+$H27-1),2,IF(AND($C27="Milestone",KM$8&gt;=$G27,KM$8&lt;=$G27+$H27-1),1,""))</f>
        <v/>
      </c>
      <c r="KN27" s="69" t="str">
        <f ca="1">IF(AND($C27="Goal",KN$8&gt;=$G27,KN$8&lt;=$G27+$H27-1),2,IF(AND($C27="Milestone",KN$8&gt;=$G27,KN$8&lt;=$G27+$H27-1),1,""))</f>
        <v/>
      </c>
      <c r="KO27" s="69" t="str">
        <f ca="1">IF(AND($C27="Goal",KO$8&gt;=$G27,KO$8&lt;=$G27+$H27-1),2,IF(AND($C27="Milestone",KO$8&gt;=$G27,KO$8&lt;=$G27+$H27-1),1,""))</f>
        <v/>
      </c>
      <c r="KP27" s="69" t="str">
        <f ca="1">IF(AND($C27="Goal",KP$8&gt;=$G27,KP$8&lt;=$G27+$H27-1),2,IF(AND($C27="Milestone",KP$8&gt;=$G27,KP$8&lt;=$G27+$H27-1),1,""))</f>
        <v/>
      </c>
      <c r="KQ27" s="69" t="str">
        <f ca="1">IF(AND($C27="Goal",KQ$8&gt;=$G27,KQ$8&lt;=$G27+$H27-1),2,IF(AND($C27="Milestone",KQ$8&gt;=$G27,KQ$8&lt;=$G27+$H27-1),1,""))</f>
        <v/>
      </c>
      <c r="KR27" s="69" t="str">
        <f ca="1">IF(AND($C27="Goal",KR$8&gt;=$G27,KR$8&lt;=$G27+$H27-1),2,IF(AND($C27="Milestone",KR$8&gt;=$G27,KR$8&lt;=$G27+$H27-1),1,""))</f>
        <v/>
      </c>
      <c r="KS27" s="69" t="str">
        <f ca="1">IF(AND($C27="Goal",KS$8&gt;=$G27,KS$8&lt;=$G27+$H27-1),2,IF(AND($C27="Milestone",KS$8&gt;=$G27,KS$8&lt;=$G27+$H27-1),1,""))</f>
        <v/>
      </c>
      <c r="KT27" s="69" t="str">
        <f ca="1">IF(AND($C27="Goal",KT$8&gt;=$G27,KT$8&lt;=$G27+$H27-1),2,IF(AND($C27="Milestone",KT$8&gt;=$G27,KT$8&lt;=$G27+$H27-1),1,""))</f>
        <v/>
      </c>
      <c r="KU27" s="69" t="str">
        <f ca="1">IF(AND($C27="Goal",KU$8&gt;=$G27,KU$8&lt;=$G27+$H27-1),2,IF(AND($C27="Milestone",KU$8&gt;=$G27,KU$8&lt;=$G27+$H27-1),1,""))</f>
        <v/>
      </c>
      <c r="KV27" s="69" t="str">
        <f ca="1">IF(AND($C27="Goal",KV$8&gt;=$G27,KV$8&lt;=$G27+$H27-1),2,IF(AND($C27="Milestone",KV$8&gt;=$G27,KV$8&lt;=$G27+$H27-1),1,""))</f>
        <v/>
      </c>
      <c r="KW27" s="69" t="str">
        <f ca="1">IF(AND($C27="Goal",KW$8&gt;=$G27,KW$8&lt;=$G27+$H27-1),2,IF(AND($C27="Milestone",KW$8&gt;=$G27,KW$8&lt;=$G27+$H27-1),1,""))</f>
        <v/>
      </c>
      <c r="KX27" s="69" t="str">
        <f ca="1">IF(AND($C27="Goal",KX$8&gt;=$G27,KX$8&lt;=$G27+$H27-1),2,IF(AND($C27="Milestone",KX$8&gt;=$G27,KX$8&lt;=$G27+$H27-1),1,""))</f>
        <v/>
      </c>
      <c r="KY27" s="69" t="str">
        <f ca="1">IF(AND($C27="Goal",KY$8&gt;=$G27,KY$8&lt;=$G27+$H27-1),2,IF(AND($C27="Milestone",KY$8&gt;=$G27,KY$8&lt;=$G27+$H27-1),1,""))</f>
        <v/>
      </c>
      <c r="KZ27" s="69" t="str">
        <f ca="1">IF(AND($C27="Goal",KZ$8&gt;=$G27,KZ$8&lt;=$G27+$H27-1),2,IF(AND($C27="Milestone",KZ$8&gt;=$G27,KZ$8&lt;=$G27+$H27-1),1,""))</f>
        <v/>
      </c>
      <c r="LA27" s="69" t="str">
        <f ca="1">IF(AND($C27="Goal",LA$8&gt;=$G27,LA$8&lt;=$G27+$H27-1),2,IF(AND($C27="Milestone",LA$8&gt;=$G27,LA$8&lt;=$G27+$H27-1),1,""))</f>
        <v/>
      </c>
      <c r="LB27" s="69" t="str">
        <f ca="1">IF(AND($C27="Goal",LB$8&gt;=$G27,LB$8&lt;=$G27+$H27-1),2,IF(AND($C27="Milestone",LB$8&gt;=$G27,LB$8&lt;=$G27+$H27-1),1,""))</f>
        <v/>
      </c>
      <c r="LC27" s="69" t="str">
        <f ca="1">IF(AND($C27="Goal",LC$8&gt;=$G27,LC$8&lt;=$G27+$H27-1),2,IF(AND($C27="Milestone",LC$8&gt;=$G27,LC$8&lt;=$G27+$H27-1),1,""))</f>
        <v/>
      </c>
      <c r="LD27" s="69" t="str">
        <f ca="1">IF(AND($C27="Goal",LD$8&gt;=$G27,LD$8&lt;=$G27+$H27-1),2,IF(AND($C27="Milestone",LD$8&gt;=$G27,LD$8&lt;=$G27+$H27-1),1,""))</f>
        <v/>
      </c>
      <c r="LE27" s="69" t="str">
        <f ca="1">IF(AND($C27="Goal",LE$8&gt;=$G27,LE$8&lt;=$G27+$H27-1),2,IF(AND($C27="Milestone",LE$8&gt;=$G27,LE$8&lt;=$G27+$H27-1),1,""))</f>
        <v/>
      </c>
      <c r="LF27" s="69" t="str">
        <f ca="1">IF(AND($C27="Goal",LF$8&gt;=$G27,LF$8&lt;=$G27+$H27-1),2,IF(AND($C27="Milestone",LF$8&gt;=$G27,LF$8&lt;=$G27+$H27-1),1,""))</f>
        <v/>
      </c>
      <c r="LG27" s="69" t="str">
        <f ca="1">IF(AND($C27="Goal",LG$8&gt;=$G27,LG$8&lt;=$G27+$H27-1),2,IF(AND($C27="Milestone",LG$8&gt;=$G27,LG$8&lt;=$G27+$H27-1),1,""))</f>
        <v/>
      </c>
      <c r="LH27" s="69" t="str">
        <f ca="1">IF(AND($C27="Goal",LH$8&gt;=$G27,LH$8&lt;=$G27+$H27-1),2,IF(AND($C27="Milestone",LH$8&gt;=$G27,LH$8&lt;=$G27+$H27-1),1,""))</f>
        <v/>
      </c>
      <c r="LI27" s="69" t="str">
        <f ca="1">IF(AND($C27="Goal",LI$8&gt;=$G27,LI$8&lt;=$G27+$H27-1),2,IF(AND($C27="Milestone",LI$8&gt;=$G27,LI$8&lt;=$G27+$H27-1),1,""))</f>
        <v/>
      </c>
      <c r="LJ27" s="69" t="str">
        <f ca="1">IF(AND($C27="Goal",LJ$8&gt;=$G27,LJ$8&lt;=$G27+$H27-1),2,IF(AND($C27="Milestone",LJ$8&gt;=$G27,LJ$8&lt;=$G27+$H27-1),1,""))</f>
        <v/>
      </c>
      <c r="LK27" s="69" t="str">
        <f ca="1">IF(AND($C27="Goal",LK$8&gt;=$G27,LK$8&lt;=$G27+$H27-1),2,IF(AND($C27="Milestone",LK$8&gt;=$G27,LK$8&lt;=$G27+$H27-1),1,""))</f>
        <v/>
      </c>
      <c r="LL27" s="69" t="str">
        <f ca="1">IF(AND($C27="Goal",LL$8&gt;=$G27,LL$8&lt;=$G27+$H27-1),2,IF(AND($C27="Milestone",LL$8&gt;=$G27,LL$8&lt;=$G27+$H27-1),1,""))</f>
        <v/>
      </c>
      <c r="LM27" s="69" t="str">
        <f ca="1">IF(AND($C27="Goal",LM$8&gt;=$G27,LM$8&lt;=$G27+$H27-1),2,IF(AND($C27="Milestone",LM$8&gt;=$G27,LM$8&lt;=$G27+$H27-1),1,""))</f>
        <v/>
      </c>
      <c r="LN27" s="69" t="str">
        <f ca="1">IF(AND($C27="Goal",LN$8&gt;=$G27,LN$8&lt;=$G27+$H27-1),2,IF(AND($C27="Milestone",LN$8&gt;=$G27,LN$8&lt;=$G27+$H27-1),1,""))</f>
        <v/>
      </c>
      <c r="LO27" s="69" t="str">
        <f ca="1">IF(AND($C27="Goal",LO$8&gt;=$G27,LO$8&lt;=$G27+$H27-1),2,IF(AND($C27="Milestone",LO$8&gt;=$G27,LO$8&lt;=$G27+$H27-1),1,""))</f>
        <v/>
      </c>
      <c r="LP27" s="69" t="str">
        <f ca="1">IF(AND($C27="Goal",LP$8&gt;=$G27,LP$8&lt;=$G27+$H27-1),2,IF(AND($C27="Milestone",LP$8&gt;=$G27,LP$8&lt;=$G27+$H27-1),1,""))</f>
        <v/>
      </c>
      <c r="LQ27" s="69" t="str">
        <f ca="1">IF(AND($C27="Goal",LQ$8&gt;=$G27,LQ$8&lt;=$G27+$H27-1),2,IF(AND($C27="Milestone",LQ$8&gt;=$G27,LQ$8&lt;=$G27+$H27-1),1,""))</f>
        <v/>
      </c>
      <c r="LR27" s="69" t="str">
        <f ca="1">IF(AND($C27="Goal",LR$8&gt;=$G27,LR$8&lt;=$G27+$H27-1),2,IF(AND($C27="Milestone",LR$8&gt;=$G27,LR$8&lt;=$G27+$H27-1),1,""))</f>
        <v/>
      </c>
      <c r="LS27" s="69" t="str">
        <f ca="1">IF(AND($C27="Goal",LS$8&gt;=$G27,LS$8&lt;=$G27+$H27-1),2,IF(AND($C27="Milestone",LS$8&gt;=$G27,LS$8&lt;=$G27+$H27-1),1,""))</f>
        <v/>
      </c>
      <c r="LT27" s="69" t="str">
        <f ca="1">IF(AND($C27="Goal",LT$8&gt;=$G27,LT$8&lt;=$G27+$H27-1),2,IF(AND($C27="Milestone",LT$8&gt;=$G27,LT$8&lt;=$G27+$H27-1),1,""))</f>
        <v/>
      </c>
      <c r="LU27" s="69" t="str">
        <f ca="1">IF(AND($C27="Goal",LU$8&gt;=$G27,LU$8&lt;=$G27+$H27-1),2,IF(AND($C27="Milestone",LU$8&gt;=$G27,LU$8&lt;=$G27+$H27-1),1,""))</f>
        <v/>
      </c>
      <c r="LV27" s="69" t="str">
        <f ca="1">IF(AND($C27="Goal",LV$8&gt;=$G27,LV$8&lt;=$G27+$H27-1),2,IF(AND($C27="Milestone",LV$8&gt;=$G27,LV$8&lt;=$G27+$H27-1),1,""))</f>
        <v/>
      </c>
      <c r="LW27" s="69" t="str">
        <f ca="1">IF(AND($C27="Goal",LW$8&gt;=$G27,LW$8&lt;=$G27+$H27-1),2,IF(AND($C27="Milestone",LW$8&gt;=$G27,LW$8&lt;=$G27+$H27-1),1,""))</f>
        <v/>
      </c>
      <c r="LX27" s="69" t="str">
        <f ca="1">IF(AND($C27="Goal",LX$8&gt;=$G27,LX$8&lt;=$G27+$H27-1),2,IF(AND($C27="Milestone",LX$8&gt;=$G27,LX$8&lt;=$G27+$H27-1),1,""))</f>
        <v/>
      </c>
    </row>
    <row r="28" spans="1:336" s="1" customFormat="1" ht="25.25" customHeight="1" x14ac:dyDescent="0.25">
      <c r="A28" s="6"/>
      <c r="B28" s="75" t="s">
        <v>29</v>
      </c>
      <c r="C28" s="53"/>
      <c r="D28" s="53" t="str">
        <f ca="1">IF(G28="","",
IF(G28+Milestones4352[[#This Row],[Days]]="","",
IF(OR(F28=1,F28=100%),"Complete",
CHOOSE(
  1
  + --(((1-IF(F28&gt;1,F28/100,F28))*POWER(2.718281828,(60-MAX(0,G28+Milestones4352[[#This Row],[Days]]-TODAY()))/12))&gt;=0.6)
  + --(((1-IF(F28&gt;1,F28/100,F28))*POWER(2.718281828,(60-MAX(0,G28+Milestones4352[[#This Row],[Days]]-TODAY()))/12))&gt;=1.2)
  + --(((1-IF(F28&gt;1,F28/100,F28))*POWER(2.718281828,(60-MAX(0,G28+Milestones4352[[#This Row],[Days]]-TODAY()))/12))&gt;=2),
  "On track","Low risk","Medium risk","High risk"
))))</f>
        <v/>
      </c>
      <c r="E28" s="53"/>
      <c r="F28" s="10"/>
      <c r="G28" s="20"/>
      <c r="H28" s="12"/>
      <c r="I28" s="12" t="str">
        <f t="shared" si="207"/>
        <v/>
      </c>
      <c r="J28" s="12" t="str">
        <f ca="1">IF(OR(Milestones4352[[#This Row],[Start]]="",Milestones4352[[#This Row],[Days]]=""),"",(Milestones4352[[#This Row],[Start]]+Milestones4352[[#This Row],[Days]])-TODAY())</f>
        <v/>
      </c>
      <c r="K28" s="9"/>
      <c r="L28" s="69" t="str">
        <f ca="1">IF(AND($C28="Goal",L$8&gt;=$G28,L$8&lt;=$G28+$H28-1),2,IF(AND($C28="Milestone",L$8&gt;=$G28,L$8&lt;=$G28+$H28-1),1,""))</f>
        <v/>
      </c>
      <c r="M28" s="69" t="str">
        <f ca="1">IF(AND($C28="Goal",M$8&gt;=$G28,M$8&lt;=$G28+$H28-1),2,IF(AND($C28="Milestone",M$8&gt;=$G28,M$8&lt;=$G28+$H28-1),1,""))</f>
        <v/>
      </c>
      <c r="N28" s="69" t="str">
        <f ca="1">IF(AND($C28="Goal",N$8&gt;=$G28,N$8&lt;=$G28+$H28-1),2,IF(AND($C28="Milestone",N$8&gt;=$G28,N$8&lt;=$G28+$H28-1),1,""))</f>
        <v/>
      </c>
      <c r="O28" s="69" t="str">
        <f ca="1">IF(AND($C28="Goal",O$8&gt;=$G28,O$8&lt;=$G28+$H28-1),2,IF(AND($C28="Milestone",O$8&gt;=$G28,O$8&lt;=$G28+$H28-1),1,""))</f>
        <v/>
      </c>
      <c r="P28" s="69" t="str">
        <f ca="1">IF(AND($C28="Goal",P$8&gt;=$G28,P$8&lt;=$G28+$H28-1),2,IF(AND($C28="Milestone",P$8&gt;=$G28,P$8&lt;=$G28+$H28-1),1,""))</f>
        <v/>
      </c>
      <c r="Q28" s="69" t="str">
        <f ca="1">IF(AND($C28="Goal",Q$8&gt;=$G28,Q$8&lt;=$G28+$H28-1),2,IF(AND($C28="Milestone",Q$8&gt;=$G28,Q$8&lt;=$G28+$H28-1),1,""))</f>
        <v/>
      </c>
      <c r="R28" s="69" t="str">
        <f ca="1">IF(AND($C28="Goal",R$8&gt;=$G28,R$8&lt;=$G28+$H28-1),2,IF(AND($C28="Milestone",R$8&gt;=$G28,R$8&lt;=$G28+$H28-1),1,""))</f>
        <v/>
      </c>
      <c r="S28" s="69" t="str">
        <f ca="1">IF(AND($C28="Goal",S$8&gt;=$G28,S$8&lt;=$G28+$H28-1),2,IF(AND($C28="Milestone",S$8&gt;=$G28,S$8&lt;=$G28+$H28-1),1,""))</f>
        <v/>
      </c>
      <c r="T28" s="69" t="str">
        <f ca="1">IF(AND($C28="Goal",T$8&gt;=$G28,T$8&lt;=$G28+$H28-1),2,IF(AND($C28="Milestone",T$8&gt;=$G28,T$8&lt;=$G28+$H28-1),1,""))</f>
        <v/>
      </c>
      <c r="U28" s="69" t="str">
        <f ca="1">IF(AND($C28="Goal",U$8&gt;=$G28,U$8&lt;=$G28+$H28-1),2,IF(AND($C28="Milestone",U$8&gt;=$G28,U$8&lt;=$G28+$H28-1),1,""))</f>
        <v/>
      </c>
      <c r="V28" s="69" t="str">
        <f ca="1">IF(AND($C28="Goal",V$8&gt;=$G28,V$8&lt;=$G28+$H28-1),2,IF(AND($C28="Milestone",V$8&gt;=$G28,V$8&lt;=$G28+$H28-1),1,""))</f>
        <v/>
      </c>
      <c r="W28" s="69" t="str">
        <f ca="1">IF(AND($C28="Goal",W$8&gt;=$G28,W$8&lt;=$G28+$H28-1),2,IF(AND($C28="Milestone",W$8&gt;=$G28,W$8&lt;=$G28+$H28-1),1,""))</f>
        <v/>
      </c>
      <c r="X28" s="69" t="str">
        <f ca="1">IF(AND($C28="Goal",X$8&gt;=$G28,X$8&lt;=$G28+$H28-1),2,IF(AND($C28="Milestone",X$8&gt;=$G28,X$8&lt;=$G28+$H28-1),1,""))</f>
        <v/>
      </c>
      <c r="Y28" s="69" t="str">
        <f ca="1">IF(AND($C28="Goal",Y$8&gt;=$G28,Y$8&lt;=$G28+$H28-1),2,IF(AND($C28="Milestone",Y$8&gt;=$G28,Y$8&lt;=$G28+$H28-1),1,""))</f>
        <v/>
      </c>
      <c r="Z28" s="69" t="str">
        <f ca="1">IF(AND($C28="Goal",Z$8&gt;=$G28,Z$8&lt;=$G28+$H28-1),2,IF(AND($C28="Milestone",Z$8&gt;=$G28,Z$8&lt;=$G28+$H28-1),1,""))</f>
        <v/>
      </c>
      <c r="AA28" s="69" t="str">
        <f ca="1">IF(AND($C28="Goal",AA$8&gt;=$G28,AA$8&lt;=$G28+$H28-1),2,IF(AND($C28="Milestone",AA$8&gt;=$G28,AA$8&lt;=$G28+$H28-1),1,""))</f>
        <v/>
      </c>
      <c r="AB28" s="69" t="str">
        <f ca="1">IF(AND($C28="Goal",AB$8&gt;=$G28,AB$8&lt;=$G28+$H28-1),2,IF(AND($C28="Milestone",AB$8&gt;=$G28,AB$8&lt;=$G28+$H28-1),1,""))</f>
        <v/>
      </c>
      <c r="AC28" s="69" t="str">
        <f ca="1">IF(AND($C28="Goal",AC$8&gt;=$G28,AC$8&lt;=$G28+$H28-1),2,IF(AND($C28="Milestone",AC$8&gt;=$G28,AC$8&lt;=$G28+$H28-1),1,""))</f>
        <v/>
      </c>
      <c r="AD28" s="69" t="str">
        <f ca="1">IF(AND($C28="Goal",AD$8&gt;=$G28,AD$8&lt;=$G28+$H28-1),2,IF(AND($C28="Milestone",AD$8&gt;=$G28,AD$8&lt;=$G28+$H28-1),1,""))</f>
        <v/>
      </c>
      <c r="AE28" s="69" t="str">
        <f ca="1">IF(AND($C28="Goal",AE$8&gt;=$G28,AE$8&lt;=$G28+$H28-1),2,IF(AND($C28="Milestone",AE$8&gt;=$G28,AE$8&lt;=$G28+$H28-1),1,""))</f>
        <v/>
      </c>
      <c r="AF28" s="69" t="str">
        <f ca="1">IF(AND($C28="Goal",AF$8&gt;=$G28,AF$8&lt;=$G28+$H28-1),2,IF(AND($C28="Milestone",AF$8&gt;=$G28,AF$8&lt;=$G28+$H28-1),1,""))</f>
        <v/>
      </c>
      <c r="AG28" s="69" t="str">
        <f ca="1">IF(AND($C28="Goal",AG$8&gt;=$G28,AG$8&lt;=$G28+$H28-1),2,IF(AND($C28="Milestone",AG$8&gt;=$G28,AG$8&lt;=$G28+$H28-1),1,""))</f>
        <v/>
      </c>
      <c r="AH28" s="69" t="str">
        <f ca="1">IF(AND($C28="Goal",AH$8&gt;=$G28,AH$8&lt;=$G28+$H28-1),2,IF(AND($C28="Milestone",AH$8&gt;=$G28,AH$8&lt;=$G28+$H28-1),1,""))</f>
        <v/>
      </c>
      <c r="AI28" s="69" t="str">
        <f ca="1">IF(AND($C28="Goal",AI$8&gt;=$G28,AI$8&lt;=$G28+$H28-1),2,IF(AND($C28="Milestone",AI$8&gt;=$G28,AI$8&lt;=$G28+$H28-1),1,""))</f>
        <v/>
      </c>
      <c r="AJ28" s="69" t="str">
        <f ca="1">IF(AND($C28="Goal",AJ$8&gt;=$G28,AJ$8&lt;=$G28+$H28-1),2,IF(AND($C28="Milestone",AJ$8&gt;=$G28,AJ$8&lt;=$G28+$H28-1),1,""))</f>
        <v/>
      </c>
      <c r="AK28" s="69" t="str">
        <f ca="1">IF(AND($C28="Goal",AK$8&gt;=$G28,AK$8&lt;=$G28+$H28-1),2,IF(AND($C28="Milestone",AK$8&gt;=$G28,AK$8&lt;=$G28+$H28-1),1,""))</f>
        <v/>
      </c>
      <c r="AL28" s="69" t="str">
        <f ca="1">IF(AND($C28="Goal",AL$8&gt;=$G28,AL$8&lt;=$G28+$H28-1),2,IF(AND($C28="Milestone",AL$8&gt;=$G28,AL$8&lt;=$G28+$H28-1),1,""))</f>
        <v/>
      </c>
      <c r="AM28" s="69" t="str">
        <f ca="1">IF(AND($C28="Goal",AM$8&gt;=$G28,AM$8&lt;=$G28+$H28-1),2,IF(AND($C28="Milestone",AM$8&gt;=$G28,AM$8&lt;=$G28+$H28-1),1,""))</f>
        <v/>
      </c>
      <c r="AN28" s="69" t="str">
        <f ca="1">IF(AND($C28="Goal",AN$8&gt;=$G28,AN$8&lt;=$G28+$H28-1),2,IF(AND($C28="Milestone",AN$8&gt;=$G28,AN$8&lt;=$G28+$H28-1),1,""))</f>
        <v/>
      </c>
      <c r="AO28" s="69" t="str">
        <f ca="1">IF(AND($C28="Goal",AO$8&gt;=$G28,AO$8&lt;=$G28+$H28-1),2,IF(AND($C28="Milestone",AO$8&gt;=$G28,AO$8&lt;=$G28+$H28-1),1,""))</f>
        <v/>
      </c>
      <c r="AP28" s="69" t="str">
        <f ca="1">IF(AND($C28="Goal",AP$8&gt;=$G28,AP$8&lt;=$G28+$H28-1),2,IF(AND($C28="Milestone",AP$8&gt;=$G28,AP$8&lt;=$G28+$H28-1),1,""))</f>
        <v/>
      </c>
      <c r="AQ28" s="69" t="str">
        <f ca="1">IF(AND($C28="Goal",AQ$8&gt;=$G28,AQ$8&lt;=$G28+$H28-1),2,IF(AND($C28="Milestone",AQ$8&gt;=$G28,AQ$8&lt;=$G28+$H28-1),1,""))</f>
        <v/>
      </c>
      <c r="AR28" s="69" t="str">
        <f ca="1">IF(AND($C28="Goal",AR$8&gt;=$G28,AR$8&lt;=$G28+$H28-1),2,IF(AND($C28="Milestone",AR$8&gt;=$G28,AR$8&lt;=$G28+$H28-1),1,""))</f>
        <v/>
      </c>
      <c r="AS28" s="69" t="str">
        <f ca="1">IF(AND($C28="Goal",AS$8&gt;=$G28,AS$8&lt;=$G28+$H28-1),2,IF(AND($C28="Milestone",AS$8&gt;=$G28,AS$8&lt;=$G28+$H28-1),1,""))</f>
        <v/>
      </c>
      <c r="AT28" s="69" t="str">
        <f ca="1">IF(AND($C28="Goal",AT$8&gt;=$G28,AT$8&lt;=$G28+$H28-1),2,IF(AND($C28="Milestone",AT$8&gt;=$G28,AT$8&lt;=$G28+$H28-1),1,""))</f>
        <v/>
      </c>
      <c r="AU28" s="69" t="str">
        <f ca="1">IF(AND($C28="Goal",AU$8&gt;=$G28,AU$8&lt;=$G28+$H28-1),2,IF(AND($C28="Milestone",AU$8&gt;=$G28,AU$8&lt;=$G28+$H28-1),1,""))</f>
        <v/>
      </c>
      <c r="AV28" s="69" t="str">
        <f ca="1">IF(AND($C28="Goal",AV$8&gt;=$G28,AV$8&lt;=$G28+$H28-1),2,IF(AND($C28="Milestone",AV$8&gt;=$G28,AV$8&lt;=$G28+$H28-1),1,""))</f>
        <v/>
      </c>
      <c r="AW28" s="69" t="str">
        <f ca="1">IF(AND($C28="Goal",AW$8&gt;=$G28,AW$8&lt;=$G28+$H28-1),2,IF(AND($C28="Milestone",AW$8&gt;=$G28,AW$8&lt;=$G28+$H28-1),1,""))</f>
        <v/>
      </c>
      <c r="AX28" s="69" t="str">
        <f ca="1">IF(AND($C28="Goal",AX$8&gt;=$G28,AX$8&lt;=$G28+$H28-1),2,IF(AND($C28="Milestone",AX$8&gt;=$G28,AX$8&lt;=$G28+$H28-1),1,""))</f>
        <v/>
      </c>
      <c r="AY28" s="69" t="str">
        <f ca="1">IF(AND($C28="Goal",AY$8&gt;=$G28,AY$8&lt;=$G28+$H28-1),2,IF(AND($C28="Milestone",AY$8&gt;=$G28,AY$8&lt;=$G28+$H28-1),1,""))</f>
        <v/>
      </c>
      <c r="AZ28" s="69" t="str">
        <f ca="1">IF(AND($C28="Goal",AZ$8&gt;=$G28,AZ$8&lt;=$G28+$H28-1),2,IF(AND($C28="Milestone",AZ$8&gt;=$G28,AZ$8&lt;=$G28+$H28-1),1,""))</f>
        <v/>
      </c>
      <c r="BA28" s="69" t="str">
        <f ca="1">IF(AND($C28="Goal",BA$8&gt;=$G28,BA$8&lt;=$G28+$H28-1),2,IF(AND($C28="Milestone",BA$8&gt;=$G28,BA$8&lt;=$G28+$H28-1),1,""))</f>
        <v/>
      </c>
      <c r="BB28" s="69" t="str">
        <f ca="1">IF(AND($C28="Goal",BB$8&gt;=$G28,BB$8&lt;=$G28+$H28-1),2,IF(AND($C28="Milestone",BB$8&gt;=$G28,BB$8&lt;=$G28+$H28-1),1,""))</f>
        <v/>
      </c>
      <c r="BC28" s="69" t="str">
        <f ca="1">IF(AND($C28="Goal",BC$8&gt;=$G28,BC$8&lt;=$G28+$H28-1),2,IF(AND($C28="Milestone",BC$8&gt;=$G28,BC$8&lt;=$G28+$H28-1),1,""))</f>
        <v/>
      </c>
      <c r="BD28" s="69" t="str">
        <f ca="1">IF(AND($C28="Goal",BD$8&gt;=$G28,BD$8&lt;=$G28+$H28-1),2,IF(AND($C28="Milestone",BD$8&gt;=$G28,BD$8&lt;=$G28+$H28-1),1,""))</f>
        <v/>
      </c>
      <c r="BE28" s="69" t="str">
        <f ca="1">IF(AND($C28="Goal",BE$8&gt;=$G28,BE$8&lt;=$G28+$H28-1),2,IF(AND($C28="Milestone",BE$8&gt;=$G28,BE$8&lt;=$G28+$H28-1),1,""))</f>
        <v/>
      </c>
      <c r="BF28" s="69" t="str">
        <f ca="1">IF(AND($C28="Goal",BF$8&gt;=$G28,BF$8&lt;=$G28+$H28-1),2,IF(AND($C28="Milestone",BF$8&gt;=$G28,BF$8&lt;=$G28+$H28-1),1,""))</f>
        <v/>
      </c>
      <c r="BG28" s="69" t="str">
        <f ca="1">IF(AND($C28="Goal",BG$8&gt;=$G28,BG$8&lt;=$G28+$H28-1),2,IF(AND($C28="Milestone",BG$8&gt;=$G28,BG$8&lt;=$G28+$H28-1),1,""))</f>
        <v/>
      </c>
      <c r="BH28" s="69" t="str">
        <f ca="1">IF(AND($C28="Goal",BH$8&gt;=$G28,BH$8&lt;=$G28+$H28-1),2,IF(AND($C28="Milestone",BH$8&gt;=$G28,BH$8&lt;=$G28+$H28-1),1,""))</f>
        <v/>
      </c>
      <c r="BI28" s="69" t="str">
        <f ca="1">IF(AND($C28="Goal",BI$8&gt;=$G28,BI$8&lt;=$G28+$H28-1),2,IF(AND($C28="Milestone",BI$8&gt;=$G28,BI$8&lt;=$G28+$H28-1),1,""))</f>
        <v/>
      </c>
      <c r="BJ28" s="69" t="str">
        <f ca="1">IF(AND($C28="Goal",BJ$8&gt;=$G28,BJ$8&lt;=$G28+$H28-1),2,IF(AND($C28="Milestone",BJ$8&gt;=$G28,BJ$8&lt;=$G28+$H28-1),1,""))</f>
        <v/>
      </c>
      <c r="BK28" s="69" t="str">
        <f ca="1">IF(AND($C28="Goal",BK$8&gt;=$G28,BK$8&lt;=$G28+$H28-1),2,IF(AND($C28="Milestone",BK$8&gt;=$G28,BK$8&lt;=$G28+$H28-1),1,""))</f>
        <v/>
      </c>
      <c r="BL28" s="69" t="str">
        <f ca="1">IF(AND($C28="Goal",BL$8&gt;=$G28,BL$8&lt;=$G28+$H28-1),2,IF(AND($C28="Milestone",BL$8&gt;=$G28,BL$8&lt;=$G28+$H28-1),1,""))</f>
        <v/>
      </c>
      <c r="BM28" s="69" t="str">
        <f ca="1">IF(AND($C28="Goal",BM$8&gt;=$G28,BM$8&lt;=$G28+$H28-1),2,IF(AND($C28="Milestone",BM$8&gt;=$G28,BM$8&lt;=$G28+$H28-1),1,""))</f>
        <v/>
      </c>
      <c r="BN28" s="69" t="str">
        <f ca="1">IF(AND($C28="Goal",BN$8&gt;=$G28,BN$8&lt;=$G28+$H28-1),2,IF(AND($C28="Milestone",BN$8&gt;=$G28,BN$8&lt;=$G28+$H28-1),1,""))</f>
        <v/>
      </c>
      <c r="BO28" s="69" t="str">
        <f ca="1">IF(AND($C28="Goal",BO$8&gt;=$G28,BO$8&lt;=$G28+$H28-1),2,IF(AND($C28="Milestone",BO$8&gt;=$G28,BO$8&lt;=$G28+$H28-1),1,""))</f>
        <v/>
      </c>
      <c r="BP28" s="69" t="str">
        <f ca="1">IF(AND($C28="Goal",BP$8&gt;=$G28,BP$8&lt;=$G28+$H28-1),2,IF(AND($C28="Milestone",BP$8&gt;=$G28,BP$8&lt;=$G28+$H28-1),1,""))</f>
        <v/>
      </c>
      <c r="BQ28" s="69" t="str">
        <f ca="1">IF(AND($C28="Goal",BQ$8&gt;=$G28,BQ$8&lt;=$G28+$H28-1),2,IF(AND($C28="Milestone",BQ$8&gt;=$G28,BQ$8&lt;=$G28+$H28-1),1,""))</f>
        <v/>
      </c>
      <c r="BR28" s="69" t="str">
        <f ca="1">IF(AND($C28="Goal",BR$8&gt;=$G28,BR$8&lt;=$G28+$H28-1),2,IF(AND($C28="Milestone",BR$8&gt;=$G28,BR$8&lt;=$G28+$H28-1),1,""))</f>
        <v/>
      </c>
      <c r="BS28" s="69" t="str">
        <f ca="1">IF(AND($C28="Goal",BS$8&gt;=$G28,BS$8&lt;=$G28+$H28-1),2,IF(AND($C28="Milestone",BS$8&gt;=$G28,BS$8&lt;=$G28+$H28-1),1,""))</f>
        <v/>
      </c>
      <c r="BT28" s="69" t="str">
        <f ca="1">IF(AND($C28="Goal",BT$8&gt;=$G28,BT$8&lt;=$G28+$H28-1),2,IF(AND($C28="Milestone",BT$8&gt;=$G28,BT$8&lt;=$G28+$H28-1),1,""))</f>
        <v/>
      </c>
      <c r="BU28" s="69" t="str">
        <f ca="1">IF(AND($C28="Goal",BU$8&gt;=$G28,BU$8&lt;=$G28+$H28-1),2,IF(AND($C28="Milestone",BU$8&gt;=$G28,BU$8&lt;=$G28+$H28-1),1,""))</f>
        <v/>
      </c>
      <c r="BV28" s="69" t="str">
        <f ca="1">IF(AND($C28="Goal",BV$8&gt;=$G28,BV$8&lt;=$G28+$H28-1),2,IF(AND($C28="Milestone",BV$8&gt;=$G28,BV$8&lt;=$G28+$H28-1),1,""))</f>
        <v/>
      </c>
      <c r="BW28" s="69" t="str">
        <f ca="1">IF(AND($C28="Goal",BW$8&gt;=$G28,BW$8&lt;=$G28+$H28-1),2,IF(AND($C28="Milestone",BW$8&gt;=$G28,BW$8&lt;=$G28+$H28-1),1,""))</f>
        <v/>
      </c>
      <c r="BX28" s="69" t="str">
        <f ca="1">IF(AND($C28="Goal",BX$8&gt;=$G28,BX$8&lt;=$G28+$H28-1),2,IF(AND($C28="Milestone",BX$8&gt;=$G28,BX$8&lt;=$G28+$H28-1),1,""))</f>
        <v/>
      </c>
      <c r="BY28" s="69" t="str">
        <f ca="1">IF(AND($C28="Goal",BY$8&gt;=$G28,BY$8&lt;=$G28+$H28-1),2,IF(AND($C28="Milestone",BY$8&gt;=$G28,BY$8&lt;=$G28+$H28-1),1,""))</f>
        <v/>
      </c>
      <c r="BZ28" s="69" t="str">
        <f ca="1">IF(AND($C28="Goal",BZ$8&gt;=$G28,BZ$8&lt;=$G28+$H28-1),2,IF(AND($C28="Milestone",BZ$8&gt;=$G28,BZ$8&lt;=$G28+$H28-1),1,""))</f>
        <v/>
      </c>
      <c r="CA28" s="69" t="str">
        <f ca="1">IF(AND($C28="Goal",CA$8&gt;=$G28,CA$8&lt;=$G28+$H28-1),2,IF(AND($C28="Milestone",CA$8&gt;=$G28,CA$8&lt;=$G28+$H28-1),1,""))</f>
        <v/>
      </c>
      <c r="CB28" s="69" t="str">
        <f ca="1">IF(AND($C28="Goal",CB$8&gt;=$G28,CB$8&lt;=$G28+$H28-1),2,IF(AND($C28="Milestone",CB$8&gt;=$G28,CB$8&lt;=$G28+$H28-1),1,""))</f>
        <v/>
      </c>
      <c r="CC28" s="69" t="str">
        <f ca="1">IF(AND($C28="Goal",CC$8&gt;=$G28,CC$8&lt;=$G28+$H28-1),2,IF(AND($C28="Milestone",CC$8&gt;=$G28,CC$8&lt;=$G28+$H28-1),1,""))</f>
        <v/>
      </c>
      <c r="CD28" s="69" t="str">
        <f ca="1">IF(AND($C28="Goal",CD$8&gt;=$G28,CD$8&lt;=$G28+$H28-1),2,IF(AND($C28="Milestone",CD$8&gt;=$G28,CD$8&lt;=$G28+$H28-1),1,""))</f>
        <v/>
      </c>
      <c r="CE28" s="69" t="str">
        <f ca="1">IF(AND($C28="Goal",CE$8&gt;=$G28,CE$8&lt;=$G28+$H28-1),2,IF(AND($C28="Milestone",CE$8&gt;=$G28,CE$8&lt;=$G28+$H28-1),1,""))</f>
        <v/>
      </c>
      <c r="CF28" s="69" t="str">
        <f ca="1">IF(AND($C28="Goal",CF$8&gt;=$G28,CF$8&lt;=$G28+$H28-1),2,IF(AND($C28="Milestone",CF$8&gt;=$G28,CF$8&lt;=$G28+$H28-1),1,""))</f>
        <v/>
      </c>
      <c r="CG28" s="69" t="str">
        <f ca="1">IF(AND($C28="Goal",CG$8&gt;=$G28,CG$8&lt;=$G28+$H28-1),2,IF(AND($C28="Milestone",CG$8&gt;=$G28,CG$8&lt;=$G28+$H28-1),1,""))</f>
        <v/>
      </c>
      <c r="CH28" s="69" t="str">
        <f ca="1">IF(AND($C28="Goal",CH$8&gt;=$G28,CH$8&lt;=$G28+$H28-1),2,IF(AND($C28="Milestone",CH$8&gt;=$G28,CH$8&lt;=$G28+$H28-1),1,""))</f>
        <v/>
      </c>
      <c r="CI28" s="69" t="str">
        <f ca="1">IF(AND($C28="Goal",CI$8&gt;=$G28,CI$8&lt;=$G28+$H28-1),2,IF(AND($C28="Milestone",CI$8&gt;=$G28,CI$8&lt;=$G28+$H28-1),1,""))</f>
        <v/>
      </c>
      <c r="CJ28" s="69" t="str">
        <f ca="1">IF(AND($C28="Goal",CJ$8&gt;=$G28,CJ$8&lt;=$G28+$H28-1),2,IF(AND($C28="Milestone",CJ$8&gt;=$G28,CJ$8&lt;=$G28+$H28-1),1,""))</f>
        <v/>
      </c>
      <c r="CK28" s="69" t="str">
        <f ca="1">IF(AND($C28="Goal",CK$8&gt;=$G28,CK$8&lt;=$G28+$H28-1),2,IF(AND($C28="Milestone",CK$8&gt;=$G28,CK$8&lt;=$G28+$H28-1),1,""))</f>
        <v/>
      </c>
      <c r="CL28" s="69" t="str">
        <f ca="1">IF(AND($C28="Goal",CL$8&gt;=$G28,CL$8&lt;=$G28+$H28-1),2,IF(AND($C28="Milestone",CL$8&gt;=$G28,CL$8&lt;=$G28+$H28-1),1,""))</f>
        <v/>
      </c>
      <c r="CM28" s="69" t="str">
        <f ca="1">IF(AND($C28="Goal",CM$8&gt;=$G28,CM$8&lt;=$G28+$H28-1),2,IF(AND($C28="Milestone",CM$8&gt;=$G28,CM$8&lt;=$G28+$H28-1),1,""))</f>
        <v/>
      </c>
      <c r="CN28" s="69" t="str">
        <f ca="1">IF(AND($C28="Goal",CN$8&gt;=$G28,CN$8&lt;=$G28+$H28-1),2,IF(AND($C28="Milestone",CN$8&gt;=$G28,CN$8&lt;=$G28+$H28-1),1,""))</f>
        <v/>
      </c>
      <c r="CO28" s="69" t="str">
        <f ca="1">IF(AND($C28="Goal",CO$8&gt;=$G28,CO$8&lt;=$G28+$H28-1),2,IF(AND($C28="Milestone",CO$8&gt;=$G28,CO$8&lt;=$G28+$H28-1),1,""))</f>
        <v/>
      </c>
      <c r="CP28" s="69" t="str">
        <f ca="1">IF(AND($C28="Goal",CP$8&gt;=$G28,CP$8&lt;=$G28+$H28-1),2,IF(AND($C28="Milestone",CP$8&gt;=$G28,CP$8&lt;=$G28+$H28-1),1,""))</f>
        <v/>
      </c>
      <c r="CQ28" s="69" t="str">
        <f ca="1">IF(AND($C28="Goal",CQ$8&gt;=$G28,CQ$8&lt;=$G28+$H28-1),2,IF(AND($C28="Milestone",CQ$8&gt;=$G28,CQ$8&lt;=$G28+$H28-1),1,""))</f>
        <v/>
      </c>
      <c r="CR28" s="69" t="str">
        <f ca="1">IF(AND($C28="Goal",CR$8&gt;=$G28,CR$8&lt;=$G28+$H28-1),2,IF(AND($C28="Milestone",CR$8&gt;=$G28,CR$8&lt;=$G28+$H28-1),1,""))</f>
        <v/>
      </c>
      <c r="CS28" s="69" t="str">
        <f ca="1">IF(AND($C28="Goal",CS$8&gt;=$G28,CS$8&lt;=$G28+$H28-1),2,IF(AND($C28="Milestone",CS$8&gt;=$G28,CS$8&lt;=$G28+$H28-1),1,""))</f>
        <v/>
      </c>
      <c r="CT28" s="69" t="str">
        <f ca="1">IF(AND($C28="Goal",CT$8&gt;=$G28,CT$8&lt;=$G28+$H28-1),2,IF(AND($C28="Milestone",CT$8&gt;=$G28,CT$8&lt;=$G28+$H28-1),1,""))</f>
        <v/>
      </c>
      <c r="CU28" s="69" t="str">
        <f ca="1">IF(AND($C28="Goal",CU$8&gt;=$G28,CU$8&lt;=$G28+$H28-1),2,IF(AND($C28="Milestone",CU$8&gt;=$G28,CU$8&lt;=$G28+$H28-1),1,""))</f>
        <v/>
      </c>
      <c r="CV28" s="69" t="str">
        <f ca="1">IF(AND($C28="Goal",CV$8&gt;=$G28,CV$8&lt;=$G28+$H28-1),2,IF(AND($C28="Milestone",CV$8&gt;=$G28,CV$8&lt;=$G28+$H28-1),1,""))</f>
        <v/>
      </c>
      <c r="CW28" s="69" t="str">
        <f ca="1">IF(AND($C28="Goal",CW$8&gt;=$G28,CW$8&lt;=$G28+$H28-1),2,IF(AND($C28="Milestone",CW$8&gt;=$G28,CW$8&lt;=$G28+$H28-1),1,""))</f>
        <v/>
      </c>
      <c r="CX28" s="69" t="str">
        <f ca="1">IF(AND($C28="Goal",CX$8&gt;=$G28,CX$8&lt;=$G28+$H28-1),2,IF(AND($C28="Milestone",CX$8&gt;=$G28,CX$8&lt;=$G28+$H28-1),1,""))</f>
        <v/>
      </c>
      <c r="CY28" s="69" t="str">
        <f ca="1">IF(AND($C28="Goal",CY$8&gt;=$G28,CY$8&lt;=$G28+$H28-1),2,IF(AND($C28="Milestone",CY$8&gt;=$G28,CY$8&lt;=$G28+$H28-1),1,""))</f>
        <v/>
      </c>
      <c r="CZ28" s="69" t="str">
        <f ca="1">IF(AND($C28="Goal",CZ$8&gt;=$G28,CZ$8&lt;=$G28+$H28-1),2,IF(AND($C28="Milestone",CZ$8&gt;=$G28,CZ$8&lt;=$G28+$H28-1),1,""))</f>
        <v/>
      </c>
      <c r="DA28" s="69" t="str">
        <f ca="1">IF(AND($C28="Goal",DA$8&gt;=$G28,DA$8&lt;=$G28+$H28-1),2,IF(AND($C28="Milestone",DA$8&gt;=$G28,DA$8&lt;=$G28+$H28-1),1,""))</f>
        <v/>
      </c>
      <c r="DB28" s="69" t="str">
        <f ca="1">IF(AND($C28="Goal",DB$8&gt;=$G28,DB$8&lt;=$G28+$H28-1),2,IF(AND($C28="Milestone",DB$8&gt;=$G28,DB$8&lt;=$G28+$H28-1),1,""))</f>
        <v/>
      </c>
      <c r="DC28" s="69" t="str">
        <f ca="1">IF(AND($C28="Goal",DC$8&gt;=$G28,DC$8&lt;=$G28+$H28-1),2,IF(AND($C28="Milestone",DC$8&gt;=$G28,DC$8&lt;=$G28+$H28-1),1,""))</f>
        <v/>
      </c>
      <c r="DD28" s="69" t="str">
        <f ca="1">IF(AND($C28="Goal",DD$8&gt;=$G28,DD$8&lt;=$G28+$H28-1),2,IF(AND($C28="Milestone",DD$8&gt;=$G28,DD$8&lt;=$G28+$H28-1),1,""))</f>
        <v/>
      </c>
      <c r="DE28" s="69" t="str">
        <f ca="1">IF(AND($C28="Goal",DE$8&gt;=$G28,DE$8&lt;=$G28+$H28-1),2,IF(AND($C28="Milestone",DE$8&gt;=$G28,DE$8&lt;=$G28+$H28-1),1,""))</f>
        <v/>
      </c>
      <c r="DF28" s="69" t="str">
        <f ca="1">IF(AND($C28="Goal",DF$8&gt;=$G28,DF$8&lt;=$G28+$H28-1),2,IF(AND($C28="Milestone",DF$8&gt;=$G28,DF$8&lt;=$G28+$H28-1),1,""))</f>
        <v/>
      </c>
      <c r="DG28" s="69" t="str">
        <f ca="1">IF(AND($C28="Goal",DG$8&gt;=$G28,DG$8&lt;=$G28+$H28-1),2,IF(AND($C28="Milestone",DG$8&gt;=$G28,DG$8&lt;=$G28+$H28-1),1,""))</f>
        <v/>
      </c>
      <c r="DH28" s="69" t="str">
        <f ca="1">IF(AND($C28="Goal",DH$8&gt;=$G28,DH$8&lt;=$G28+$H28-1),2,IF(AND($C28="Milestone",DH$8&gt;=$G28,DH$8&lt;=$G28+$H28-1),1,""))</f>
        <v/>
      </c>
      <c r="DI28" s="69" t="str">
        <f ca="1">IF(AND($C28="Goal",DI$8&gt;=$G28,DI$8&lt;=$G28+$H28-1),2,IF(AND($C28="Milestone",DI$8&gt;=$G28,DI$8&lt;=$G28+$H28-1),1,""))</f>
        <v/>
      </c>
      <c r="DJ28" s="69" t="str">
        <f ca="1">IF(AND($C28="Goal",DJ$8&gt;=$G28,DJ$8&lt;=$G28+$H28-1),2,IF(AND($C28="Milestone",DJ$8&gt;=$G28,DJ$8&lt;=$G28+$H28-1),1,""))</f>
        <v/>
      </c>
      <c r="DK28" s="69" t="str">
        <f ca="1">IF(AND($C28="Goal",DK$8&gt;=$G28,DK$8&lt;=$G28+$H28-1),2,IF(AND($C28="Milestone",DK$8&gt;=$G28,DK$8&lt;=$G28+$H28-1),1,""))</f>
        <v/>
      </c>
      <c r="DL28" s="69" t="str">
        <f ca="1">IF(AND($C28="Goal",DL$8&gt;=$G28,DL$8&lt;=$G28+$H28-1),2,IF(AND($C28="Milestone",DL$8&gt;=$G28,DL$8&lt;=$G28+$H28-1),1,""))</f>
        <v/>
      </c>
      <c r="DM28" s="69" t="str">
        <f ca="1">IF(AND($C28="Goal",DM$8&gt;=$G28,DM$8&lt;=$G28+$H28-1),2,IF(AND($C28="Milestone",DM$8&gt;=$G28,DM$8&lt;=$G28+$H28-1),1,""))</f>
        <v/>
      </c>
      <c r="DN28" s="69" t="str">
        <f ca="1">IF(AND($C28="Goal",DN$8&gt;=$G28,DN$8&lt;=$G28+$H28-1),2,IF(AND($C28="Milestone",DN$8&gt;=$G28,DN$8&lt;=$G28+$H28-1),1,""))</f>
        <v/>
      </c>
      <c r="DO28" s="69" t="str">
        <f ca="1">IF(AND($C28="Goal",DO$8&gt;=$G28,DO$8&lt;=$G28+$H28-1),2,IF(AND($C28="Milestone",DO$8&gt;=$G28,DO$8&lt;=$G28+$H28-1),1,""))</f>
        <v/>
      </c>
      <c r="DP28" s="69" t="str">
        <f ca="1">IF(AND($C28="Goal",DP$8&gt;=$G28,DP$8&lt;=$G28+$H28-1),2,IF(AND($C28="Milestone",DP$8&gt;=$G28,DP$8&lt;=$G28+$H28-1),1,""))</f>
        <v/>
      </c>
      <c r="DQ28" s="69" t="str">
        <f ca="1">IF(AND($C28="Goal",DQ$8&gt;=$G28,DQ$8&lt;=$G28+$H28-1),2,IF(AND($C28="Milestone",DQ$8&gt;=$G28,DQ$8&lt;=$G28+$H28-1),1,""))</f>
        <v/>
      </c>
      <c r="DR28" s="69" t="str">
        <f ca="1">IF(AND($C28="Goal",DR$8&gt;=$G28,DR$8&lt;=$G28+$H28-1),2,IF(AND($C28="Milestone",DR$8&gt;=$G28,DR$8&lt;=$G28+$H28-1),1,""))</f>
        <v/>
      </c>
      <c r="DS28" s="69" t="str">
        <f ca="1">IF(AND($C28="Goal",DS$8&gt;=$G28,DS$8&lt;=$G28+$H28-1),2,IF(AND($C28="Milestone",DS$8&gt;=$G28,DS$8&lt;=$G28+$H28-1),1,""))</f>
        <v/>
      </c>
      <c r="DT28" s="69" t="str">
        <f ca="1">IF(AND($C28="Goal",DT$8&gt;=$G28,DT$8&lt;=$G28+$H28-1),2,IF(AND($C28="Milestone",DT$8&gt;=$G28,DT$8&lt;=$G28+$H28-1),1,""))</f>
        <v/>
      </c>
      <c r="DU28" s="69" t="str">
        <f ca="1">IF(AND($C28="Goal",DU$8&gt;=$G28,DU$8&lt;=$G28+$H28-1),2,IF(AND($C28="Milestone",DU$8&gt;=$G28,DU$8&lt;=$G28+$H28-1),1,""))</f>
        <v/>
      </c>
      <c r="DV28" s="69" t="str">
        <f ca="1">IF(AND($C28="Goal",DV$8&gt;=$G28,DV$8&lt;=$G28+$H28-1),2,IF(AND($C28="Milestone",DV$8&gt;=$G28,DV$8&lt;=$G28+$H28-1),1,""))</f>
        <v/>
      </c>
      <c r="DW28" s="69" t="str">
        <f ca="1">IF(AND($C28="Goal",DW$8&gt;=$G28,DW$8&lt;=$G28+$H28-1),2,IF(AND($C28="Milestone",DW$8&gt;=$G28,DW$8&lt;=$G28+$H28-1),1,""))</f>
        <v/>
      </c>
      <c r="DX28" s="69" t="str">
        <f ca="1">IF(AND($C28="Goal",DX$8&gt;=$G28,DX$8&lt;=$G28+$H28-1),2,IF(AND($C28="Milestone",DX$8&gt;=$G28,DX$8&lt;=$G28+$H28-1),1,""))</f>
        <v/>
      </c>
      <c r="DY28" s="69" t="str">
        <f ca="1">IF(AND($C28="Goal",DY$8&gt;=$G28,DY$8&lt;=$G28+$H28-1),2,IF(AND($C28="Milestone",DY$8&gt;=$G28,DY$8&lt;=$G28+$H28-1),1,""))</f>
        <v/>
      </c>
      <c r="DZ28" s="69" t="str">
        <f ca="1">IF(AND($C28="Goal",DZ$8&gt;=$G28,DZ$8&lt;=$G28+$H28-1),2,IF(AND($C28="Milestone",DZ$8&gt;=$G28,DZ$8&lt;=$G28+$H28-1),1,""))</f>
        <v/>
      </c>
      <c r="EA28" s="69" t="str">
        <f ca="1">IF(AND($C28="Goal",EA$8&gt;=$G28,EA$8&lt;=$G28+$H28-1),2,IF(AND($C28="Milestone",EA$8&gt;=$G28,EA$8&lt;=$G28+$H28-1),1,""))</f>
        <v/>
      </c>
      <c r="EB28" s="69" t="str">
        <f ca="1">IF(AND($C28="Goal",EB$8&gt;=$G28,EB$8&lt;=$G28+$H28-1),2,IF(AND($C28="Milestone",EB$8&gt;=$G28,EB$8&lt;=$G28+$H28-1),1,""))</f>
        <v/>
      </c>
      <c r="EC28" s="69" t="str">
        <f ca="1">IF(AND($C28="Goal",EC$8&gt;=$G28,EC$8&lt;=$G28+$H28-1),2,IF(AND($C28="Milestone",EC$8&gt;=$G28,EC$8&lt;=$G28+$H28-1),1,""))</f>
        <v/>
      </c>
      <c r="ED28" s="69" t="str">
        <f ca="1">IF(AND($C28="Goal",ED$8&gt;=$G28,ED$8&lt;=$G28+$H28-1),2,IF(AND($C28="Milestone",ED$8&gt;=$G28,ED$8&lt;=$G28+$H28-1),1,""))</f>
        <v/>
      </c>
      <c r="EE28" s="69" t="str">
        <f ca="1">IF(AND($C28="Goal",EE$8&gt;=$G28,EE$8&lt;=$G28+$H28-1),2,IF(AND($C28="Milestone",EE$8&gt;=$G28,EE$8&lt;=$G28+$H28-1),1,""))</f>
        <v/>
      </c>
      <c r="EF28" s="69" t="str">
        <f ca="1">IF(AND($C28="Goal",EF$8&gt;=$G28,EF$8&lt;=$G28+$H28-1),2,IF(AND($C28="Milestone",EF$8&gt;=$G28,EF$8&lt;=$G28+$H28-1),1,""))</f>
        <v/>
      </c>
      <c r="EG28" s="69" t="str">
        <f ca="1">IF(AND($C28="Goal",EG$8&gt;=$G28,EG$8&lt;=$G28+$H28-1),2,IF(AND($C28="Milestone",EG$8&gt;=$G28,EG$8&lt;=$G28+$H28-1),1,""))</f>
        <v/>
      </c>
      <c r="EH28" s="69" t="str">
        <f ca="1">IF(AND($C28="Goal",EH$8&gt;=$G28,EH$8&lt;=$G28+$H28-1),2,IF(AND($C28="Milestone",EH$8&gt;=$G28,EH$8&lt;=$G28+$H28-1),1,""))</f>
        <v/>
      </c>
      <c r="EI28" s="69" t="str">
        <f ca="1">IF(AND($C28="Goal",EI$8&gt;=$G28,EI$8&lt;=$G28+$H28-1),2,IF(AND($C28="Milestone",EI$8&gt;=$G28,EI$8&lt;=$G28+$H28-1),1,""))</f>
        <v/>
      </c>
      <c r="EJ28" s="69" t="str">
        <f ca="1">IF(AND($C28="Goal",EJ$8&gt;=$G28,EJ$8&lt;=$G28+$H28-1),2,IF(AND($C28="Milestone",EJ$8&gt;=$G28,EJ$8&lt;=$G28+$H28-1),1,""))</f>
        <v/>
      </c>
      <c r="EK28" s="69" t="str">
        <f ca="1">IF(AND($C28="Goal",EK$8&gt;=$G28,EK$8&lt;=$G28+$H28-1),2,IF(AND($C28="Milestone",EK$8&gt;=$G28,EK$8&lt;=$G28+$H28-1),1,""))</f>
        <v/>
      </c>
      <c r="EL28" s="69" t="str">
        <f ca="1">IF(AND($C28="Goal",EL$8&gt;=$G28,EL$8&lt;=$G28+$H28-1),2,IF(AND($C28="Milestone",EL$8&gt;=$G28,EL$8&lt;=$G28+$H28-1),1,""))</f>
        <v/>
      </c>
      <c r="EM28" s="69" t="str">
        <f ca="1">IF(AND($C28="Goal",EM$8&gt;=$G28,EM$8&lt;=$G28+$H28-1),2,IF(AND($C28="Milestone",EM$8&gt;=$G28,EM$8&lt;=$G28+$H28-1),1,""))</f>
        <v/>
      </c>
      <c r="EN28" s="69" t="str">
        <f ca="1">IF(AND($C28="Goal",EN$8&gt;=$G28,EN$8&lt;=$G28+$H28-1),2,IF(AND($C28="Milestone",EN$8&gt;=$G28,EN$8&lt;=$G28+$H28-1),1,""))</f>
        <v/>
      </c>
      <c r="EO28" s="69" t="str">
        <f ca="1">IF(AND($C28="Goal",EO$8&gt;=$G28,EO$8&lt;=$G28+$H28-1),2,IF(AND($C28="Milestone",EO$8&gt;=$G28,EO$8&lt;=$G28+$H28-1),1,""))</f>
        <v/>
      </c>
      <c r="EP28" s="69" t="str">
        <f ca="1">IF(AND($C28="Goal",EP$8&gt;=$G28,EP$8&lt;=$G28+$H28-1),2,IF(AND($C28="Milestone",EP$8&gt;=$G28,EP$8&lt;=$G28+$H28-1),1,""))</f>
        <v/>
      </c>
      <c r="EQ28" s="69" t="str">
        <f ca="1">IF(AND($C28="Goal",EQ$8&gt;=$G28,EQ$8&lt;=$G28+$H28-1),2,IF(AND($C28="Milestone",EQ$8&gt;=$G28,EQ$8&lt;=$G28+$H28-1),1,""))</f>
        <v/>
      </c>
      <c r="ER28" s="69" t="str">
        <f ca="1">IF(AND($C28="Goal",ER$8&gt;=$G28,ER$8&lt;=$G28+$H28-1),2,IF(AND($C28="Milestone",ER$8&gt;=$G28,ER$8&lt;=$G28+$H28-1),1,""))</f>
        <v/>
      </c>
      <c r="ES28" s="69" t="str">
        <f ca="1">IF(AND($C28="Goal",ES$8&gt;=$G28,ES$8&lt;=$G28+$H28-1),2,IF(AND($C28="Milestone",ES$8&gt;=$G28,ES$8&lt;=$G28+$H28-1),1,""))</f>
        <v/>
      </c>
      <c r="ET28" s="69" t="str">
        <f ca="1">IF(AND($C28="Goal",ET$8&gt;=$G28,ET$8&lt;=$G28+$H28-1),2,IF(AND($C28="Milestone",ET$8&gt;=$G28,ET$8&lt;=$G28+$H28-1),1,""))</f>
        <v/>
      </c>
      <c r="EU28" s="69" t="str">
        <f ca="1">IF(AND($C28="Goal",EU$8&gt;=$G28,EU$8&lt;=$G28+$H28-1),2,IF(AND($C28="Milestone",EU$8&gt;=$G28,EU$8&lt;=$G28+$H28-1),1,""))</f>
        <v/>
      </c>
      <c r="EV28" s="69" t="str">
        <f ca="1">IF(AND($C28="Goal",EV$8&gt;=$G28,EV$8&lt;=$G28+$H28-1),2,IF(AND($C28="Milestone",EV$8&gt;=$G28,EV$8&lt;=$G28+$H28-1),1,""))</f>
        <v/>
      </c>
      <c r="EW28" s="69" t="str">
        <f ca="1">IF(AND($C28="Goal",EW$8&gt;=$G28,EW$8&lt;=$G28+$H28-1),2,IF(AND($C28="Milestone",EW$8&gt;=$G28,EW$8&lt;=$G28+$H28-1),1,""))</f>
        <v/>
      </c>
      <c r="EX28" s="69" t="str">
        <f ca="1">IF(AND($C28="Goal",EX$8&gt;=$G28,EX$8&lt;=$G28+$H28-1),2,IF(AND($C28="Milestone",EX$8&gt;=$G28,EX$8&lt;=$G28+$H28-1),1,""))</f>
        <v/>
      </c>
      <c r="EY28" s="69" t="str">
        <f ca="1">IF(AND($C28="Goal",EY$8&gt;=$G28,EY$8&lt;=$G28+$H28-1),2,IF(AND($C28="Milestone",EY$8&gt;=$G28,EY$8&lt;=$G28+$H28-1),1,""))</f>
        <v/>
      </c>
      <c r="EZ28" s="69" t="str">
        <f ca="1">IF(AND($C28="Goal",EZ$8&gt;=$G28,EZ$8&lt;=$G28+$H28-1),2,IF(AND($C28="Milestone",EZ$8&gt;=$G28,EZ$8&lt;=$G28+$H28-1),1,""))</f>
        <v/>
      </c>
      <c r="FA28" s="69" t="str">
        <f ca="1">IF(AND($C28="Goal",FA$8&gt;=$G28,FA$8&lt;=$G28+$H28-1),2,IF(AND($C28="Milestone",FA$8&gt;=$G28,FA$8&lt;=$G28+$H28-1),1,""))</f>
        <v/>
      </c>
      <c r="FB28" s="69" t="str">
        <f ca="1">IF(AND($C28="Goal",FB$8&gt;=$G28,FB$8&lt;=$G28+$H28-1),2,IF(AND($C28="Milestone",FB$8&gt;=$G28,FB$8&lt;=$G28+$H28-1),1,""))</f>
        <v/>
      </c>
      <c r="FC28" s="69" t="str">
        <f ca="1">IF(AND($C28="Goal",FC$8&gt;=$G28,FC$8&lt;=$G28+$H28-1),2,IF(AND($C28="Milestone",FC$8&gt;=$G28,FC$8&lt;=$G28+$H28-1),1,""))</f>
        <v/>
      </c>
      <c r="FD28" s="69" t="str">
        <f ca="1">IF(AND($C28="Goal",FD$8&gt;=$G28,FD$8&lt;=$G28+$H28-1),2,IF(AND($C28="Milestone",FD$8&gt;=$G28,FD$8&lt;=$G28+$H28-1),1,""))</f>
        <v/>
      </c>
      <c r="FE28" s="69" t="str">
        <f ca="1">IF(AND($C28="Goal",FE$8&gt;=$G28,FE$8&lt;=$G28+$H28-1),2,IF(AND($C28="Milestone",FE$8&gt;=$G28,FE$8&lt;=$G28+$H28-1),1,""))</f>
        <v/>
      </c>
      <c r="FF28" s="69" t="str">
        <f ca="1">IF(AND($C28="Goal",FF$8&gt;=$G28,FF$8&lt;=$G28+$H28-1),2,IF(AND($C28="Milestone",FF$8&gt;=$G28,FF$8&lt;=$G28+$H28-1),1,""))</f>
        <v/>
      </c>
      <c r="FG28" s="69" t="str">
        <f ca="1">IF(AND($C28="Goal",FG$8&gt;=$G28,FG$8&lt;=$G28+$H28-1),2,IF(AND($C28="Milestone",FG$8&gt;=$G28,FG$8&lt;=$G28+$H28-1),1,""))</f>
        <v/>
      </c>
      <c r="FH28" s="69" t="str">
        <f ca="1">IF(AND($C28="Goal",FH$8&gt;=$G28,FH$8&lt;=$G28+$H28-1),2,IF(AND($C28="Milestone",FH$8&gt;=$G28,FH$8&lt;=$G28+$H28-1),1,""))</f>
        <v/>
      </c>
      <c r="FI28" s="69" t="str">
        <f ca="1">IF(AND($C28="Goal",FI$8&gt;=$G28,FI$8&lt;=$G28+$H28-1),2,IF(AND($C28="Milestone",FI$8&gt;=$G28,FI$8&lt;=$G28+$H28-1),1,""))</f>
        <v/>
      </c>
      <c r="FJ28" s="69" t="str">
        <f ca="1">IF(AND($C28="Goal",FJ$8&gt;=$G28,FJ$8&lt;=$G28+$H28-1),2,IF(AND($C28="Milestone",FJ$8&gt;=$G28,FJ$8&lt;=$G28+$H28-1),1,""))</f>
        <v/>
      </c>
      <c r="FK28" s="69" t="str">
        <f ca="1">IF(AND($C28="Goal",FK$8&gt;=$G28,FK$8&lt;=$G28+$H28-1),2,IF(AND($C28="Milestone",FK$8&gt;=$G28,FK$8&lt;=$G28+$H28-1),1,""))</f>
        <v/>
      </c>
      <c r="FL28" s="69" t="str">
        <f ca="1">IF(AND($C28="Goal",FL$8&gt;=$G28,FL$8&lt;=$G28+$H28-1),2,IF(AND($C28="Milestone",FL$8&gt;=$G28,FL$8&lt;=$G28+$H28-1),1,""))</f>
        <v/>
      </c>
      <c r="FM28" s="69" t="str">
        <f ca="1">IF(AND($C28="Goal",FM$8&gt;=$G28,FM$8&lt;=$G28+$H28-1),2,IF(AND($C28="Milestone",FM$8&gt;=$G28,FM$8&lt;=$G28+$H28-1),1,""))</f>
        <v/>
      </c>
      <c r="FN28" s="69" t="str">
        <f ca="1">IF(AND($C28="Goal",FN$8&gt;=$G28,FN$8&lt;=$G28+$H28-1),2,IF(AND($C28="Milestone",FN$8&gt;=$G28,FN$8&lt;=$G28+$H28-1),1,""))</f>
        <v/>
      </c>
      <c r="FO28" s="69" t="str">
        <f ca="1">IF(AND($C28="Goal",FO$8&gt;=$G28,FO$8&lt;=$G28+$H28-1),2,IF(AND($C28="Milestone",FO$8&gt;=$G28,FO$8&lt;=$G28+$H28-1),1,""))</f>
        <v/>
      </c>
      <c r="FP28" s="69" t="str">
        <f ca="1">IF(AND($C28="Goal",FP$8&gt;=$G28,FP$8&lt;=$G28+$H28-1),2,IF(AND($C28="Milestone",FP$8&gt;=$G28,FP$8&lt;=$G28+$H28-1),1,""))</f>
        <v/>
      </c>
      <c r="FQ28" s="69" t="str">
        <f ca="1">IF(AND($C28="Goal",FQ$8&gt;=$G28,FQ$8&lt;=$G28+$H28-1),2,IF(AND($C28="Milestone",FQ$8&gt;=$G28,FQ$8&lt;=$G28+$H28-1),1,""))</f>
        <v/>
      </c>
      <c r="FR28" s="69" t="str">
        <f ca="1">IF(AND($C28="Goal",FR$8&gt;=$G28,FR$8&lt;=$G28+$H28-1),2,IF(AND($C28="Milestone",FR$8&gt;=$G28,FR$8&lt;=$G28+$H28-1),1,""))</f>
        <v/>
      </c>
      <c r="FS28" s="69" t="str">
        <f ca="1">IF(AND($C28="Goal",FS$8&gt;=$G28,FS$8&lt;=$G28+$H28-1),2,IF(AND($C28="Milestone",FS$8&gt;=$G28,FS$8&lt;=$G28+$H28-1),1,""))</f>
        <v/>
      </c>
      <c r="FT28" s="69" t="str">
        <f ca="1">IF(AND($C28="Goal",FT$8&gt;=$G28,FT$8&lt;=$G28+$H28-1),2,IF(AND($C28="Milestone",FT$8&gt;=$G28,FT$8&lt;=$G28+$H28-1),1,""))</f>
        <v/>
      </c>
      <c r="FU28" s="69" t="str">
        <f ca="1">IF(AND($C28="Goal",FU$8&gt;=$G28,FU$8&lt;=$G28+$H28-1),2,IF(AND($C28="Milestone",FU$8&gt;=$G28,FU$8&lt;=$G28+$H28-1),1,""))</f>
        <v/>
      </c>
      <c r="FV28" s="69" t="str">
        <f ca="1">IF(AND($C28="Goal",FV$8&gt;=$G28,FV$8&lt;=$G28+$H28-1),2,IF(AND($C28="Milestone",FV$8&gt;=$G28,FV$8&lt;=$G28+$H28-1),1,""))</f>
        <v/>
      </c>
      <c r="FW28" s="69" t="str">
        <f ca="1">IF(AND($C28="Goal",FW$8&gt;=$G28,FW$8&lt;=$G28+$H28-1),2,IF(AND($C28="Milestone",FW$8&gt;=$G28,FW$8&lt;=$G28+$H28-1),1,""))</f>
        <v/>
      </c>
      <c r="FX28" s="69" t="str">
        <f ca="1">IF(AND($C28="Goal",FX$8&gt;=$G28,FX$8&lt;=$G28+$H28-1),2,IF(AND($C28="Milestone",FX$8&gt;=$G28,FX$8&lt;=$G28+$H28-1),1,""))</f>
        <v/>
      </c>
      <c r="FY28" s="69" t="str">
        <f ca="1">IF(AND($C28="Goal",FY$8&gt;=$G28,FY$8&lt;=$G28+$H28-1),2,IF(AND($C28="Milestone",FY$8&gt;=$G28,FY$8&lt;=$G28+$H28-1),1,""))</f>
        <v/>
      </c>
      <c r="FZ28" s="69" t="str">
        <f ca="1">IF(AND($C28="Goal",FZ$8&gt;=$G28,FZ$8&lt;=$G28+$H28-1),2,IF(AND($C28="Milestone",FZ$8&gt;=$G28,FZ$8&lt;=$G28+$H28-1),1,""))</f>
        <v/>
      </c>
      <c r="GA28" s="69" t="str">
        <f ca="1">IF(AND($C28="Goal",GA$8&gt;=$G28,GA$8&lt;=$G28+$H28-1),2,IF(AND($C28="Milestone",GA$8&gt;=$G28,GA$8&lt;=$G28+$H28-1),1,""))</f>
        <v/>
      </c>
      <c r="GB28" s="69" t="str">
        <f ca="1">IF(AND($C28="Goal",GB$8&gt;=$G28,GB$8&lt;=$G28+$H28-1),2,IF(AND($C28="Milestone",GB$8&gt;=$G28,GB$8&lt;=$G28+$H28-1),1,""))</f>
        <v/>
      </c>
      <c r="GC28" s="69" t="str">
        <f ca="1">IF(AND($C28="Goal",GC$8&gt;=$G28,GC$8&lt;=$G28+$H28-1),2,IF(AND($C28="Milestone",GC$8&gt;=$G28,GC$8&lt;=$G28+$H28-1),1,""))</f>
        <v/>
      </c>
      <c r="GD28" s="69" t="str">
        <f ca="1">IF(AND($C28="Goal",GD$8&gt;=$G28,GD$8&lt;=$G28+$H28-1),2,IF(AND($C28="Milestone",GD$8&gt;=$G28,GD$8&lt;=$G28+$H28-1),1,""))</f>
        <v/>
      </c>
      <c r="GE28" s="69" t="str">
        <f ca="1">IF(AND($C28="Goal",GE$8&gt;=$G28,GE$8&lt;=$G28+$H28-1),2,IF(AND($C28="Milestone",GE$8&gt;=$G28,GE$8&lt;=$G28+$H28-1),1,""))</f>
        <v/>
      </c>
      <c r="GF28" s="69" t="str">
        <f ca="1">IF(AND($C28="Goal",GF$8&gt;=$G28,GF$8&lt;=$G28+$H28-1),2,IF(AND($C28="Milestone",GF$8&gt;=$G28,GF$8&lt;=$G28+$H28-1),1,""))</f>
        <v/>
      </c>
      <c r="GG28" s="69" t="str">
        <f ca="1">IF(AND($C28="Goal",GG$8&gt;=$G28,GG$8&lt;=$G28+$H28-1),2,IF(AND($C28="Milestone",GG$8&gt;=$G28,GG$8&lt;=$G28+$H28-1),1,""))</f>
        <v/>
      </c>
      <c r="GH28" s="69" t="str">
        <f ca="1">IF(AND($C28="Goal",GH$8&gt;=$G28,GH$8&lt;=$G28+$H28-1),2,IF(AND($C28="Milestone",GH$8&gt;=$G28,GH$8&lt;=$G28+$H28-1),1,""))</f>
        <v/>
      </c>
      <c r="GI28" s="69" t="str">
        <f ca="1">IF(AND($C28="Goal",GI$8&gt;=$G28,GI$8&lt;=$G28+$H28-1),2,IF(AND($C28="Milestone",GI$8&gt;=$G28,GI$8&lt;=$G28+$H28-1),1,""))</f>
        <v/>
      </c>
      <c r="GJ28" s="69" t="str">
        <f ca="1">IF(AND($C28="Goal",GJ$8&gt;=$G28,GJ$8&lt;=$G28+$H28-1),2,IF(AND($C28="Milestone",GJ$8&gt;=$G28,GJ$8&lt;=$G28+$H28-1),1,""))</f>
        <v/>
      </c>
      <c r="GK28" s="69" t="str">
        <f ca="1">IF(AND($C28="Goal",GK$8&gt;=$G28,GK$8&lt;=$G28+$H28-1),2,IF(AND($C28="Milestone",GK$8&gt;=$G28,GK$8&lt;=$G28+$H28-1),1,""))</f>
        <v/>
      </c>
      <c r="GL28" s="69" t="str">
        <f ca="1">IF(AND($C28="Goal",GL$8&gt;=$G28,GL$8&lt;=$G28+$H28-1),2,IF(AND($C28="Milestone",GL$8&gt;=$G28,GL$8&lt;=$G28+$H28-1),1,""))</f>
        <v/>
      </c>
      <c r="GM28" s="69" t="str">
        <f ca="1">IF(AND($C28="Goal",GM$8&gt;=$G28,GM$8&lt;=$G28+$H28-1),2,IF(AND($C28="Milestone",GM$8&gt;=$G28,GM$8&lt;=$G28+$H28-1),1,""))</f>
        <v/>
      </c>
      <c r="GN28" s="69" t="str">
        <f ca="1">IF(AND($C28="Goal",GN$8&gt;=$G28,GN$8&lt;=$G28+$H28-1),2,IF(AND($C28="Milestone",GN$8&gt;=$G28,GN$8&lt;=$G28+$H28-1),1,""))</f>
        <v/>
      </c>
      <c r="GO28" s="69" t="str">
        <f ca="1">IF(AND($C28="Goal",GO$8&gt;=$G28,GO$8&lt;=$G28+$H28-1),2,IF(AND($C28="Milestone",GO$8&gt;=$G28,GO$8&lt;=$G28+$H28-1),1,""))</f>
        <v/>
      </c>
      <c r="GP28" s="69" t="str">
        <f ca="1">IF(AND($C28="Goal",GP$8&gt;=$G28,GP$8&lt;=$G28+$H28-1),2,IF(AND($C28="Milestone",GP$8&gt;=$G28,GP$8&lt;=$G28+$H28-1),1,""))</f>
        <v/>
      </c>
      <c r="GQ28" s="69" t="str">
        <f ca="1">IF(AND($C28="Goal",GQ$8&gt;=$G28,GQ$8&lt;=$G28+$H28-1),2,IF(AND($C28="Milestone",GQ$8&gt;=$G28,GQ$8&lt;=$G28+$H28-1),1,""))</f>
        <v/>
      </c>
      <c r="GR28" s="69" t="str">
        <f ca="1">IF(AND($C28="Goal",GR$8&gt;=$G28,GR$8&lt;=$G28+$H28-1),2,IF(AND($C28="Milestone",GR$8&gt;=$G28,GR$8&lt;=$G28+$H28-1),1,""))</f>
        <v/>
      </c>
      <c r="GS28" s="69" t="str">
        <f ca="1">IF(AND($C28="Goal",GS$8&gt;=$G28,GS$8&lt;=$G28+$H28-1),2,IF(AND($C28="Milestone",GS$8&gt;=$G28,GS$8&lt;=$G28+$H28-1),1,""))</f>
        <v/>
      </c>
      <c r="GT28" s="69" t="str">
        <f ca="1">IF(AND($C28="Goal",GT$8&gt;=$G28,GT$8&lt;=$G28+$H28-1),2,IF(AND($C28="Milestone",GT$8&gt;=$G28,GT$8&lt;=$G28+$H28-1),1,""))</f>
        <v/>
      </c>
      <c r="GU28" s="69" t="str">
        <f ca="1">IF(AND($C28="Goal",GU$8&gt;=$G28,GU$8&lt;=$G28+$H28-1),2,IF(AND($C28="Milestone",GU$8&gt;=$G28,GU$8&lt;=$G28+$H28-1),1,""))</f>
        <v/>
      </c>
      <c r="GV28" s="69" t="str">
        <f ca="1">IF(AND($C28="Goal",GV$8&gt;=$G28,GV$8&lt;=$G28+$H28-1),2,IF(AND($C28="Milestone",GV$8&gt;=$G28,GV$8&lt;=$G28+$H28-1),1,""))</f>
        <v/>
      </c>
      <c r="GW28" s="69" t="str">
        <f ca="1">IF(AND($C28="Goal",GW$8&gt;=$G28,GW$8&lt;=$G28+$H28-1),2,IF(AND($C28="Milestone",GW$8&gt;=$G28,GW$8&lt;=$G28+$H28-1),1,""))</f>
        <v/>
      </c>
      <c r="GX28" s="69" t="str">
        <f ca="1">IF(AND($C28="Goal",GX$8&gt;=$G28,GX$8&lt;=$G28+$H28-1),2,IF(AND($C28="Milestone",GX$8&gt;=$G28,GX$8&lt;=$G28+$H28-1),1,""))</f>
        <v/>
      </c>
      <c r="GY28" s="69" t="str">
        <f ca="1">IF(AND($C28="Goal",GY$8&gt;=$G28,GY$8&lt;=$G28+$H28-1),2,IF(AND($C28="Milestone",GY$8&gt;=$G28,GY$8&lt;=$G28+$H28-1),1,""))</f>
        <v/>
      </c>
      <c r="GZ28" s="69" t="str">
        <f ca="1">IF(AND($C28="Goal",GZ$8&gt;=$G28,GZ$8&lt;=$G28+$H28-1),2,IF(AND($C28="Milestone",GZ$8&gt;=$G28,GZ$8&lt;=$G28+$H28-1),1,""))</f>
        <v/>
      </c>
      <c r="HA28" s="69" t="str">
        <f ca="1">IF(AND($C28="Goal",HA$8&gt;=$G28,HA$8&lt;=$G28+$H28-1),2,IF(AND($C28="Milestone",HA$8&gt;=$G28,HA$8&lt;=$G28+$H28-1),1,""))</f>
        <v/>
      </c>
      <c r="HB28" s="69" t="str">
        <f ca="1">IF(AND($C28="Goal",HB$8&gt;=$G28,HB$8&lt;=$G28+$H28-1),2,IF(AND($C28="Milestone",HB$8&gt;=$G28,HB$8&lt;=$G28+$H28-1),1,""))</f>
        <v/>
      </c>
      <c r="HC28" s="69" t="str">
        <f ca="1">IF(AND($C28="Goal",HC$8&gt;=$G28,HC$8&lt;=$G28+$H28-1),2,IF(AND($C28="Milestone",HC$8&gt;=$G28,HC$8&lt;=$G28+$H28-1),1,""))</f>
        <v/>
      </c>
      <c r="HD28" s="69" t="str">
        <f ca="1">IF(AND($C28="Goal",HD$8&gt;=$G28,HD$8&lt;=$G28+$H28-1),2,IF(AND($C28="Milestone",HD$8&gt;=$G28,HD$8&lt;=$G28+$H28-1),1,""))</f>
        <v/>
      </c>
      <c r="HE28" s="69" t="str">
        <f ca="1">IF(AND($C28="Goal",HE$8&gt;=$G28,HE$8&lt;=$G28+$H28-1),2,IF(AND($C28="Milestone",HE$8&gt;=$G28,HE$8&lt;=$G28+$H28-1),1,""))</f>
        <v/>
      </c>
      <c r="HF28" s="69" t="str">
        <f ca="1">IF(AND($C28="Goal",HF$8&gt;=$G28,HF$8&lt;=$G28+$H28-1),2,IF(AND($C28="Milestone",HF$8&gt;=$G28,HF$8&lt;=$G28+$H28-1),1,""))</f>
        <v/>
      </c>
      <c r="HG28" s="69" t="str">
        <f ca="1">IF(AND($C28="Goal",HG$8&gt;=$G28,HG$8&lt;=$G28+$H28-1),2,IF(AND($C28="Milestone",HG$8&gt;=$G28,HG$8&lt;=$G28+$H28-1),1,""))</f>
        <v/>
      </c>
      <c r="HH28" s="69" t="str">
        <f ca="1">IF(AND($C28="Goal",HH$8&gt;=$G28,HH$8&lt;=$G28+$H28-1),2,IF(AND($C28="Milestone",HH$8&gt;=$G28,HH$8&lt;=$G28+$H28-1),1,""))</f>
        <v/>
      </c>
      <c r="HI28" s="69" t="str">
        <f ca="1">IF(AND($C28="Goal",HI$8&gt;=$G28,HI$8&lt;=$G28+$H28-1),2,IF(AND($C28="Milestone",HI$8&gt;=$G28,HI$8&lt;=$G28+$H28-1),1,""))</f>
        <v/>
      </c>
      <c r="HJ28" s="69" t="str">
        <f ca="1">IF(AND($C28="Goal",HJ$8&gt;=$G28,HJ$8&lt;=$G28+$H28-1),2,IF(AND($C28="Milestone",HJ$8&gt;=$G28,HJ$8&lt;=$G28+$H28-1),1,""))</f>
        <v/>
      </c>
      <c r="HK28" s="69" t="str">
        <f ca="1">IF(AND($C28="Goal",HK$8&gt;=$G28,HK$8&lt;=$G28+$H28-1),2,IF(AND($C28="Milestone",HK$8&gt;=$G28,HK$8&lt;=$G28+$H28-1),1,""))</f>
        <v/>
      </c>
      <c r="HL28" s="69" t="str">
        <f ca="1">IF(AND($C28="Goal",HL$8&gt;=$G28,HL$8&lt;=$G28+$H28-1),2,IF(AND($C28="Milestone",HL$8&gt;=$G28,HL$8&lt;=$G28+$H28-1),1,""))</f>
        <v/>
      </c>
      <c r="HM28" s="69" t="str">
        <f ca="1">IF(AND($C28="Goal",HM$8&gt;=$G28,HM$8&lt;=$G28+$H28-1),2,IF(AND($C28="Milestone",HM$8&gt;=$G28,HM$8&lt;=$G28+$H28-1),1,""))</f>
        <v/>
      </c>
      <c r="HN28" s="69" t="str">
        <f ca="1">IF(AND($C28="Goal",HN$8&gt;=$G28,HN$8&lt;=$G28+$H28-1),2,IF(AND($C28="Milestone",HN$8&gt;=$G28,HN$8&lt;=$G28+$H28-1),1,""))</f>
        <v/>
      </c>
      <c r="HO28" s="69" t="str">
        <f ca="1">IF(AND($C28="Goal",HO$8&gt;=$G28,HO$8&lt;=$G28+$H28-1),2,IF(AND($C28="Milestone",HO$8&gt;=$G28,HO$8&lt;=$G28+$H28-1),1,""))</f>
        <v/>
      </c>
      <c r="HP28" s="69" t="str">
        <f ca="1">IF(AND($C28="Goal",HP$8&gt;=$G28,HP$8&lt;=$G28+$H28-1),2,IF(AND($C28="Milestone",HP$8&gt;=$G28,HP$8&lt;=$G28+$H28-1),1,""))</f>
        <v/>
      </c>
      <c r="HQ28" s="69" t="str">
        <f ca="1">IF(AND($C28="Goal",HQ$8&gt;=$G28,HQ$8&lt;=$G28+$H28-1),2,IF(AND($C28="Milestone",HQ$8&gt;=$G28,HQ$8&lt;=$G28+$H28-1),1,""))</f>
        <v/>
      </c>
      <c r="HR28" s="69" t="str">
        <f ca="1">IF(AND($C28="Goal",HR$8&gt;=$G28,HR$8&lt;=$G28+$H28-1),2,IF(AND($C28="Milestone",HR$8&gt;=$G28,HR$8&lt;=$G28+$H28-1),1,""))</f>
        <v/>
      </c>
      <c r="HS28" s="69" t="str">
        <f ca="1">IF(AND($C28="Goal",HS$8&gt;=$G28,HS$8&lt;=$G28+$H28-1),2,IF(AND($C28="Milestone",HS$8&gt;=$G28,HS$8&lt;=$G28+$H28-1),1,""))</f>
        <v/>
      </c>
      <c r="HT28" s="69" t="str">
        <f ca="1">IF(AND($C28="Goal",HT$8&gt;=$G28,HT$8&lt;=$G28+$H28-1),2,IF(AND($C28="Milestone",HT$8&gt;=$G28,HT$8&lt;=$G28+$H28-1),1,""))</f>
        <v/>
      </c>
      <c r="HU28" s="69" t="str">
        <f ca="1">IF(AND($C28="Goal",HU$8&gt;=$G28,HU$8&lt;=$G28+$H28-1),2,IF(AND($C28="Milestone",HU$8&gt;=$G28,HU$8&lt;=$G28+$H28-1),1,""))</f>
        <v/>
      </c>
      <c r="HV28" s="69" t="str">
        <f ca="1">IF(AND($C28="Goal",HV$8&gt;=$G28,HV$8&lt;=$G28+$H28-1),2,IF(AND($C28="Milestone",HV$8&gt;=$G28,HV$8&lt;=$G28+$H28-1),1,""))</f>
        <v/>
      </c>
      <c r="HW28" s="69" t="str">
        <f ca="1">IF(AND($C28="Goal",HW$8&gt;=$G28,HW$8&lt;=$G28+$H28-1),2,IF(AND($C28="Milestone",HW$8&gt;=$G28,HW$8&lt;=$G28+$H28-1),1,""))</f>
        <v/>
      </c>
      <c r="HX28" s="69" t="str">
        <f ca="1">IF(AND($C28="Goal",HX$8&gt;=$G28,HX$8&lt;=$G28+$H28-1),2,IF(AND($C28="Milestone",HX$8&gt;=$G28,HX$8&lt;=$G28+$H28-1),1,""))</f>
        <v/>
      </c>
      <c r="HY28" s="69" t="str">
        <f ca="1">IF(AND($C28="Goal",HY$8&gt;=$G28,HY$8&lt;=$G28+$H28-1),2,IF(AND($C28="Milestone",HY$8&gt;=$G28,HY$8&lt;=$G28+$H28-1),1,""))</f>
        <v/>
      </c>
      <c r="HZ28" s="69" t="str">
        <f ca="1">IF(AND($C28="Goal",HZ$8&gt;=$G28,HZ$8&lt;=$G28+$H28-1),2,IF(AND($C28="Milestone",HZ$8&gt;=$G28,HZ$8&lt;=$G28+$H28-1),1,""))</f>
        <v/>
      </c>
      <c r="IA28" s="69" t="str">
        <f ca="1">IF(AND($C28="Goal",IA$8&gt;=$G28,IA$8&lt;=$G28+$H28-1),2,IF(AND($C28="Milestone",IA$8&gt;=$G28,IA$8&lt;=$G28+$H28-1),1,""))</f>
        <v/>
      </c>
      <c r="IB28" s="69" t="str">
        <f ca="1">IF(AND($C28="Goal",IB$8&gt;=$G28,IB$8&lt;=$G28+$H28-1),2,IF(AND($C28="Milestone",IB$8&gt;=$G28,IB$8&lt;=$G28+$H28-1),1,""))</f>
        <v/>
      </c>
      <c r="IC28" s="69" t="str">
        <f ca="1">IF(AND($C28="Goal",IC$8&gt;=$G28,IC$8&lt;=$G28+$H28-1),2,IF(AND($C28="Milestone",IC$8&gt;=$G28,IC$8&lt;=$G28+$H28-1),1,""))</f>
        <v/>
      </c>
      <c r="ID28" s="69" t="str">
        <f ca="1">IF(AND($C28="Goal",ID$8&gt;=$G28,ID$8&lt;=$G28+$H28-1),2,IF(AND($C28="Milestone",ID$8&gt;=$G28,ID$8&lt;=$G28+$H28-1),1,""))</f>
        <v/>
      </c>
      <c r="IE28" s="69" t="str">
        <f ca="1">IF(AND($C28="Goal",IE$8&gt;=$G28,IE$8&lt;=$G28+$H28-1),2,IF(AND($C28="Milestone",IE$8&gt;=$G28,IE$8&lt;=$G28+$H28-1),1,""))</f>
        <v/>
      </c>
      <c r="IF28" s="69" t="str">
        <f ca="1">IF(AND($C28="Goal",IF$8&gt;=$G28,IF$8&lt;=$G28+$H28-1),2,IF(AND($C28="Milestone",IF$8&gt;=$G28,IF$8&lt;=$G28+$H28-1),1,""))</f>
        <v/>
      </c>
      <c r="IG28" s="69" t="str">
        <f ca="1">IF(AND($C28="Goal",IG$8&gt;=$G28,IG$8&lt;=$G28+$H28-1),2,IF(AND($C28="Milestone",IG$8&gt;=$G28,IG$8&lt;=$G28+$H28-1),1,""))</f>
        <v/>
      </c>
      <c r="IH28" s="69" t="str">
        <f ca="1">IF(AND($C28="Goal",IH$8&gt;=$G28,IH$8&lt;=$G28+$H28-1),2,IF(AND($C28="Milestone",IH$8&gt;=$G28,IH$8&lt;=$G28+$H28-1),1,""))</f>
        <v/>
      </c>
      <c r="II28" s="69" t="str">
        <f ca="1">IF(AND($C28="Goal",II$8&gt;=$G28,II$8&lt;=$G28+$H28-1),2,IF(AND($C28="Milestone",II$8&gt;=$G28,II$8&lt;=$G28+$H28-1),1,""))</f>
        <v/>
      </c>
      <c r="IJ28" s="69" t="str">
        <f ca="1">IF(AND($C28="Goal",IJ$8&gt;=$G28,IJ$8&lt;=$G28+$H28-1),2,IF(AND($C28="Milestone",IJ$8&gt;=$G28,IJ$8&lt;=$G28+$H28-1),1,""))</f>
        <v/>
      </c>
      <c r="IK28" s="69" t="str">
        <f ca="1">IF(AND($C28="Goal",IK$8&gt;=$G28,IK$8&lt;=$G28+$H28-1),2,IF(AND($C28="Milestone",IK$8&gt;=$G28,IK$8&lt;=$G28+$H28-1),1,""))</f>
        <v/>
      </c>
      <c r="IL28" s="69" t="str">
        <f ca="1">IF(AND($C28="Goal",IL$8&gt;=$G28,IL$8&lt;=$G28+$H28-1),2,IF(AND($C28="Milestone",IL$8&gt;=$G28,IL$8&lt;=$G28+$H28-1),1,""))</f>
        <v/>
      </c>
      <c r="IM28" s="69" t="str">
        <f ca="1">IF(AND($C28="Goal",IM$8&gt;=$G28,IM$8&lt;=$G28+$H28-1),2,IF(AND($C28="Milestone",IM$8&gt;=$G28,IM$8&lt;=$G28+$H28-1),1,""))</f>
        <v/>
      </c>
      <c r="IN28" s="69" t="str">
        <f ca="1">IF(AND($C28="Goal",IN$8&gt;=$G28,IN$8&lt;=$G28+$H28-1),2,IF(AND($C28="Milestone",IN$8&gt;=$G28,IN$8&lt;=$G28+$H28-1),1,""))</f>
        <v/>
      </c>
      <c r="IO28" s="69" t="str">
        <f ca="1">IF(AND($C28="Goal",IO$8&gt;=$G28,IO$8&lt;=$G28+$H28-1),2,IF(AND($C28="Milestone",IO$8&gt;=$G28,IO$8&lt;=$G28+$H28-1),1,""))</f>
        <v/>
      </c>
      <c r="IP28" s="69" t="str">
        <f ca="1">IF(AND($C28="Goal",IP$8&gt;=$G28,IP$8&lt;=$G28+$H28-1),2,IF(AND($C28="Milestone",IP$8&gt;=$G28,IP$8&lt;=$G28+$H28-1),1,""))</f>
        <v/>
      </c>
      <c r="IQ28" s="69" t="str">
        <f ca="1">IF(AND($C28="Goal",IQ$8&gt;=$G28,IQ$8&lt;=$G28+$H28-1),2,IF(AND($C28="Milestone",IQ$8&gt;=$G28,IQ$8&lt;=$G28+$H28-1),1,""))</f>
        <v/>
      </c>
      <c r="IR28" s="69" t="str">
        <f ca="1">IF(AND($C28="Goal",IR$8&gt;=$G28,IR$8&lt;=$G28+$H28-1),2,IF(AND($C28="Milestone",IR$8&gt;=$G28,IR$8&lt;=$G28+$H28-1),1,""))</f>
        <v/>
      </c>
      <c r="IS28" s="69" t="str">
        <f ca="1">IF(AND($C28="Goal",IS$8&gt;=$G28,IS$8&lt;=$G28+$H28-1),2,IF(AND($C28="Milestone",IS$8&gt;=$G28,IS$8&lt;=$G28+$H28-1),1,""))</f>
        <v/>
      </c>
      <c r="IT28" s="69" t="str">
        <f ca="1">IF(AND($C28="Goal",IT$8&gt;=$G28,IT$8&lt;=$G28+$H28-1),2,IF(AND($C28="Milestone",IT$8&gt;=$G28,IT$8&lt;=$G28+$H28-1),1,""))</f>
        <v/>
      </c>
      <c r="IU28" s="69" t="str">
        <f ca="1">IF(AND($C28="Goal",IU$8&gt;=$G28,IU$8&lt;=$G28+$H28-1),2,IF(AND($C28="Milestone",IU$8&gt;=$G28,IU$8&lt;=$G28+$H28-1),1,""))</f>
        <v/>
      </c>
      <c r="IV28" s="69" t="str">
        <f ca="1">IF(AND($C28="Goal",IV$8&gt;=$G28,IV$8&lt;=$G28+$H28-1),2,IF(AND($C28="Milestone",IV$8&gt;=$G28,IV$8&lt;=$G28+$H28-1),1,""))</f>
        <v/>
      </c>
      <c r="IW28" s="69" t="str">
        <f ca="1">IF(AND($C28="Goal",IW$8&gt;=$G28,IW$8&lt;=$G28+$H28-1),2,IF(AND($C28="Milestone",IW$8&gt;=$G28,IW$8&lt;=$G28+$H28-1),1,""))</f>
        <v/>
      </c>
      <c r="IX28" s="69" t="str">
        <f ca="1">IF(AND($C28="Goal",IX$8&gt;=$G28,IX$8&lt;=$G28+$H28-1),2,IF(AND($C28="Milestone",IX$8&gt;=$G28,IX$8&lt;=$G28+$H28-1),1,""))</f>
        <v/>
      </c>
      <c r="IY28" s="69" t="str">
        <f ca="1">IF(AND($C28="Goal",IY$8&gt;=$G28,IY$8&lt;=$G28+$H28-1),2,IF(AND($C28="Milestone",IY$8&gt;=$G28,IY$8&lt;=$G28+$H28-1),1,""))</f>
        <v/>
      </c>
      <c r="IZ28" s="69" t="str">
        <f ca="1">IF(AND($C28="Goal",IZ$8&gt;=$G28,IZ$8&lt;=$G28+$H28-1),2,IF(AND($C28="Milestone",IZ$8&gt;=$G28,IZ$8&lt;=$G28+$H28-1),1,""))</f>
        <v/>
      </c>
      <c r="JA28" s="69" t="str">
        <f ca="1">IF(AND($C28="Goal",JA$8&gt;=$G28,JA$8&lt;=$G28+$H28-1),2,IF(AND($C28="Milestone",JA$8&gt;=$G28,JA$8&lt;=$G28+$H28-1),1,""))</f>
        <v/>
      </c>
      <c r="JB28" s="69" t="str">
        <f ca="1">IF(AND($C28="Goal",JB$8&gt;=$G28,JB$8&lt;=$G28+$H28-1),2,IF(AND($C28="Milestone",JB$8&gt;=$G28,JB$8&lt;=$G28+$H28-1),1,""))</f>
        <v/>
      </c>
      <c r="JC28" s="69" t="str">
        <f ca="1">IF(AND($C28="Goal",JC$8&gt;=$G28,JC$8&lt;=$G28+$H28-1),2,IF(AND($C28="Milestone",JC$8&gt;=$G28,JC$8&lt;=$G28+$H28-1),1,""))</f>
        <v/>
      </c>
      <c r="JD28" s="69" t="str">
        <f ca="1">IF(AND($C28="Goal",JD$8&gt;=$G28,JD$8&lt;=$G28+$H28-1),2,IF(AND($C28="Milestone",JD$8&gt;=$G28,JD$8&lt;=$G28+$H28-1),1,""))</f>
        <v/>
      </c>
      <c r="JE28" s="69" t="str">
        <f ca="1">IF(AND($C28="Goal",JE$8&gt;=$G28,JE$8&lt;=$G28+$H28-1),2,IF(AND($C28="Milestone",JE$8&gt;=$G28,JE$8&lt;=$G28+$H28-1),1,""))</f>
        <v/>
      </c>
      <c r="JF28" s="69" t="str">
        <f ca="1">IF(AND($C28="Goal",JF$8&gt;=$G28,JF$8&lt;=$G28+$H28-1),2,IF(AND($C28="Milestone",JF$8&gt;=$G28,JF$8&lt;=$G28+$H28-1),1,""))</f>
        <v/>
      </c>
      <c r="JG28" s="69" t="str">
        <f ca="1">IF(AND($C28="Goal",JG$8&gt;=$G28,JG$8&lt;=$G28+$H28-1),2,IF(AND($C28="Milestone",JG$8&gt;=$G28,JG$8&lt;=$G28+$H28-1),1,""))</f>
        <v/>
      </c>
      <c r="JH28" s="69" t="str">
        <f ca="1">IF(AND($C28="Goal",JH$8&gt;=$G28,JH$8&lt;=$G28+$H28-1),2,IF(AND($C28="Milestone",JH$8&gt;=$G28,JH$8&lt;=$G28+$H28-1),1,""))</f>
        <v/>
      </c>
      <c r="JI28" s="69" t="str">
        <f ca="1">IF(AND($C28="Goal",JI$8&gt;=$G28,JI$8&lt;=$G28+$H28-1),2,IF(AND($C28="Milestone",JI$8&gt;=$G28,JI$8&lt;=$G28+$H28-1),1,""))</f>
        <v/>
      </c>
      <c r="JJ28" s="69" t="str">
        <f ca="1">IF(AND($C28="Goal",JJ$8&gt;=$G28,JJ$8&lt;=$G28+$H28-1),2,IF(AND($C28="Milestone",JJ$8&gt;=$G28,JJ$8&lt;=$G28+$H28-1),1,""))</f>
        <v/>
      </c>
      <c r="JK28" s="69" t="str">
        <f ca="1">IF(AND($C28="Goal",JK$8&gt;=$G28,JK$8&lt;=$G28+$H28-1),2,IF(AND($C28="Milestone",JK$8&gt;=$G28,JK$8&lt;=$G28+$H28-1),1,""))</f>
        <v/>
      </c>
      <c r="JL28" s="69" t="str">
        <f ca="1">IF(AND($C28="Goal",JL$8&gt;=$G28,JL$8&lt;=$G28+$H28-1),2,IF(AND($C28="Milestone",JL$8&gt;=$G28,JL$8&lt;=$G28+$H28-1),1,""))</f>
        <v/>
      </c>
      <c r="JM28" s="69" t="str">
        <f ca="1">IF(AND($C28="Goal",JM$8&gt;=$G28,JM$8&lt;=$G28+$H28-1),2,IF(AND($C28="Milestone",JM$8&gt;=$G28,JM$8&lt;=$G28+$H28-1),1,""))</f>
        <v/>
      </c>
      <c r="JN28" s="69" t="str">
        <f ca="1">IF(AND($C28="Goal",JN$8&gt;=$G28,JN$8&lt;=$G28+$H28-1),2,IF(AND($C28="Milestone",JN$8&gt;=$G28,JN$8&lt;=$G28+$H28-1),1,""))</f>
        <v/>
      </c>
      <c r="JO28" s="69" t="str">
        <f ca="1">IF(AND($C28="Goal",JO$8&gt;=$G28,JO$8&lt;=$G28+$H28-1),2,IF(AND($C28="Milestone",JO$8&gt;=$G28,JO$8&lt;=$G28+$H28-1),1,""))</f>
        <v/>
      </c>
      <c r="JP28" s="69" t="str">
        <f ca="1">IF(AND($C28="Goal",JP$8&gt;=$G28,JP$8&lt;=$G28+$H28-1),2,IF(AND($C28="Milestone",JP$8&gt;=$G28,JP$8&lt;=$G28+$H28-1),1,""))</f>
        <v/>
      </c>
      <c r="JQ28" s="69" t="str">
        <f ca="1">IF(AND($C28="Goal",JQ$8&gt;=$G28,JQ$8&lt;=$G28+$H28-1),2,IF(AND($C28="Milestone",JQ$8&gt;=$G28,JQ$8&lt;=$G28+$H28-1),1,""))</f>
        <v/>
      </c>
      <c r="JR28" s="69" t="str">
        <f ca="1">IF(AND($C28="Goal",JR$8&gt;=$G28,JR$8&lt;=$G28+$H28-1),2,IF(AND($C28="Milestone",JR$8&gt;=$G28,JR$8&lt;=$G28+$H28-1),1,""))</f>
        <v/>
      </c>
      <c r="JS28" s="69" t="str">
        <f ca="1">IF(AND($C28="Goal",JS$8&gt;=$G28,JS$8&lt;=$G28+$H28-1),2,IF(AND($C28="Milestone",JS$8&gt;=$G28,JS$8&lt;=$G28+$H28-1),1,""))</f>
        <v/>
      </c>
      <c r="JT28" s="69" t="str">
        <f ca="1">IF(AND($C28="Goal",JT$8&gt;=$G28,JT$8&lt;=$G28+$H28-1),2,IF(AND($C28="Milestone",JT$8&gt;=$G28,JT$8&lt;=$G28+$H28-1),1,""))</f>
        <v/>
      </c>
      <c r="JU28" s="69" t="str">
        <f ca="1">IF(AND($C28="Goal",JU$8&gt;=$G28,JU$8&lt;=$G28+$H28-1),2,IF(AND($C28="Milestone",JU$8&gt;=$G28,JU$8&lt;=$G28+$H28-1),1,""))</f>
        <v/>
      </c>
      <c r="JV28" s="69" t="str">
        <f ca="1">IF(AND($C28="Goal",JV$8&gt;=$G28,JV$8&lt;=$G28+$H28-1),2,IF(AND($C28="Milestone",JV$8&gt;=$G28,JV$8&lt;=$G28+$H28-1),1,""))</f>
        <v/>
      </c>
      <c r="JW28" s="69" t="str">
        <f ca="1">IF(AND($C28="Goal",JW$8&gt;=$G28,JW$8&lt;=$G28+$H28-1),2,IF(AND($C28="Milestone",JW$8&gt;=$G28,JW$8&lt;=$G28+$H28-1),1,""))</f>
        <v/>
      </c>
      <c r="JX28" s="69" t="str">
        <f ca="1">IF(AND($C28="Goal",JX$8&gt;=$G28,JX$8&lt;=$G28+$H28-1),2,IF(AND($C28="Milestone",JX$8&gt;=$G28,JX$8&lt;=$G28+$H28-1),1,""))</f>
        <v/>
      </c>
      <c r="JY28" s="69" t="str">
        <f ca="1">IF(AND($C28="Goal",JY$8&gt;=$G28,JY$8&lt;=$G28+$H28-1),2,IF(AND($C28="Milestone",JY$8&gt;=$G28,JY$8&lt;=$G28+$H28-1),1,""))</f>
        <v/>
      </c>
      <c r="JZ28" s="69" t="str">
        <f ca="1">IF(AND($C28="Goal",JZ$8&gt;=$G28,JZ$8&lt;=$G28+$H28-1),2,IF(AND($C28="Milestone",JZ$8&gt;=$G28,JZ$8&lt;=$G28+$H28-1),1,""))</f>
        <v/>
      </c>
      <c r="KA28" s="69" t="str">
        <f ca="1">IF(AND($C28="Goal",KA$8&gt;=$G28,KA$8&lt;=$G28+$H28-1),2,IF(AND($C28="Milestone",KA$8&gt;=$G28,KA$8&lt;=$G28+$H28-1),1,""))</f>
        <v/>
      </c>
      <c r="KB28" s="69" t="str">
        <f ca="1">IF(AND($C28="Goal",KB$8&gt;=$G28,KB$8&lt;=$G28+$H28-1),2,IF(AND($C28="Milestone",KB$8&gt;=$G28,KB$8&lt;=$G28+$H28-1),1,""))</f>
        <v/>
      </c>
      <c r="KC28" s="69" t="str">
        <f ca="1">IF(AND($C28="Goal",KC$8&gt;=$G28,KC$8&lt;=$G28+$H28-1),2,IF(AND($C28="Milestone",KC$8&gt;=$G28,KC$8&lt;=$G28+$H28-1),1,""))</f>
        <v/>
      </c>
      <c r="KD28" s="69" t="str">
        <f ca="1">IF(AND($C28="Goal",KD$8&gt;=$G28,KD$8&lt;=$G28+$H28-1),2,IF(AND($C28="Milestone",KD$8&gt;=$G28,KD$8&lt;=$G28+$H28-1),1,""))</f>
        <v/>
      </c>
      <c r="KE28" s="69" t="str">
        <f ca="1">IF(AND($C28="Goal",KE$8&gt;=$G28,KE$8&lt;=$G28+$H28-1),2,IF(AND($C28="Milestone",KE$8&gt;=$G28,KE$8&lt;=$G28+$H28-1),1,""))</f>
        <v/>
      </c>
      <c r="KF28" s="69" t="str">
        <f ca="1">IF(AND($C28="Goal",KF$8&gt;=$G28,KF$8&lt;=$G28+$H28-1),2,IF(AND($C28="Milestone",KF$8&gt;=$G28,KF$8&lt;=$G28+$H28-1),1,""))</f>
        <v/>
      </c>
      <c r="KG28" s="69" t="str">
        <f ca="1">IF(AND($C28="Goal",KG$8&gt;=$G28,KG$8&lt;=$G28+$H28-1),2,IF(AND($C28="Milestone",KG$8&gt;=$G28,KG$8&lt;=$G28+$H28-1),1,""))</f>
        <v/>
      </c>
      <c r="KH28" s="69" t="str">
        <f ca="1">IF(AND($C28="Goal",KH$8&gt;=$G28,KH$8&lt;=$G28+$H28-1),2,IF(AND($C28="Milestone",KH$8&gt;=$G28,KH$8&lt;=$G28+$H28-1),1,""))</f>
        <v/>
      </c>
      <c r="KI28" s="69" t="str">
        <f ca="1">IF(AND($C28="Goal",KI$8&gt;=$G28,KI$8&lt;=$G28+$H28-1),2,IF(AND($C28="Milestone",KI$8&gt;=$G28,KI$8&lt;=$G28+$H28-1),1,""))</f>
        <v/>
      </c>
      <c r="KJ28" s="69" t="str">
        <f ca="1">IF(AND($C28="Goal",KJ$8&gt;=$G28,KJ$8&lt;=$G28+$H28-1),2,IF(AND($C28="Milestone",KJ$8&gt;=$G28,KJ$8&lt;=$G28+$H28-1),1,""))</f>
        <v/>
      </c>
      <c r="KK28" s="69" t="str">
        <f ca="1">IF(AND($C28="Goal",KK$8&gt;=$G28,KK$8&lt;=$G28+$H28-1),2,IF(AND($C28="Milestone",KK$8&gt;=$G28,KK$8&lt;=$G28+$H28-1),1,""))</f>
        <v/>
      </c>
      <c r="KL28" s="69" t="str">
        <f ca="1">IF(AND($C28="Goal",KL$8&gt;=$G28,KL$8&lt;=$G28+$H28-1),2,IF(AND($C28="Milestone",KL$8&gt;=$G28,KL$8&lt;=$G28+$H28-1),1,""))</f>
        <v/>
      </c>
      <c r="KM28" s="69" t="str">
        <f ca="1">IF(AND($C28="Goal",KM$8&gt;=$G28,KM$8&lt;=$G28+$H28-1),2,IF(AND($C28="Milestone",KM$8&gt;=$G28,KM$8&lt;=$G28+$H28-1),1,""))</f>
        <v/>
      </c>
      <c r="KN28" s="69" t="str">
        <f ca="1">IF(AND($C28="Goal",KN$8&gt;=$G28,KN$8&lt;=$G28+$H28-1),2,IF(AND($C28="Milestone",KN$8&gt;=$G28,KN$8&lt;=$G28+$H28-1),1,""))</f>
        <v/>
      </c>
      <c r="KO28" s="69" t="str">
        <f ca="1">IF(AND($C28="Goal",KO$8&gt;=$G28,KO$8&lt;=$G28+$H28-1),2,IF(AND($C28="Milestone",KO$8&gt;=$G28,KO$8&lt;=$G28+$H28-1),1,""))</f>
        <v/>
      </c>
      <c r="KP28" s="69" t="str">
        <f ca="1">IF(AND($C28="Goal",KP$8&gt;=$G28,KP$8&lt;=$G28+$H28-1),2,IF(AND($C28="Milestone",KP$8&gt;=$G28,KP$8&lt;=$G28+$H28-1),1,""))</f>
        <v/>
      </c>
      <c r="KQ28" s="69" t="str">
        <f ca="1">IF(AND($C28="Goal",KQ$8&gt;=$G28,KQ$8&lt;=$G28+$H28-1),2,IF(AND($C28="Milestone",KQ$8&gt;=$G28,KQ$8&lt;=$G28+$H28-1),1,""))</f>
        <v/>
      </c>
      <c r="KR28" s="69" t="str">
        <f ca="1">IF(AND($C28="Goal",KR$8&gt;=$G28,KR$8&lt;=$G28+$H28-1),2,IF(AND($C28="Milestone",KR$8&gt;=$G28,KR$8&lt;=$G28+$H28-1),1,""))</f>
        <v/>
      </c>
      <c r="KS28" s="69" t="str">
        <f ca="1">IF(AND($C28="Goal",KS$8&gt;=$G28,KS$8&lt;=$G28+$H28-1),2,IF(AND($C28="Milestone",KS$8&gt;=$G28,KS$8&lt;=$G28+$H28-1),1,""))</f>
        <v/>
      </c>
      <c r="KT28" s="69" t="str">
        <f ca="1">IF(AND($C28="Goal",KT$8&gt;=$G28,KT$8&lt;=$G28+$H28-1),2,IF(AND($C28="Milestone",KT$8&gt;=$G28,KT$8&lt;=$G28+$H28-1),1,""))</f>
        <v/>
      </c>
      <c r="KU28" s="69" t="str">
        <f ca="1">IF(AND($C28="Goal",KU$8&gt;=$G28,KU$8&lt;=$G28+$H28-1),2,IF(AND($C28="Milestone",KU$8&gt;=$G28,KU$8&lt;=$G28+$H28-1),1,""))</f>
        <v/>
      </c>
      <c r="KV28" s="69" t="str">
        <f ca="1">IF(AND($C28="Goal",KV$8&gt;=$G28,KV$8&lt;=$G28+$H28-1),2,IF(AND($C28="Milestone",KV$8&gt;=$G28,KV$8&lt;=$G28+$H28-1),1,""))</f>
        <v/>
      </c>
      <c r="KW28" s="69" t="str">
        <f ca="1">IF(AND($C28="Goal",KW$8&gt;=$G28,KW$8&lt;=$G28+$H28-1),2,IF(AND($C28="Milestone",KW$8&gt;=$G28,KW$8&lt;=$G28+$H28-1),1,""))</f>
        <v/>
      </c>
      <c r="KX28" s="69" t="str">
        <f ca="1">IF(AND($C28="Goal",KX$8&gt;=$G28,KX$8&lt;=$G28+$H28-1),2,IF(AND($C28="Milestone",KX$8&gt;=$G28,KX$8&lt;=$G28+$H28-1),1,""))</f>
        <v/>
      </c>
      <c r="KY28" s="69" t="str">
        <f ca="1">IF(AND($C28="Goal",KY$8&gt;=$G28,KY$8&lt;=$G28+$H28-1),2,IF(AND($C28="Milestone",KY$8&gt;=$G28,KY$8&lt;=$G28+$H28-1),1,""))</f>
        <v/>
      </c>
      <c r="KZ28" s="69" t="str">
        <f ca="1">IF(AND($C28="Goal",KZ$8&gt;=$G28,KZ$8&lt;=$G28+$H28-1),2,IF(AND($C28="Milestone",KZ$8&gt;=$G28,KZ$8&lt;=$G28+$H28-1),1,""))</f>
        <v/>
      </c>
      <c r="LA28" s="69" t="str">
        <f ca="1">IF(AND($C28="Goal",LA$8&gt;=$G28,LA$8&lt;=$G28+$H28-1),2,IF(AND($C28="Milestone",LA$8&gt;=$G28,LA$8&lt;=$G28+$H28-1),1,""))</f>
        <v/>
      </c>
      <c r="LB28" s="69" t="str">
        <f ca="1">IF(AND($C28="Goal",LB$8&gt;=$G28,LB$8&lt;=$G28+$H28-1),2,IF(AND($C28="Milestone",LB$8&gt;=$G28,LB$8&lt;=$G28+$H28-1),1,""))</f>
        <v/>
      </c>
      <c r="LC28" s="69" t="str">
        <f ca="1">IF(AND($C28="Goal",LC$8&gt;=$G28,LC$8&lt;=$G28+$H28-1),2,IF(AND($C28="Milestone",LC$8&gt;=$G28,LC$8&lt;=$G28+$H28-1),1,""))</f>
        <v/>
      </c>
      <c r="LD28" s="69" t="str">
        <f ca="1">IF(AND($C28="Goal",LD$8&gt;=$G28,LD$8&lt;=$G28+$H28-1),2,IF(AND($C28="Milestone",LD$8&gt;=$G28,LD$8&lt;=$G28+$H28-1),1,""))</f>
        <v/>
      </c>
      <c r="LE28" s="69" t="str">
        <f ca="1">IF(AND($C28="Goal",LE$8&gt;=$G28,LE$8&lt;=$G28+$H28-1),2,IF(AND($C28="Milestone",LE$8&gt;=$G28,LE$8&lt;=$G28+$H28-1),1,""))</f>
        <v/>
      </c>
      <c r="LF28" s="69" t="str">
        <f ca="1">IF(AND($C28="Goal",LF$8&gt;=$G28,LF$8&lt;=$G28+$H28-1),2,IF(AND($C28="Milestone",LF$8&gt;=$G28,LF$8&lt;=$G28+$H28-1),1,""))</f>
        <v/>
      </c>
      <c r="LG28" s="69" t="str">
        <f ca="1">IF(AND($C28="Goal",LG$8&gt;=$G28,LG$8&lt;=$G28+$H28-1),2,IF(AND($C28="Milestone",LG$8&gt;=$G28,LG$8&lt;=$G28+$H28-1),1,""))</f>
        <v/>
      </c>
      <c r="LH28" s="69" t="str">
        <f ca="1">IF(AND($C28="Goal",LH$8&gt;=$G28,LH$8&lt;=$G28+$H28-1),2,IF(AND($C28="Milestone",LH$8&gt;=$G28,LH$8&lt;=$G28+$H28-1),1,""))</f>
        <v/>
      </c>
      <c r="LI28" s="69" t="str">
        <f ca="1">IF(AND($C28="Goal",LI$8&gt;=$G28,LI$8&lt;=$G28+$H28-1),2,IF(AND($C28="Milestone",LI$8&gt;=$G28,LI$8&lt;=$G28+$H28-1),1,""))</f>
        <v/>
      </c>
      <c r="LJ28" s="69" t="str">
        <f ca="1">IF(AND($C28="Goal",LJ$8&gt;=$G28,LJ$8&lt;=$G28+$H28-1),2,IF(AND($C28="Milestone",LJ$8&gt;=$G28,LJ$8&lt;=$G28+$H28-1),1,""))</f>
        <v/>
      </c>
      <c r="LK28" s="69" t="str">
        <f ca="1">IF(AND($C28="Goal",LK$8&gt;=$G28,LK$8&lt;=$G28+$H28-1),2,IF(AND($C28="Milestone",LK$8&gt;=$G28,LK$8&lt;=$G28+$H28-1),1,""))</f>
        <v/>
      </c>
      <c r="LL28" s="69" t="str">
        <f ca="1">IF(AND($C28="Goal",LL$8&gt;=$G28,LL$8&lt;=$G28+$H28-1),2,IF(AND($C28="Milestone",LL$8&gt;=$G28,LL$8&lt;=$G28+$H28-1),1,""))</f>
        <v/>
      </c>
      <c r="LM28" s="69" t="str">
        <f ca="1">IF(AND($C28="Goal",LM$8&gt;=$G28,LM$8&lt;=$G28+$H28-1),2,IF(AND($C28="Milestone",LM$8&gt;=$G28,LM$8&lt;=$G28+$H28-1),1,""))</f>
        <v/>
      </c>
      <c r="LN28" s="69" t="str">
        <f ca="1">IF(AND($C28="Goal",LN$8&gt;=$G28,LN$8&lt;=$G28+$H28-1),2,IF(AND($C28="Milestone",LN$8&gt;=$G28,LN$8&lt;=$G28+$H28-1),1,""))</f>
        <v/>
      </c>
      <c r="LO28" s="69" t="str">
        <f ca="1">IF(AND($C28="Goal",LO$8&gt;=$G28,LO$8&lt;=$G28+$H28-1),2,IF(AND($C28="Milestone",LO$8&gt;=$G28,LO$8&lt;=$G28+$H28-1),1,""))</f>
        <v/>
      </c>
      <c r="LP28" s="69" t="str">
        <f ca="1">IF(AND($C28="Goal",LP$8&gt;=$G28,LP$8&lt;=$G28+$H28-1),2,IF(AND($C28="Milestone",LP$8&gt;=$G28,LP$8&lt;=$G28+$H28-1),1,""))</f>
        <v/>
      </c>
      <c r="LQ28" s="69" t="str">
        <f ca="1">IF(AND($C28="Goal",LQ$8&gt;=$G28,LQ$8&lt;=$G28+$H28-1),2,IF(AND($C28="Milestone",LQ$8&gt;=$G28,LQ$8&lt;=$G28+$H28-1),1,""))</f>
        <v/>
      </c>
      <c r="LR28" s="69" t="str">
        <f ca="1">IF(AND($C28="Goal",LR$8&gt;=$G28,LR$8&lt;=$G28+$H28-1),2,IF(AND($C28="Milestone",LR$8&gt;=$G28,LR$8&lt;=$G28+$H28-1),1,""))</f>
        <v/>
      </c>
      <c r="LS28" s="69" t="str">
        <f ca="1">IF(AND($C28="Goal",LS$8&gt;=$G28,LS$8&lt;=$G28+$H28-1),2,IF(AND($C28="Milestone",LS$8&gt;=$G28,LS$8&lt;=$G28+$H28-1),1,""))</f>
        <v/>
      </c>
      <c r="LT28" s="69" t="str">
        <f ca="1">IF(AND($C28="Goal",LT$8&gt;=$G28,LT$8&lt;=$G28+$H28-1),2,IF(AND($C28="Milestone",LT$8&gt;=$G28,LT$8&lt;=$G28+$H28-1),1,""))</f>
        <v/>
      </c>
      <c r="LU28" s="69" t="str">
        <f ca="1">IF(AND($C28="Goal",LU$8&gt;=$G28,LU$8&lt;=$G28+$H28-1),2,IF(AND($C28="Milestone",LU$8&gt;=$G28,LU$8&lt;=$G28+$H28-1),1,""))</f>
        <v/>
      </c>
      <c r="LV28" s="69" t="str">
        <f ca="1">IF(AND($C28="Goal",LV$8&gt;=$G28,LV$8&lt;=$G28+$H28-1),2,IF(AND($C28="Milestone",LV$8&gt;=$G28,LV$8&lt;=$G28+$H28-1),1,""))</f>
        <v/>
      </c>
      <c r="LW28" s="69" t="str">
        <f ca="1">IF(AND($C28="Goal",LW$8&gt;=$G28,LW$8&lt;=$G28+$H28-1),2,IF(AND($C28="Milestone",LW$8&gt;=$G28,LW$8&lt;=$G28+$H28-1),1,""))</f>
        <v/>
      </c>
      <c r="LX28" s="69" t="str">
        <f ca="1">IF(AND($C28="Goal",LX$8&gt;=$G28,LX$8&lt;=$G28+$H28-1),2,IF(AND($C28="Milestone",LX$8&gt;=$G28,LX$8&lt;=$G28+$H28-1),1,""))</f>
        <v/>
      </c>
    </row>
    <row r="29" spans="1:336" s="1" customFormat="1" ht="25.25" customHeight="1" x14ac:dyDescent="0.25">
      <c r="A29" s="6"/>
      <c r="B29" s="47" t="s">
        <v>30</v>
      </c>
      <c r="C29" s="58"/>
      <c r="D29" s="58" t="str">
        <f ca="1">IF(G29="","",
IF(G29+Milestones4352[[#This Row],[Days]]="","",
IF(OR(F29=1,F29=100%),"Complete",
CHOOSE(
  1
  + --(((1-IF(F29&gt;1,F29/100,F29))*POWER(2.718281828,(60-MAX(0,G29+Milestones4352[[#This Row],[Days]]-TODAY()))/12))&gt;=0.6)
  + --(((1-IF(F29&gt;1,F29/100,F29))*POWER(2.718281828,(60-MAX(0,G29+Milestones4352[[#This Row],[Days]]-TODAY()))/12))&gt;=1.2)
  + --(((1-IF(F29&gt;1,F29/100,F29))*POWER(2.718281828,(60-MAX(0,G29+Milestones4352[[#This Row],[Days]]-TODAY()))/12))&gt;=2),
  "On track","Low risk","Medium risk","High risk"
))))</f>
        <v>On track</v>
      </c>
      <c r="E29" s="58"/>
      <c r="F29" s="56">
        <v>0</v>
      </c>
      <c r="G29" s="71">
        <f>G26+H26</f>
        <v>46049</v>
      </c>
      <c r="H29" s="57">
        <v>10</v>
      </c>
      <c r="I29" s="57">
        <f t="shared" si="207"/>
        <v>9</v>
      </c>
      <c r="J29" s="12">
        <f ca="1">IF(OR(Milestones4352[[#This Row],[Start]]="",Milestones4352[[#This Row],[Days]]=""),"",(Milestones4352[[#This Row],[Start]]+Milestones4352[[#This Row],[Days]])-TODAY())</f>
        <v>110</v>
      </c>
      <c r="K29" s="9"/>
      <c r="L29" s="69" t="str">
        <f ca="1">IF(AND($C29="Goal",L$8&gt;=$G29,L$8&lt;=$G29+$H29-1),2,IF(AND($C29="Milestone",L$8&gt;=$G29,L$8&lt;=$G29+$H29-1),1,""))</f>
        <v/>
      </c>
      <c r="M29" s="69" t="str">
        <f ca="1">IF(AND($C29="Goal",M$8&gt;=$G29,M$8&lt;=$G29+$H29-1),2,IF(AND($C29="Milestone",M$8&gt;=$G29,M$8&lt;=$G29+$H29-1),1,""))</f>
        <v/>
      </c>
      <c r="N29" s="69" t="str">
        <f ca="1">IF(AND($C29="Goal",N$8&gt;=$G29,N$8&lt;=$G29+$H29-1),2,IF(AND($C29="Milestone",N$8&gt;=$G29,N$8&lt;=$G29+$H29-1),1,""))</f>
        <v/>
      </c>
      <c r="O29" s="69" t="str">
        <f ca="1">IF(AND($C29="Goal",O$8&gt;=$G29,O$8&lt;=$G29+$H29-1),2,IF(AND($C29="Milestone",O$8&gt;=$G29,O$8&lt;=$G29+$H29-1),1,""))</f>
        <v/>
      </c>
      <c r="P29" s="69" t="str">
        <f ca="1">IF(AND($C29="Goal",P$8&gt;=$G29,P$8&lt;=$G29+$H29-1),2,IF(AND($C29="Milestone",P$8&gt;=$G29,P$8&lt;=$G29+$H29-1),1,""))</f>
        <v/>
      </c>
      <c r="Q29" s="69" t="str">
        <f ca="1">IF(AND($C29="Goal",Q$8&gt;=$G29,Q$8&lt;=$G29+$H29-1),2,IF(AND($C29="Milestone",Q$8&gt;=$G29,Q$8&lt;=$G29+$H29-1),1,""))</f>
        <v/>
      </c>
      <c r="R29" s="69" t="str">
        <f ca="1">IF(AND($C29="Goal",R$8&gt;=$G29,R$8&lt;=$G29+$H29-1),2,IF(AND($C29="Milestone",R$8&gt;=$G29,R$8&lt;=$G29+$H29-1),1,""))</f>
        <v/>
      </c>
      <c r="S29" s="69" t="str">
        <f ca="1">IF(AND($C29="Goal",S$8&gt;=$G29,S$8&lt;=$G29+$H29-1),2,IF(AND($C29="Milestone",S$8&gt;=$G29,S$8&lt;=$G29+$H29-1),1,""))</f>
        <v/>
      </c>
      <c r="T29" s="69" t="str">
        <f ca="1">IF(AND($C29="Goal",T$8&gt;=$G29,T$8&lt;=$G29+$H29-1),2,IF(AND($C29="Milestone",T$8&gt;=$G29,T$8&lt;=$G29+$H29-1),1,""))</f>
        <v/>
      </c>
      <c r="U29" s="69" t="str">
        <f ca="1">IF(AND($C29="Goal",U$8&gt;=$G29,U$8&lt;=$G29+$H29-1),2,IF(AND($C29="Milestone",U$8&gt;=$G29,U$8&lt;=$G29+$H29-1),1,""))</f>
        <v/>
      </c>
      <c r="V29" s="69" t="str">
        <f ca="1">IF(AND($C29="Goal",V$8&gt;=$G29,V$8&lt;=$G29+$H29-1),2,IF(AND($C29="Milestone",V$8&gt;=$G29,V$8&lt;=$G29+$H29-1),1,""))</f>
        <v/>
      </c>
      <c r="W29" s="69" t="str">
        <f ca="1">IF(AND($C29="Goal",W$8&gt;=$G29,W$8&lt;=$G29+$H29-1),2,IF(AND($C29="Milestone",W$8&gt;=$G29,W$8&lt;=$G29+$H29-1),1,""))</f>
        <v/>
      </c>
      <c r="X29" s="69" t="str">
        <f ca="1">IF(AND($C29="Goal",X$8&gt;=$G29,X$8&lt;=$G29+$H29-1),2,IF(AND($C29="Milestone",X$8&gt;=$G29,X$8&lt;=$G29+$H29-1),1,""))</f>
        <v/>
      </c>
      <c r="Y29" s="69" t="str">
        <f ca="1">IF(AND($C29="Goal",Y$8&gt;=$G29,Y$8&lt;=$G29+$H29-1),2,IF(AND($C29="Milestone",Y$8&gt;=$G29,Y$8&lt;=$G29+$H29-1),1,""))</f>
        <v/>
      </c>
      <c r="Z29" s="69" t="str">
        <f ca="1">IF(AND($C29="Goal",Z$8&gt;=$G29,Z$8&lt;=$G29+$H29-1),2,IF(AND($C29="Milestone",Z$8&gt;=$G29,Z$8&lt;=$G29+$H29-1),1,""))</f>
        <v/>
      </c>
      <c r="AA29" s="69" t="str">
        <f ca="1">IF(AND($C29="Goal",AA$8&gt;=$G29,AA$8&lt;=$G29+$H29-1),2,IF(AND($C29="Milestone",AA$8&gt;=$G29,AA$8&lt;=$G29+$H29-1),1,""))</f>
        <v/>
      </c>
      <c r="AB29" s="69" t="str">
        <f ca="1">IF(AND($C29="Goal",AB$8&gt;=$G29,AB$8&lt;=$G29+$H29-1),2,IF(AND($C29="Milestone",AB$8&gt;=$G29,AB$8&lt;=$G29+$H29-1),1,""))</f>
        <v/>
      </c>
      <c r="AC29" s="69" t="str">
        <f ca="1">IF(AND($C29="Goal",AC$8&gt;=$G29,AC$8&lt;=$G29+$H29-1),2,IF(AND($C29="Milestone",AC$8&gt;=$G29,AC$8&lt;=$G29+$H29-1),1,""))</f>
        <v/>
      </c>
      <c r="AD29" s="69" t="str">
        <f ca="1">IF(AND($C29="Goal",AD$8&gt;=$G29,AD$8&lt;=$G29+$H29-1),2,IF(AND($C29="Milestone",AD$8&gt;=$G29,AD$8&lt;=$G29+$H29-1),1,""))</f>
        <v/>
      </c>
      <c r="AE29" s="69" t="str">
        <f ca="1">IF(AND($C29="Goal",AE$8&gt;=$G29,AE$8&lt;=$G29+$H29-1),2,IF(AND($C29="Milestone",AE$8&gt;=$G29,AE$8&lt;=$G29+$H29-1),1,""))</f>
        <v/>
      </c>
      <c r="AF29" s="69" t="str">
        <f ca="1">IF(AND($C29="Goal",AF$8&gt;=$G29,AF$8&lt;=$G29+$H29-1),2,IF(AND($C29="Milestone",AF$8&gt;=$G29,AF$8&lt;=$G29+$H29-1),1,""))</f>
        <v/>
      </c>
      <c r="AG29" s="69" t="str">
        <f ca="1">IF(AND($C29="Goal",AG$8&gt;=$G29,AG$8&lt;=$G29+$H29-1),2,IF(AND($C29="Milestone",AG$8&gt;=$G29,AG$8&lt;=$G29+$H29-1),1,""))</f>
        <v/>
      </c>
      <c r="AH29" s="69" t="str">
        <f ca="1">IF(AND($C29="Goal",AH$8&gt;=$G29,AH$8&lt;=$G29+$H29-1),2,IF(AND($C29="Milestone",AH$8&gt;=$G29,AH$8&lt;=$G29+$H29-1),1,""))</f>
        <v/>
      </c>
      <c r="AI29" s="69" t="str">
        <f ca="1">IF(AND($C29="Goal",AI$8&gt;=$G29,AI$8&lt;=$G29+$H29-1),2,IF(AND($C29="Milestone",AI$8&gt;=$G29,AI$8&lt;=$G29+$H29-1),1,""))</f>
        <v/>
      </c>
      <c r="AJ29" s="69" t="str">
        <f ca="1">IF(AND($C29="Goal",AJ$8&gt;=$G29,AJ$8&lt;=$G29+$H29-1),2,IF(AND($C29="Milestone",AJ$8&gt;=$G29,AJ$8&lt;=$G29+$H29-1),1,""))</f>
        <v/>
      </c>
      <c r="AK29" s="69" t="str">
        <f ca="1">IF(AND($C29="Goal",AK$8&gt;=$G29,AK$8&lt;=$G29+$H29-1),2,IF(AND($C29="Milestone",AK$8&gt;=$G29,AK$8&lt;=$G29+$H29-1),1,""))</f>
        <v/>
      </c>
      <c r="AL29" s="69" t="str">
        <f ca="1">IF(AND($C29="Goal",AL$8&gt;=$G29,AL$8&lt;=$G29+$H29-1),2,IF(AND($C29="Milestone",AL$8&gt;=$G29,AL$8&lt;=$G29+$H29-1),1,""))</f>
        <v/>
      </c>
      <c r="AM29" s="69" t="str">
        <f ca="1">IF(AND($C29="Goal",AM$8&gt;=$G29,AM$8&lt;=$G29+$H29-1),2,IF(AND($C29="Milestone",AM$8&gt;=$G29,AM$8&lt;=$G29+$H29-1),1,""))</f>
        <v/>
      </c>
      <c r="AN29" s="69" t="str">
        <f ca="1">IF(AND($C29="Goal",AN$8&gt;=$G29,AN$8&lt;=$G29+$H29-1),2,IF(AND($C29="Milestone",AN$8&gt;=$G29,AN$8&lt;=$G29+$H29-1),1,""))</f>
        <v/>
      </c>
      <c r="AO29" s="69" t="str">
        <f ca="1">IF(AND($C29="Goal",AO$8&gt;=$G29,AO$8&lt;=$G29+$H29-1),2,IF(AND($C29="Milestone",AO$8&gt;=$G29,AO$8&lt;=$G29+$H29-1),1,""))</f>
        <v/>
      </c>
      <c r="AP29" s="69" t="str">
        <f ca="1">IF(AND($C29="Goal",AP$8&gt;=$G29,AP$8&lt;=$G29+$H29-1),2,IF(AND($C29="Milestone",AP$8&gt;=$G29,AP$8&lt;=$G29+$H29-1),1,""))</f>
        <v/>
      </c>
      <c r="AQ29" s="69" t="str">
        <f ca="1">IF(AND($C29="Goal",AQ$8&gt;=$G29,AQ$8&lt;=$G29+$H29-1),2,IF(AND($C29="Milestone",AQ$8&gt;=$G29,AQ$8&lt;=$G29+$H29-1),1,""))</f>
        <v/>
      </c>
      <c r="AR29" s="69" t="str">
        <f ca="1">IF(AND($C29="Goal",AR$8&gt;=$G29,AR$8&lt;=$G29+$H29-1),2,IF(AND($C29="Milestone",AR$8&gt;=$G29,AR$8&lt;=$G29+$H29-1),1,""))</f>
        <v/>
      </c>
      <c r="AS29" s="69" t="str">
        <f ca="1">IF(AND($C29="Goal",AS$8&gt;=$G29,AS$8&lt;=$G29+$H29-1),2,IF(AND($C29="Milestone",AS$8&gt;=$G29,AS$8&lt;=$G29+$H29-1),1,""))</f>
        <v/>
      </c>
      <c r="AT29" s="69" t="str">
        <f ca="1">IF(AND($C29="Goal",AT$8&gt;=$G29,AT$8&lt;=$G29+$H29-1),2,IF(AND($C29="Milestone",AT$8&gt;=$G29,AT$8&lt;=$G29+$H29-1),1,""))</f>
        <v/>
      </c>
      <c r="AU29" s="69" t="str">
        <f ca="1">IF(AND($C29="Goal",AU$8&gt;=$G29,AU$8&lt;=$G29+$H29-1),2,IF(AND($C29="Milestone",AU$8&gt;=$G29,AU$8&lt;=$G29+$H29-1),1,""))</f>
        <v/>
      </c>
      <c r="AV29" s="69" t="str">
        <f ca="1">IF(AND($C29="Goal",AV$8&gt;=$G29,AV$8&lt;=$G29+$H29-1),2,IF(AND($C29="Milestone",AV$8&gt;=$G29,AV$8&lt;=$G29+$H29-1),1,""))</f>
        <v/>
      </c>
      <c r="AW29" s="69" t="str">
        <f ca="1">IF(AND($C29="Goal",AW$8&gt;=$G29,AW$8&lt;=$G29+$H29-1),2,IF(AND($C29="Milestone",AW$8&gt;=$G29,AW$8&lt;=$G29+$H29-1),1,""))</f>
        <v/>
      </c>
      <c r="AX29" s="69" t="str">
        <f ca="1">IF(AND($C29="Goal",AX$8&gt;=$G29,AX$8&lt;=$G29+$H29-1),2,IF(AND($C29="Milestone",AX$8&gt;=$G29,AX$8&lt;=$G29+$H29-1),1,""))</f>
        <v/>
      </c>
      <c r="AY29" s="69" t="str">
        <f ca="1">IF(AND($C29="Goal",AY$8&gt;=$G29,AY$8&lt;=$G29+$H29-1),2,IF(AND($C29="Milestone",AY$8&gt;=$G29,AY$8&lt;=$G29+$H29-1),1,""))</f>
        <v/>
      </c>
      <c r="AZ29" s="69" t="str">
        <f ca="1">IF(AND($C29="Goal",AZ$8&gt;=$G29,AZ$8&lt;=$G29+$H29-1),2,IF(AND($C29="Milestone",AZ$8&gt;=$G29,AZ$8&lt;=$G29+$H29-1),1,""))</f>
        <v/>
      </c>
      <c r="BA29" s="69" t="str">
        <f ca="1">IF(AND($C29="Goal",BA$8&gt;=$G29,BA$8&lt;=$G29+$H29-1),2,IF(AND($C29="Milestone",BA$8&gt;=$G29,BA$8&lt;=$G29+$H29-1),1,""))</f>
        <v/>
      </c>
      <c r="BB29" s="69" t="str">
        <f ca="1">IF(AND($C29="Goal",BB$8&gt;=$G29,BB$8&lt;=$G29+$H29-1),2,IF(AND($C29="Milestone",BB$8&gt;=$G29,BB$8&lt;=$G29+$H29-1),1,""))</f>
        <v/>
      </c>
      <c r="BC29" s="69" t="str">
        <f ca="1">IF(AND($C29="Goal",BC$8&gt;=$G29,BC$8&lt;=$G29+$H29-1),2,IF(AND($C29="Milestone",BC$8&gt;=$G29,BC$8&lt;=$G29+$H29-1),1,""))</f>
        <v/>
      </c>
      <c r="BD29" s="69" t="str">
        <f ca="1">IF(AND($C29="Goal",BD$8&gt;=$G29,BD$8&lt;=$G29+$H29-1),2,IF(AND($C29="Milestone",BD$8&gt;=$G29,BD$8&lt;=$G29+$H29-1),1,""))</f>
        <v/>
      </c>
      <c r="BE29" s="69" t="str">
        <f ca="1">IF(AND($C29="Goal",BE$8&gt;=$G29,BE$8&lt;=$G29+$H29-1),2,IF(AND($C29="Milestone",BE$8&gt;=$G29,BE$8&lt;=$G29+$H29-1),1,""))</f>
        <v/>
      </c>
      <c r="BF29" s="69" t="str">
        <f ca="1">IF(AND($C29="Goal",BF$8&gt;=$G29,BF$8&lt;=$G29+$H29-1),2,IF(AND($C29="Milestone",BF$8&gt;=$G29,BF$8&lt;=$G29+$H29-1),1,""))</f>
        <v/>
      </c>
      <c r="BG29" s="69" t="str">
        <f ca="1">IF(AND($C29="Goal",BG$8&gt;=$G29,BG$8&lt;=$G29+$H29-1),2,IF(AND($C29="Milestone",BG$8&gt;=$G29,BG$8&lt;=$G29+$H29-1),1,""))</f>
        <v/>
      </c>
      <c r="BH29" s="69" t="str">
        <f ca="1">IF(AND($C29="Goal",BH$8&gt;=$G29,BH$8&lt;=$G29+$H29-1),2,IF(AND($C29="Milestone",BH$8&gt;=$G29,BH$8&lt;=$G29+$H29-1),1,""))</f>
        <v/>
      </c>
      <c r="BI29" s="69" t="str">
        <f ca="1">IF(AND($C29="Goal",BI$8&gt;=$G29,BI$8&lt;=$G29+$H29-1),2,IF(AND($C29="Milestone",BI$8&gt;=$G29,BI$8&lt;=$G29+$H29-1),1,""))</f>
        <v/>
      </c>
      <c r="BJ29" s="69" t="str">
        <f ca="1">IF(AND($C29="Goal",BJ$8&gt;=$G29,BJ$8&lt;=$G29+$H29-1),2,IF(AND($C29="Milestone",BJ$8&gt;=$G29,BJ$8&lt;=$G29+$H29-1),1,""))</f>
        <v/>
      </c>
      <c r="BK29" s="69" t="str">
        <f ca="1">IF(AND($C29="Goal",BK$8&gt;=$G29,BK$8&lt;=$G29+$H29-1),2,IF(AND($C29="Milestone",BK$8&gt;=$G29,BK$8&lt;=$G29+$H29-1),1,""))</f>
        <v/>
      </c>
      <c r="BL29" s="69" t="str">
        <f ca="1">IF(AND($C29="Goal",BL$8&gt;=$G29,BL$8&lt;=$G29+$H29-1),2,IF(AND($C29="Milestone",BL$8&gt;=$G29,BL$8&lt;=$G29+$H29-1),1,""))</f>
        <v/>
      </c>
      <c r="BM29" s="69" t="str">
        <f ca="1">IF(AND($C29="Goal",BM$8&gt;=$G29,BM$8&lt;=$G29+$H29-1),2,IF(AND($C29="Milestone",BM$8&gt;=$G29,BM$8&lt;=$G29+$H29-1),1,""))</f>
        <v/>
      </c>
      <c r="BN29" s="69" t="str">
        <f ca="1">IF(AND($C29="Goal",BN$8&gt;=$G29,BN$8&lt;=$G29+$H29-1),2,IF(AND($C29="Milestone",BN$8&gt;=$G29,BN$8&lt;=$G29+$H29-1),1,""))</f>
        <v/>
      </c>
      <c r="BO29" s="69" t="str">
        <f ca="1">IF(AND($C29="Goal",BO$8&gt;=$G29,BO$8&lt;=$G29+$H29-1),2,IF(AND($C29="Milestone",BO$8&gt;=$G29,BO$8&lt;=$G29+$H29-1),1,""))</f>
        <v/>
      </c>
      <c r="BP29" s="69" t="str">
        <f ca="1">IF(AND($C29="Goal",BP$8&gt;=$G29,BP$8&lt;=$G29+$H29-1),2,IF(AND($C29="Milestone",BP$8&gt;=$G29,BP$8&lt;=$G29+$H29-1),1,""))</f>
        <v/>
      </c>
      <c r="BQ29" s="69" t="str">
        <f ca="1">IF(AND($C29="Goal",BQ$8&gt;=$G29,BQ$8&lt;=$G29+$H29-1),2,IF(AND($C29="Milestone",BQ$8&gt;=$G29,BQ$8&lt;=$G29+$H29-1),1,""))</f>
        <v/>
      </c>
      <c r="BR29" s="69" t="str">
        <f ca="1">IF(AND($C29="Goal",BR$8&gt;=$G29,BR$8&lt;=$G29+$H29-1),2,IF(AND($C29="Milestone",BR$8&gt;=$G29,BR$8&lt;=$G29+$H29-1),1,""))</f>
        <v/>
      </c>
      <c r="BS29" s="69" t="str">
        <f ca="1">IF(AND($C29="Goal",BS$8&gt;=$G29,BS$8&lt;=$G29+$H29-1),2,IF(AND($C29="Milestone",BS$8&gt;=$G29,BS$8&lt;=$G29+$H29-1),1,""))</f>
        <v/>
      </c>
      <c r="BT29" s="69" t="str">
        <f ca="1">IF(AND($C29="Goal",BT$8&gt;=$G29,BT$8&lt;=$G29+$H29-1),2,IF(AND($C29="Milestone",BT$8&gt;=$G29,BT$8&lt;=$G29+$H29-1),1,""))</f>
        <v/>
      </c>
      <c r="BU29" s="69" t="str">
        <f ca="1">IF(AND($C29="Goal",BU$8&gt;=$G29,BU$8&lt;=$G29+$H29-1),2,IF(AND($C29="Milestone",BU$8&gt;=$G29,BU$8&lt;=$G29+$H29-1),1,""))</f>
        <v/>
      </c>
      <c r="BV29" s="69" t="str">
        <f ca="1">IF(AND($C29="Goal",BV$8&gt;=$G29,BV$8&lt;=$G29+$H29-1),2,IF(AND($C29="Milestone",BV$8&gt;=$G29,BV$8&lt;=$G29+$H29-1),1,""))</f>
        <v/>
      </c>
      <c r="BW29" s="69" t="str">
        <f ca="1">IF(AND($C29="Goal",BW$8&gt;=$G29,BW$8&lt;=$G29+$H29-1),2,IF(AND($C29="Milestone",BW$8&gt;=$G29,BW$8&lt;=$G29+$H29-1),1,""))</f>
        <v/>
      </c>
      <c r="BX29" s="69" t="str">
        <f ca="1">IF(AND($C29="Goal",BX$8&gt;=$G29,BX$8&lt;=$G29+$H29-1),2,IF(AND($C29="Milestone",BX$8&gt;=$G29,BX$8&lt;=$G29+$H29-1),1,""))</f>
        <v/>
      </c>
      <c r="BY29" s="69" t="str">
        <f ca="1">IF(AND($C29="Goal",BY$8&gt;=$G29,BY$8&lt;=$G29+$H29-1),2,IF(AND($C29="Milestone",BY$8&gt;=$G29,BY$8&lt;=$G29+$H29-1),1,""))</f>
        <v/>
      </c>
      <c r="BZ29" s="69" t="str">
        <f ca="1">IF(AND($C29="Goal",BZ$8&gt;=$G29,BZ$8&lt;=$G29+$H29-1),2,IF(AND($C29="Milestone",BZ$8&gt;=$G29,BZ$8&lt;=$G29+$H29-1),1,""))</f>
        <v/>
      </c>
      <c r="CA29" s="69" t="str">
        <f ca="1">IF(AND($C29="Goal",CA$8&gt;=$G29,CA$8&lt;=$G29+$H29-1),2,IF(AND($C29="Milestone",CA$8&gt;=$G29,CA$8&lt;=$G29+$H29-1),1,""))</f>
        <v/>
      </c>
      <c r="CB29" s="69" t="str">
        <f ca="1">IF(AND($C29="Goal",CB$8&gt;=$G29,CB$8&lt;=$G29+$H29-1),2,IF(AND($C29="Milestone",CB$8&gt;=$G29,CB$8&lt;=$G29+$H29-1),1,""))</f>
        <v/>
      </c>
      <c r="CC29" s="69" t="str">
        <f ca="1">IF(AND($C29="Goal",CC$8&gt;=$G29,CC$8&lt;=$G29+$H29-1),2,IF(AND($C29="Milestone",CC$8&gt;=$G29,CC$8&lt;=$G29+$H29-1),1,""))</f>
        <v/>
      </c>
      <c r="CD29" s="69" t="str">
        <f ca="1">IF(AND($C29="Goal",CD$8&gt;=$G29,CD$8&lt;=$G29+$H29-1),2,IF(AND($C29="Milestone",CD$8&gt;=$G29,CD$8&lt;=$G29+$H29-1),1,""))</f>
        <v/>
      </c>
      <c r="CE29" s="69" t="str">
        <f ca="1">IF(AND($C29="Goal",CE$8&gt;=$G29,CE$8&lt;=$G29+$H29-1),2,IF(AND($C29="Milestone",CE$8&gt;=$G29,CE$8&lt;=$G29+$H29-1),1,""))</f>
        <v/>
      </c>
      <c r="CF29" s="69" t="str">
        <f ca="1">IF(AND($C29="Goal",CF$8&gt;=$G29,CF$8&lt;=$G29+$H29-1),2,IF(AND($C29="Milestone",CF$8&gt;=$G29,CF$8&lt;=$G29+$H29-1),1,""))</f>
        <v/>
      </c>
      <c r="CG29" s="69" t="str">
        <f ca="1">IF(AND($C29="Goal",CG$8&gt;=$G29,CG$8&lt;=$G29+$H29-1),2,IF(AND($C29="Milestone",CG$8&gt;=$G29,CG$8&lt;=$G29+$H29-1),1,""))</f>
        <v/>
      </c>
      <c r="CH29" s="69" t="str">
        <f ca="1">IF(AND($C29="Goal",CH$8&gt;=$G29,CH$8&lt;=$G29+$H29-1),2,IF(AND($C29="Milestone",CH$8&gt;=$G29,CH$8&lt;=$G29+$H29-1),1,""))</f>
        <v/>
      </c>
      <c r="CI29" s="69" t="str">
        <f ca="1">IF(AND($C29="Goal",CI$8&gt;=$G29,CI$8&lt;=$G29+$H29-1),2,IF(AND($C29="Milestone",CI$8&gt;=$G29,CI$8&lt;=$G29+$H29-1),1,""))</f>
        <v/>
      </c>
      <c r="CJ29" s="69" t="str">
        <f ca="1">IF(AND($C29="Goal",CJ$8&gt;=$G29,CJ$8&lt;=$G29+$H29-1),2,IF(AND($C29="Milestone",CJ$8&gt;=$G29,CJ$8&lt;=$G29+$H29-1),1,""))</f>
        <v/>
      </c>
      <c r="CK29" s="69" t="str">
        <f ca="1">IF(AND($C29="Goal",CK$8&gt;=$G29,CK$8&lt;=$G29+$H29-1),2,IF(AND($C29="Milestone",CK$8&gt;=$G29,CK$8&lt;=$G29+$H29-1),1,""))</f>
        <v/>
      </c>
      <c r="CL29" s="69" t="str">
        <f ca="1">IF(AND($C29="Goal",CL$8&gt;=$G29,CL$8&lt;=$G29+$H29-1),2,IF(AND($C29="Milestone",CL$8&gt;=$G29,CL$8&lt;=$G29+$H29-1),1,""))</f>
        <v/>
      </c>
      <c r="CM29" s="69" t="str">
        <f ca="1">IF(AND($C29="Goal",CM$8&gt;=$G29,CM$8&lt;=$G29+$H29-1),2,IF(AND($C29="Milestone",CM$8&gt;=$G29,CM$8&lt;=$G29+$H29-1),1,""))</f>
        <v/>
      </c>
      <c r="CN29" s="69" t="str">
        <f ca="1">IF(AND($C29="Goal",CN$8&gt;=$G29,CN$8&lt;=$G29+$H29-1),2,IF(AND($C29="Milestone",CN$8&gt;=$G29,CN$8&lt;=$G29+$H29-1),1,""))</f>
        <v/>
      </c>
      <c r="CO29" s="69" t="str">
        <f ca="1">IF(AND($C29="Goal",CO$8&gt;=$G29,CO$8&lt;=$G29+$H29-1),2,IF(AND($C29="Milestone",CO$8&gt;=$G29,CO$8&lt;=$G29+$H29-1),1,""))</f>
        <v/>
      </c>
      <c r="CP29" s="69" t="str">
        <f ca="1">IF(AND($C29="Goal",CP$8&gt;=$G29,CP$8&lt;=$G29+$H29-1),2,IF(AND($C29="Milestone",CP$8&gt;=$G29,CP$8&lt;=$G29+$H29-1),1,""))</f>
        <v/>
      </c>
      <c r="CQ29" s="69" t="str">
        <f ca="1">IF(AND($C29="Goal",CQ$8&gt;=$G29,CQ$8&lt;=$G29+$H29-1),2,IF(AND($C29="Milestone",CQ$8&gt;=$G29,CQ$8&lt;=$G29+$H29-1),1,""))</f>
        <v/>
      </c>
      <c r="CR29" s="69" t="str">
        <f ca="1">IF(AND($C29="Goal",CR$8&gt;=$G29,CR$8&lt;=$G29+$H29-1),2,IF(AND($C29="Milestone",CR$8&gt;=$G29,CR$8&lt;=$G29+$H29-1),1,""))</f>
        <v/>
      </c>
      <c r="CS29" s="69" t="str">
        <f ca="1">IF(AND($C29="Goal",CS$8&gt;=$G29,CS$8&lt;=$G29+$H29-1),2,IF(AND($C29="Milestone",CS$8&gt;=$G29,CS$8&lt;=$G29+$H29-1),1,""))</f>
        <v/>
      </c>
      <c r="CT29" s="69" t="str">
        <f ca="1">IF(AND($C29="Goal",CT$8&gt;=$G29,CT$8&lt;=$G29+$H29-1),2,IF(AND($C29="Milestone",CT$8&gt;=$G29,CT$8&lt;=$G29+$H29-1),1,""))</f>
        <v/>
      </c>
      <c r="CU29" s="69" t="str">
        <f ca="1">IF(AND($C29="Goal",CU$8&gt;=$G29,CU$8&lt;=$G29+$H29-1),2,IF(AND($C29="Milestone",CU$8&gt;=$G29,CU$8&lt;=$G29+$H29-1),1,""))</f>
        <v/>
      </c>
      <c r="CV29" s="69" t="str">
        <f ca="1">IF(AND($C29="Goal",CV$8&gt;=$G29,CV$8&lt;=$G29+$H29-1),2,IF(AND($C29="Milestone",CV$8&gt;=$G29,CV$8&lt;=$G29+$H29-1),1,""))</f>
        <v/>
      </c>
      <c r="CW29" s="69" t="str">
        <f ca="1">IF(AND($C29="Goal",CW$8&gt;=$G29,CW$8&lt;=$G29+$H29-1),2,IF(AND($C29="Milestone",CW$8&gt;=$G29,CW$8&lt;=$G29+$H29-1),1,""))</f>
        <v/>
      </c>
      <c r="CX29" s="69" t="str">
        <f ca="1">IF(AND($C29="Goal",CX$8&gt;=$G29,CX$8&lt;=$G29+$H29-1),2,IF(AND($C29="Milestone",CX$8&gt;=$G29,CX$8&lt;=$G29+$H29-1),1,""))</f>
        <v/>
      </c>
      <c r="CY29" s="69" t="str">
        <f ca="1">IF(AND($C29="Goal",CY$8&gt;=$G29,CY$8&lt;=$G29+$H29-1),2,IF(AND($C29="Milestone",CY$8&gt;=$G29,CY$8&lt;=$G29+$H29-1),1,""))</f>
        <v/>
      </c>
      <c r="CZ29" s="69" t="str">
        <f ca="1">IF(AND($C29="Goal",CZ$8&gt;=$G29,CZ$8&lt;=$G29+$H29-1),2,IF(AND($C29="Milestone",CZ$8&gt;=$G29,CZ$8&lt;=$G29+$H29-1),1,""))</f>
        <v/>
      </c>
      <c r="DA29" s="69" t="str">
        <f ca="1">IF(AND($C29="Goal",DA$8&gt;=$G29,DA$8&lt;=$G29+$H29-1),2,IF(AND($C29="Milestone",DA$8&gt;=$G29,DA$8&lt;=$G29+$H29-1),1,""))</f>
        <v/>
      </c>
      <c r="DB29" s="69" t="str">
        <f ca="1">IF(AND($C29="Goal",DB$8&gt;=$G29,DB$8&lt;=$G29+$H29-1),2,IF(AND($C29="Milestone",DB$8&gt;=$G29,DB$8&lt;=$G29+$H29-1),1,""))</f>
        <v/>
      </c>
      <c r="DC29" s="69" t="str">
        <f ca="1">IF(AND($C29="Goal",DC$8&gt;=$G29,DC$8&lt;=$G29+$H29-1),2,IF(AND($C29="Milestone",DC$8&gt;=$G29,DC$8&lt;=$G29+$H29-1),1,""))</f>
        <v/>
      </c>
      <c r="DD29" s="69" t="str">
        <f ca="1">IF(AND($C29="Goal",DD$8&gt;=$G29,DD$8&lt;=$G29+$H29-1),2,IF(AND($C29="Milestone",DD$8&gt;=$G29,DD$8&lt;=$G29+$H29-1),1,""))</f>
        <v/>
      </c>
      <c r="DE29" s="69" t="str">
        <f ca="1">IF(AND($C29="Goal",DE$8&gt;=$G29,DE$8&lt;=$G29+$H29-1),2,IF(AND($C29="Milestone",DE$8&gt;=$G29,DE$8&lt;=$G29+$H29-1),1,""))</f>
        <v/>
      </c>
      <c r="DF29" s="69" t="str">
        <f ca="1">IF(AND($C29="Goal",DF$8&gt;=$G29,DF$8&lt;=$G29+$H29-1),2,IF(AND($C29="Milestone",DF$8&gt;=$G29,DF$8&lt;=$G29+$H29-1),1,""))</f>
        <v/>
      </c>
      <c r="DG29" s="69" t="str">
        <f ca="1">IF(AND($C29="Goal",DG$8&gt;=$G29,DG$8&lt;=$G29+$H29-1),2,IF(AND($C29="Milestone",DG$8&gt;=$G29,DG$8&lt;=$G29+$H29-1),1,""))</f>
        <v/>
      </c>
      <c r="DH29" s="69" t="str">
        <f ca="1">IF(AND($C29="Goal",DH$8&gt;=$G29,DH$8&lt;=$G29+$H29-1),2,IF(AND($C29="Milestone",DH$8&gt;=$G29,DH$8&lt;=$G29+$H29-1),1,""))</f>
        <v/>
      </c>
      <c r="DI29" s="69" t="str">
        <f ca="1">IF(AND($C29="Goal",DI$8&gt;=$G29,DI$8&lt;=$G29+$H29-1),2,IF(AND($C29="Milestone",DI$8&gt;=$G29,DI$8&lt;=$G29+$H29-1),1,""))</f>
        <v/>
      </c>
      <c r="DJ29" s="69" t="str">
        <f ca="1">IF(AND($C29="Goal",DJ$8&gt;=$G29,DJ$8&lt;=$G29+$H29-1),2,IF(AND($C29="Milestone",DJ$8&gt;=$G29,DJ$8&lt;=$G29+$H29-1),1,""))</f>
        <v/>
      </c>
      <c r="DK29" s="69" t="str">
        <f ca="1">IF(AND($C29="Goal",DK$8&gt;=$G29,DK$8&lt;=$G29+$H29-1),2,IF(AND($C29="Milestone",DK$8&gt;=$G29,DK$8&lt;=$G29+$H29-1),1,""))</f>
        <v/>
      </c>
      <c r="DL29" s="69" t="str">
        <f ca="1">IF(AND($C29="Goal",DL$8&gt;=$G29,DL$8&lt;=$G29+$H29-1),2,IF(AND($C29="Milestone",DL$8&gt;=$G29,DL$8&lt;=$G29+$H29-1),1,""))</f>
        <v/>
      </c>
      <c r="DM29" s="69" t="str">
        <f ca="1">IF(AND($C29="Goal",DM$8&gt;=$G29,DM$8&lt;=$G29+$H29-1),2,IF(AND($C29="Milestone",DM$8&gt;=$G29,DM$8&lt;=$G29+$H29-1),1,""))</f>
        <v/>
      </c>
      <c r="DN29" s="69" t="str">
        <f ca="1">IF(AND($C29="Goal",DN$8&gt;=$G29,DN$8&lt;=$G29+$H29-1),2,IF(AND($C29="Milestone",DN$8&gt;=$G29,DN$8&lt;=$G29+$H29-1),1,""))</f>
        <v/>
      </c>
      <c r="DO29" s="69" t="str">
        <f ca="1">IF(AND($C29="Goal",DO$8&gt;=$G29,DO$8&lt;=$G29+$H29-1),2,IF(AND($C29="Milestone",DO$8&gt;=$G29,DO$8&lt;=$G29+$H29-1),1,""))</f>
        <v/>
      </c>
      <c r="DP29" s="69" t="str">
        <f ca="1">IF(AND($C29="Goal",DP$8&gt;=$G29,DP$8&lt;=$G29+$H29-1),2,IF(AND($C29="Milestone",DP$8&gt;=$G29,DP$8&lt;=$G29+$H29-1),1,""))</f>
        <v/>
      </c>
      <c r="DQ29" s="69" t="str">
        <f ca="1">IF(AND($C29="Goal",DQ$8&gt;=$G29,DQ$8&lt;=$G29+$H29-1),2,IF(AND($C29="Milestone",DQ$8&gt;=$G29,DQ$8&lt;=$G29+$H29-1),1,""))</f>
        <v/>
      </c>
      <c r="DR29" s="69" t="str">
        <f ca="1">IF(AND($C29="Goal",DR$8&gt;=$G29,DR$8&lt;=$G29+$H29-1),2,IF(AND($C29="Milestone",DR$8&gt;=$G29,DR$8&lt;=$G29+$H29-1),1,""))</f>
        <v/>
      </c>
      <c r="DS29" s="69" t="str">
        <f ca="1">IF(AND($C29="Goal",DS$8&gt;=$G29,DS$8&lt;=$G29+$H29-1),2,IF(AND($C29="Milestone",DS$8&gt;=$G29,DS$8&lt;=$G29+$H29-1),1,""))</f>
        <v/>
      </c>
      <c r="DT29" s="69" t="str">
        <f ca="1">IF(AND($C29="Goal",DT$8&gt;=$G29,DT$8&lt;=$G29+$H29-1),2,IF(AND($C29="Milestone",DT$8&gt;=$G29,DT$8&lt;=$G29+$H29-1),1,""))</f>
        <v/>
      </c>
      <c r="DU29" s="69" t="str">
        <f ca="1">IF(AND($C29="Goal",DU$8&gt;=$G29,DU$8&lt;=$G29+$H29-1),2,IF(AND($C29="Milestone",DU$8&gt;=$G29,DU$8&lt;=$G29+$H29-1),1,""))</f>
        <v/>
      </c>
      <c r="DV29" s="69" t="str">
        <f ca="1">IF(AND($C29="Goal",DV$8&gt;=$G29,DV$8&lt;=$G29+$H29-1),2,IF(AND($C29="Milestone",DV$8&gt;=$G29,DV$8&lt;=$G29+$H29-1),1,""))</f>
        <v/>
      </c>
      <c r="DW29" s="69" t="str">
        <f ca="1">IF(AND($C29="Goal",DW$8&gt;=$G29,DW$8&lt;=$G29+$H29-1),2,IF(AND($C29="Milestone",DW$8&gt;=$G29,DW$8&lt;=$G29+$H29-1),1,""))</f>
        <v/>
      </c>
      <c r="DX29" s="69" t="str">
        <f ca="1">IF(AND($C29="Goal",DX$8&gt;=$G29,DX$8&lt;=$G29+$H29-1),2,IF(AND($C29="Milestone",DX$8&gt;=$G29,DX$8&lt;=$G29+$H29-1),1,""))</f>
        <v/>
      </c>
      <c r="DY29" s="69" t="str">
        <f ca="1">IF(AND($C29="Goal",DY$8&gt;=$G29,DY$8&lt;=$G29+$H29-1),2,IF(AND($C29="Milestone",DY$8&gt;=$G29,DY$8&lt;=$G29+$H29-1),1,""))</f>
        <v/>
      </c>
      <c r="DZ29" s="69" t="str">
        <f ca="1">IF(AND($C29="Goal",DZ$8&gt;=$G29,DZ$8&lt;=$G29+$H29-1),2,IF(AND($C29="Milestone",DZ$8&gt;=$G29,DZ$8&lt;=$G29+$H29-1),1,""))</f>
        <v/>
      </c>
      <c r="EA29" s="69" t="str">
        <f ca="1">IF(AND($C29="Goal",EA$8&gt;=$G29,EA$8&lt;=$G29+$H29-1),2,IF(AND($C29="Milestone",EA$8&gt;=$G29,EA$8&lt;=$G29+$H29-1),1,""))</f>
        <v/>
      </c>
      <c r="EB29" s="69" t="str">
        <f ca="1">IF(AND($C29="Goal",EB$8&gt;=$G29,EB$8&lt;=$G29+$H29-1),2,IF(AND($C29="Milestone",EB$8&gt;=$G29,EB$8&lt;=$G29+$H29-1),1,""))</f>
        <v/>
      </c>
      <c r="EC29" s="69" t="str">
        <f ca="1">IF(AND($C29="Goal",EC$8&gt;=$G29,EC$8&lt;=$G29+$H29-1),2,IF(AND($C29="Milestone",EC$8&gt;=$G29,EC$8&lt;=$G29+$H29-1),1,""))</f>
        <v/>
      </c>
      <c r="ED29" s="69" t="str">
        <f ca="1">IF(AND($C29="Goal",ED$8&gt;=$G29,ED$8&lt;=$G29+$H29-1),2,IF(AND($C29="Milestone",ED$8&gt;=$G29,ED$8&lt;=$G29+$H29-1),1,""))</f>
        <v/>
      </c>
      <c r="EE29" s="69" t="str">
        <f ca="1">IF(AND($C29="Goal",EE$8&gt;=$G29,EE$8&lt;=$G29+$H29-1),2,IF(AND($C29="Milestone",EE$8&gt;=$G29,EE$8&lt;=$G29+$H29-1),1,""))</f>
        <v/>
      </c>
      <c r="EF29" s="69" t="str">
        <f ca="1">IF(AND($C29="Goal",EF$8&gt;=$G29,EF$8&lt;=$G29+$H29-1),2,IF(AND($C29="Milestone",EF$8&gt;=$G29,EF$8&lt;=$G29+$H29-1),1,""))</f>
        <v/>
      </c>
      <c r="EG29" s="69" t="str">
        <f ca="1">IF(AND($C29="Goal",EG$8&gt;=$G29,EG$8&lt;=$G29+$H29-1),2,IF(AND($C29="Milestone",EG$8&gt;=$G29,EG$8&lt;=$G29+$H29-1),1,""))</f>
        <v/>
      </c>
      <c r="EH29" s="69" t="str">
        <f ca="1">IF(AND($C29="Goal",EH$8&gt;=$G29,EH$8&lt;=$G29+$H29-1),2,IF(AND($C29="Milestone",EH$8&gt;=$G29,EH$8&lt;=$G29+$H29-1),1,""))</f>
        <v/>
      </c>
      <c r="EI29" s="69" t="str">
        <f ca="1">IF(AND($C29="Goal",EI$8&gt;=$G29,EI$8&lt;=$G29+$H29-1),2,IF(AND($C29="Milestone",EI$8&gt;=$G29,EI$8&lt;=$G29+$H29-1),1,""))</f>
        <v/>
      </c>
      <c r="EJ29" s="69" t="str">
        <f ca="1">IF(AND($C29="Goal",EJ$8&gt;=$G29,EJ$8&lt;=$G29+$H29-1),2,IF(AND($C29="Milestone",EJ$8&gt;=$G29,EJ$8&lt;=$G29+$H29-1),1,""))</f>
        <v/>
      </c>
      <c r="EK29" s="69" t="str">
        <f ca="1">IF(AND($C29="Goal",EK$8&gt;=$G29,EK$8&lt;=$G29+$H29-1),2,IF(AND($C29="Milestone",EK$8&gt;=$G29,EK$8&lt;=$G29+$H29-1),1,""))</f>
        <v/>
      </c>
      <c r="EL29" s="69" t="str">
        <f ca="1">IF(AND($C29="Goal",EL$8&gt;=$G29,EL$8&lt;=$G29+$H29-1),2,IF(AND($C29="Milestone",EL$8&gt;=$G29,EL$8&lt;=$G29+$H29-1),1,""))</f>
        <v/>
      </c>
      <c r="EM29" s="69" t="str">
        <f ca="1">IF(AND($C29="Goal",EM$8&gt;=$G29,EM$8&lt;=$G29+$H29-1),2,IF(AND($C29="Milestone",EM$8&gt;=$G29,EM$8&lt;=$G29+$H29-1),1,""))</f>
        <v/>
      </c>
      <c r="EN29" s="69" t="str">
        <f ca="1">IF(AND($C29="Goal",EN$8&gt;=$G29,EN$8&lt;=$G29+$H29-1),2,IF(AND($C29="Milestone",EN$8&gt;=$G29,EN$8&lt;=$G29+$H29-1),1,""))</f>
        <v/>
      </c>
      <c r="EO29" s="69" t="str">
        <f ca="1">IF(AND($C29="Goal",EO$8&gt;=$G29,EO$8&lt;=$G29+$H29-1),2,IF(AND($C29="Milestone",EO$8&gt;=$G29,EO$8&lt;=$G29+$H29-1),1,""))</f>
        <v/>
      </c>
      <c r="EP29" s="69" t="str">
        <f ca="1">IF(AND($C29="Goal",EP$8&gt;=$G29,EP$8&lt;=$G29+$H29-1),2,IF(AND($C29="Milestone",EP$8&gt;=$G29,EP$8&lt;=$G29+$H29-1),1,""))</f>
        <v/>
      </c>
      <c r="EQ29" s="69" t="str">
        <f ca="1">IF(AND($C29="Goal",EQ$8&gt;=$G29,EQ$8&lt;=$G29+$H29-1),2,IF(AND($C29="Milestone",EQ$8&gt;=$G29,EQ$8&lt;=$G29+$H29-1),1,""))</f>
        <v/>
      </c>
      <c r="ER29" s="69" t="str">
        <f ca="1">IF(AND($C29="Goal",ER$8&gt;=$G29,ER$8&lt;=$G29+$H29-1),2,IF(AND($C29="Milestone",ER$8&gt;=$G29,ER$8&lt;=$G29+$H29-1),1,""))</f>
        <v/>
      </c>
      <c r="ES29" s="69" t="str">
        <f ca="1">IF(AND($C29="Goal",ES$8&gt;=$G29,ES$8&lt;=$G29+$H29-1),2,IF(AND($C29="Milestone",ES$8&gt;=$G29,ES$8&lt;=$G29+$H29-1),1,""))</f>
        <v/>
      </c>
      <c r="ET29" s="69" t="str">
        <f ca="1">IF(AND($C29="Goal",ET$8&gt;=$G29,ET$8&lt;=$G29+$H29-1),2,IF(AND($C29="Milestone",ET$8&gt;=$G29,ET$8&lt;=$G29+$H29-1),1,""))</f>
        <v/>
      </c>
      <c r="EU29" s="69" t="str">
        <f ca="1">IF(AND($C29="Goal",EU$8&gt;=$G29,EU$8&lt;=$G29+$H29-1),2,IF(AND($C29="Milestone",EU$8&gt;=$G29,EU$8&lt;=$G29+$H29-1),1,""))</f>
        <v/>
      </c>
      <c r="EV29" s="69" t="str">
        <f ca="1">IF(AND($C29="Goal",EV$8&gt;=$G29,EV$8&lt;=$G29+$H29-1),2,IF(AND($C29="Milestone",EV$8&gt;=$G29,EV$8&lt;=$G29+$H29-1),1,""))</f>
        <v/>
      </c>
      <c r="EW29" s="69" t="str">
        <f ca="1">IF(AND($C29="Goal",EW$8&gt;=$G29,EW$8&lt;=$G29+$H29-1),2,IF(AND($C29="Milestone",EW$8&gt;=$G29,EW$8&lt;=$G29+$H29-1),1,""))</f>
        <v/>
      </c>
      <c r="EX29" s="69" t="str">
        <f ca="1">IF(AND($C29="Goal",EX$8&gt;=$G29,EX$8&lt;=$G29+$H29-1),2,IF(AND($C29="Milestone",EX$8&gt;=$G29,EX$8&lt;=$G29+$H29-1),1,""))</f>
        <v/>
      </c>
      <c r="EY29" s="69" t="str">
        <f ca="1">IF(AND($C29="Goal",EY$8&gt;=$G29,EY$8&lt;=$G29+$H29-1),2,IF(AND($C29="Milestone",EY$8&gt;=$G29,EY$8&lt;=$G29+$H29-1),1,""))</f>
        <v/>
      </c>
      <c r="EZ29" s="69" t="str">
        <f ca="1">IF(AND($C29="Goal",EZ$8&gt;=$G29,EZ$8&lt;=$G29+$H29-1),2,IF(AND($C29="Milestone",EZ$8&gt;=$G29,EZ$8&lt;=$G29+$H29-1),1,""))</f>
        <v/>
      </c>
      <c r="FA29" s="69" t="str">
        <f ca="1">IF(AND($C29="Goal",FA$8&gt;=$G29,FA$8&lt;=$G29+$H29-1),2,IF(AND($C29="Milestone",FA$8&gt;=$G29,FA$8&lt;=$G29+$H29-1),1,""))</f>
        <v/>
      </c>
      <c r="FB29" s="69" t="str">
        <f ca="1">IF(AND($C29="Goal",FB$8&gt;=$G29,FB$8&lt;=$G29+$H29-1),2,IF(AND($C29="Milestone",FB$8&gt;=$G29,FB$8&lt;=$G29+$H29-1),1,""))</f>
        <v/>
      </c>
      <c r="FC29" s="69" t="str">
        <f ca="1">IF(AND($C29="Goal",FC$8&gt;=$G29,FC$8&lt;=$G29+$H29-1),2,IF(AND($C29="Milestone",FC$8&gt;=$G29,FC$8&lt;=$G29+$H29-1),1,""))</f>
        <v/>
      </c>
      <c r="FD29" s="69" t="str">
        <f ca="1">IF(AND($C29="Goal",FD$8&gt;=$G29,FD$8&lt;=$G29+$H29-1),2,IF(AND($C29="Milestone",FD$8&gt;=$G29,FD$8&lt;=$G29+$H29-1),1,""))</f>
        <v/>
      </c>
      <c r="FE29" s="69" t="str">
        <f ca="1">IF(AND($C29="Goal",FE$8&gt;=$G29,FE$8&lt;=$G29+$H29-1),2,IF(AND($C29="Milestone",FE$8&gt;=$G29,FE$8&lt;=$G29+$H29-1),1,""))</f>
        <v/>
      </c>
      <c r="FF29" s="69" t="str">
        <f ca="1">IF(AND($C29="Goal",FF$8&gt;=$G29,FF$8&lt;=$G29+$H29-1),2,IF(AND($C29="Milestone",FF$8&gt;=$G29,FF$8&lt;=$G29+$H29-1),1,""))</f>
        <v/>
      </c>
      <c r="FG29" s="69" t="str">
        <f ca="1">IF(AND($C29="Goal",FG$8&gt;=$G29,FG$8&lt;=$G29+$H29-1),2,IF(AND($C29="Milestone",FG$8&gt;=$G29,FG$8&lt;=$G29+$H29-1),1,""))</f>
        <v/>
      </c>
      <c r="FH29" s="69" t="str">
        <f ca="1">IF(AND($C29="Goal",FH$8&gt;=$G29,FH$8&lt;=$G29+$H29-1),2,IF(AND($C29="Milestone",FH$8&gt;=$G29,FH$8&lt;=$G29+$H29-1),1,""))</f>
        <v/>
      </c>
      <c r="FI29" s="69" t="str">
        <f ca="1">IF(AND($C29="Goal",FI$8&gt;=$G29,FI$8&lt;=$G29+$H29-1),2,IF(AND($C29="Milestone",FI$8&gt;=$G29,FI$8&lt;=$G29+$H29-1),1,""))</f>
        <v/>
      </c>
      <c r="FJ29" s="69" t="str">
        <f ca="1">IF(AND($C29="Goal",FJ$8&gt;=$G29,FJ$8&lt;=$G29+$H29-1),2,IF(AND($C29="Milestone",FJ$8&gt;=$G29,FJ$8&lt;=$G29+$H29-1),1,""))</f>
        <v/>
      </c>
      <c r="FK29" s="69" t="str">
        <f ca="1">IF(AND($C29="Goal",FK$8&gt;=$G29,FK$8&lt;=$G29+$H29-1),2,IF(AND($C29="Milestone",FK$8&gt;=$G29,FK$8&lt;=$G29+$H29-1),1,""))</f>
        <v/>
      </c>
      <c r="FL29" s="69" t="str">
        <f ca="1">IF(AND($C29="Goal",FL$8&gt;=$G29,FL$8&lt;=$G29+$H29-1),2,IF(AND($C29="Milestone",FL$8&gt;=$G29,FL$8&lt;=$G29+$H29-1),1,""))</f>
        <v/>
      </c>
      <c r="FM29" s="69" t="str">
        <f ca="1">IF(AND($C29="Goal",FM$8&gt;=$G29,FM$8&lt;=$G29+$H29-1),2,IF(AND($C29="Milestone",FM$8&gt;=$G29,FM$8&lt;=$G29+$H29-1),1,""))</f>
        <v/>
      </c>
      <c r="FN29" s="69" t="str">
        <f ca="1">IF(AND($C29="Goal",FN$8&gt;=$G29,FN$8&lt;=$G29+$H29-1),2,IF(AND($C29="Milestone",FN$8&gt;=$G29,FN$8&lt;=$G29+$H29-1),1,""))</f>
        <v/>
      </c>
      <c r="FO29" s="69" t="str">
        <f ca="1">IF(AND($C29="Goal",FO$8&gt;=$G29,FO$8&lt;=$G29+$H29-1),2,IF(AND($C29="Milestone",FO$8&gt;=$G29,FO$8&lt;=$G29+$H29-1),1,""))</f>
        <v/>
      </c>
      <c r="FP29" s="69" t="str">
        <f ca="1">IF(AND($C29="Goal",FP$8&gt;=$G29,FP$8&lt;=$G29+$H29-1),2,IF(AND($C29="Milestone",FP$8&gt;=$G29,FP$8&lt;=$G29+$H29-1),1,""))</f>
        <v/>
      </c>
      <c r="FQ29" s="69" t="str">
        <f ca="1">IF(AND($C29="Goal",FQ$8&gt;=$G29,FQ$8&lt;=$G29+$H29-1),2,IF(AND($C29="Milestone",FQ$8&gt;=$G29,FQ$8&lt;=$G29+$H29-1),1,""))</f>
        <v/>
      </c>
      <c r="FR29" s="69" t="str">
        <f ca="1">IF(AND($C29="Goal",FR$8&gt;=$G29,FR$8&lt;=$G29+$H29-1),2,IF(AND($C29="Milestone",FR$8&gt;=$G29,FR$8&lt;=$G29+$H29-1),1,""))</f>
        <v/>
      </c>
      <c r="FS29" s="69" t="str">
        <f ca="1">IF(AND($C29="Goal",FS$8&gt;=$G29,FS$8&lt;=$G29+$H29-1),2,IF(AND($C29="Milestone",FS$8&gt;=$G29,FS$8&lt;=$G29+$H29-1),1,""))</f>
        <v/>
      </c>
      <c r="FT29" s="69" t="str">
        <f ca="1">IF(AND($C29="Goal",FT$8&gt;=$G29,FT$8&lt;=$G29+$H29-1),2,IF(AND($C29="Milestone",FT$8&gt;=$G29,FT$8&lt;=$G29+$H29-1),1,""))</f>
        <v/>
      </c>
      <c r="FU29" s="69" t="str">
        <f ca="1">IF(AND($C29="Goal",FU$8&gt;=$G29,FU$8&lt;=$G29+$H29-1),2,IF(AND($C29="Milestone",FU$8&gt;=$G29,FU$8&lt;=$G29+$H29-1),1,""))</f>
        <v/>
      </c>
      <c r="FV29" s="69" t="str">
        <f ca="1">IF(AND($C29="Goal",FV$8&gt;=$G29,FV$8&lt;=$G29+$H29-1),2,IF(AND($C29="Milestone",FV$8&gt;=$G29,FV$8&lt;=$G29+$H29-1),1,""))</f>
        <v/>
      </c>
      <c r="FW29" s="69" t="str">
        <f ca="1">IF(AND($C29="Goal",FW$8&gt;=$G29,FW$8&lt;=$G29+$H29-1),2,IF(AND($C29="Milestone",FW$8&gt;=$G29,FW$8&lt;=$G29+$H29-1),1,""))</f>
        <v/>
      </c>
      <c r="FX29" s="69" t="str">
        <f ca="1">IF(AND($C29="Goal",FX$8&gt;=$G29,FX$8&lt;=$G29+$H29-1),2,IF(AND($C29="Milestone",FX$8&gt;=$G29,FX$8&lt;=$G29+$H29-1),1,""))</f>
        <v/>
      </c>
      <c r="FY29" s="69" t="str">
        <f ca="1">IF(AND($C29="Goal",FY$8&gt;=$G29,FY$8&lt;=$G29+$H29-1),2,IF(AND($C29="Milestone",FY$8&gt;=$G29,FY$8&lt;=$G29+$H29-1),1,""))</f>
        <v/>
      </c>
      <c r="FZ29" s="69" t="str">
        <f ca="1">IF(AND($C29="Goal",FZ$8&gt;=$G29,FZ$8&lt;=$G29+$H29-1),2,IF(AND($C29="Milestone",FZ$8&gt;=$G29,FZ$8&lt;=$G29+$H29-1),1,""))</f>
        <v/>
      </c>
      <c r="GA29" s="69" t="str">
        <f ca="1">IF(AND($C29="Goal",GA$8&gt;=$G29,GA$8&lt;=$G29+$H29-1),2,IF(AND($C29="Milestone",GA$8&gt;=$G29,GA$8&lt;=$G29+$H29-1),1,""))</f>
        <v/>
      </c>
      <c r="GB29" s="69" t="str">
        <f ca="1">IF(AND($C29="Goal",GB$8&gt;=$G29,GB$8&lt;=$G29+$H29-1),2,IF(AND($C29="Milestone",GB$8&gt;=$G29,GB$8&lt;=$G29+$H29-1),1,""))</f>
        <v/>
      </c>
      <c r="GC29" s="69" t="str">
        <f ca="1">IF(AND($C29="Goal",GC$8&gt;=$G29,GC$8&lt;=$G29+$H29-1),2,IF(AND($C29="Milestone",GC$8&gt;=$G29,GC$8&lt;=$G29+$H29-1),1,""))</f>
        <v/>
      </c>
      <c r="GD29" s="69" t="str">
        <f ca="1">IF(AND($C29="Goal",GD$8&gt;=$G29,GD$8&lt;=$G29+$H29-1),2,IF(AND($C29="Milestone",GD$8&gt;=$G29,GD$8&lt;=$G29+$H29-1),1,""))</f>
        <v/>
      </c>
      <c r="GE29" s="69" t="str">
        <f ca="1">IF(AND($C29="Goal",GE$8&gt;=$G29,GE$8&lt;=$G29+$H29-1),2,IF(AND($C29="Milestone",GE$8&gt;=$G29,GE$8&lt;=$G29+$H29-1),1,""))</f>
        <v/>
      </c>
      <c r="GF29" s="69" t="str">
        <f ca="1">IF(AND($C29="Goal",GF$8&gt;=$G29,GF$8&lt;=$G29+$H29-1),2,IF(AND($C29="Milestone",GF$8&gt;=$G29,GF$8&lt;=$G29+$H29-1),1,""))</f>
        <v/>
      </c>
      <c r="GG29" s="69" t="str">
        <f ca="1">IF(AND($C29="Goal",GG$8&gt;=$G29,GG$8&lt;=$G29+$H29-1),2,IF(AND($C29="Milestone",GG$8&gt;=$G29,GG$8&lt;=$G29+$H29-1),1,""))</f>
        <v/>
      </c>
      <c r="GH29" s="69" t="str">
        <f ca="1">IF(AND($C29="Goal",GH$8&gt;=$G29,GH$8&lt;=$G29+$H29-1),2,IF(AND($C29="Milestone",GH$8&gt;=$G29,GH$8&lt;=$G29+$H29-1),1,""))</f>
        <v/>
      </c>
      <c r="GI29" s="69" t="str">
        <f ca="1">IF(AND($C29="Goal",GI$8&gt;=$G29,GI$8&lt;=$G29+$H29-1),2,IF(AND($C29="Milestone",GI$8&gt;=$G29,GI$8&lt;=$G29+$H29-1),1,""))</f>
        <v/>
      </c>
      <c r="GJ29" s="69" t="str">
        <f ca="1">IF(AND($C29="Goal",GJ$8&gt;=$G29,GJ$8&lt;=$G29+$H29-1),2,IF(AND($C29="Milestone",GJ$8&gt;=$G29,GJ$8&lt;=$G29+$H29-1),1,""))</f>
        <v/>
      </c>
      <c r="GK29" s="69" t="str">
        <f ca="1">IF(AND($C29="Goal",GK$8&gt;=$G29,GK$8&lt;=$G29+$H29-1),2,IF(AND($C29="Milestone",GK$8&gt;=$G29,GK$8&lt;=$G29+$H29-1),1,""))</f>
        <v/>
      </c>
      <c r="GL29" s="69" t="str">
        <f ca="1">IF(AND($C29="Goal",GL$8&gt;=$G29,GL$8&lt;=$G29+$H29-1),2,IF(AND($C29="Milestone",GL$8&gt;=$G29,GL$8&lt;=$G29+$H29-1),1,""))</f>
        <v/>
      </c>
      <c r="GM29" s="69" t="str">
        <f ca="1">IF(AND($C29="Goal",GM$8&gt;=$G29,GM$8&lt;=$G29+$H29-1),2,IF(AND($C29="Milestone",GM$8&gt;=$G29,GM$8&lt;=$G29+$H29-1),1,""))</f>
        <v/>
      </c>
      <c r="GN29" s="69" t="str">
        <f ca="1">IF(AND($C29="Goal",GN$8&gt;=$G29,GN$8&lt;=$G29+$H29-1),2,IF(AND($C29="Milestone",GN$8&gt;=$G29,GN$8&lt;=$G29+$H29-1),1,""))</f>
        <v/>
      </c>
      <c r="GO29" s="69" t="str">
        <f ca="1">IF(AND($C29="Goal",GO$8&gt;=$G29,GO$8&lt;=$G29+$H29-1),2,IF(AND($C29="Milestone",GO$8&gt;=$G29,GO$8&lt;=$G29+$H29-1),1,""))</f>
        <v/>
      </c>
      <c r="GP29" s="69" t="str">
        <f ca="1">IF(AND($C29="Goal",GP$8&gt;=$G29,GP$8&lt;=$G29+$H29-1),2,IF(AND($C29="Milestone",GP$8&gt;=$G29,GP$8&lt;=$G29+$H29-1),1,""))</f>
        <v/>
      </c>
      <c r="GQ29" s="69" t="str">
        <f ca="1">IF(AND($C29="Goal",GQ$8&gt;=$G29,GQ$8&lt;=$G29+$H29-1),2,IF(AND($C29="Milestone",GQ$8&gt;=$G29,GQ$8&lt;=$G29+$H29-1),1,""))</f>
        <v/>
      </c>
      <c r="GR29" s="69" t="str">
        <f ca="1">IF(AND($C29="Goal",GR$8&gt;=$G29,GR$8&lt;=$G29+$H29-1),2,IF(AND($C29="Milestone",GR$8&gt;=$G29,GR$8&lt;=$G29+$H29-1),1,""))</f>
        <v/>
      </c>
      <c r="GS29" s="69" t="str">
        <f ca="1">IF(AND($C29="Goal",GS$8&gt;=$G29,GS$8&lt;=$G29+$H29-1),2,IF(AND($C29="Milestone",GS$8&gt;=$G29,GS$8&lt;=$G29+$H29-1),1,""))</f>
        <v/>
      </c>
      <c r="GT29" s="69" t="str">
        <f ca="1">IF(AND($C29="Goal",GT$8&gt;=$G29,GT$8&lt;=$G29+$H29-1),2,IF(AND($C29="Milestone",GT$8&gt;=$G29,GT$8&lt;=$G29+$H29-1),1,""))</f>
        <v/>
      </c>
      <c r="GU29" s="69" t="str">
        <f ca="1">IF(AND($C29="Goal",GU$8&gt;=$G29,GU$8&lt;=$G29+$H29-1),2,IF(AND($C29="Milestone",GU$8&gt;=$G29,GU$8&lt;=$G29+$H29-1),1,""))</f>
        <v/>
      </c>
      <c r="GV29" s="69" t="str">
        <f ca="1">IF(AND($C29="Goal",GV$8&gt;=$G29,GV$8&lt;=$G29+$H29-1),2,IF(AND($C29="Milestone",GV$8&gt;=$G29,GV$8&lt;=$G29+$H29-1),1,""))</f>
        <v/>
      </c>
      <c r="GW29" s="69" t="str">
        <f ca="1">IF(AND($C29="Goal",GW$8&gt;=$G29,GW$8&lt;=$G29+$H29-1),2,IF(AND($C29="Milestone",GW$8&gt;=$G29,GW$8&lt;=$G29+$H29-1),1,""))</f>
        <v/>
      </c>
      <c r="GX29" s="69" t="str">
        <f ca="1">IF(AND($C29="Goal",GX$8&gt;=$G29,GX$8&lt;=$G29+$H29-1),2,IF(AND($C29="Milestone",GX$8&gt;=$G29,GX$8&lt;=$G29+$H29-1),1,""))</f>
        <v/>
      </c>
      <c r="GY29" s="69" t="str">
        <f ca="1">IF(AND($C29="Goal",GY$8&gt;=$G29,GY$8&lt;=$G29+$H29-1),2,IF(AND($C29="Milestone",GY$8&gt;=$G29,GY$8&lt;=$G29+$H29-1),1,""))</f>
        <v/>
      </c>
      <c r="GZ29" s="69" t="str">
        <f ca="1">IF(AND($C29="Goal",GZ$8&gt;=$G29,GZ$8&lt;=$G29+$H29-1),2,IF(AND($C29="Milestone",GZ$8&gt;=$G29,GZ$8&lt;=$G29+$H29-1),1,""))</f>
        <v/>
      </c>
      <c r="HA29" s="69" t="str">
        <f ca="1">IF(AND($C29="Goal",HA$8&gt;=$G29,HA$8&lt;=$G29+$H29-1),2,IF(AND($C29="Milestone",HA$8&gt;=$G29,HA$8&lt;=$G29+$H29-1),1,""))</f>
        <v/>
      </c>
      <c r="HB29" s="69" t="str">
        <f ca="1">IF(AND($C29="Goal",HB$8&gt;=$G29,HB$8&lt;=$G29+$H29-1),2,IF(AND($C29="Milestone",HB$8&gt;=$G29,HB$8&lt;=$G29+$H29-1),1,""))</f>
        <v/>
      </c>
      <c r="HC29" s="69" t="str">
        <f ca="1">IF(AND($C29="Goal",HC$8&gt;=$G29,HC$8&lt;=$G29+$H29-1),2,IF(AND($C29="Milestone",HC$8&gt;=$G29,HC$8&lt;=$G29+$H29-1),1,""))</f>
        <v/>
      </c>
      <c r="HD29" s="69" t="str">
        <f ca="1">IF(AND($C29="Goal",HD$8&gt;=$G29,HD$8&lt;=$G29+$H29-1),2,IF(AND($C29="Milestone",HD$8&gt;=$G29,HD$8&lt;=$G29+$H29-1),1,""))</f>
        <v/>
      </c>
      <c r="HE29" s="69" t="str">
        <f ca="1">IF(AND($C29="Goal",HE$8&gt;=$G29,HE$8&lt;=$G29+$H29-1),2,IF(AND($C29="Milestone",HE$8&gt;=$G29,HE$8&lt;=$G29+$H29-1),1,""))</f>
        <v/>
      </c>
      <c r="HF29" s="69" t="str">
        <f ca="1">IF(AND($C29="Goal",HF$8&gt;=$G29,HF$8&lt;=$G29+$H29-1),2,IF(AND($C29="Milestone",HF$8&gt;=$G29,HF$8&lt;=$G29+$H29-1),1,""))</f>
        <v/>
      </c>
      <c r="HG29" s="69" t="str">
        <f ca="1">IF(AND($C29="Goal",HG$8&gt;=$G29,HG$8&lt;=$G29+$H29-1),2,IF(AND($C29="Milestone",HG$8&gt;=$G29,HG$8&lt;=$G29+$H29-1),1,""))</f>
        <v/>
      </c>
      <c r="HH29" s="69" t="str">
        <f ca="1">IF(AND($C29="Goal",HH$8&gt;=$G29,HH$8&lt;=$G29+$H29-1),2,IF(AND($C29="Milestone",HH$8&gt;=$G29,HH$8&lt;=$G29+$H29-1),1,""))</f>
        <v/>
      </c>
      <c r="HI29" s="69" t="str">
        <f ca="1">IF(AND($C29="Goal",HI$8&gt;=$G29,HI$8&lt;=$G29+$H29-1),2,IF(AND($C29="Milestone",HI$8&gt;=$G29,HI$8&lt;=$G29+$H29-1),1,""))</f>
        <v/>
      </c>
      <c r="HJ29" s="69" t="str">
        <f ca="1">IF(AND($C29="Goal",HJ$8&gt;=$G29,HJ$8&lt;=$G29+$H29-1),2,IF(AND($C29="Milestone",HJ$8&gt;=$G29,HJ$8&lt;=$G29+$H29-1),1,""))</f>
        <v/>
      </c>
      <c r="HK29" s="69" t="str">
        <f ca="1">IF(AND($C29="Goal",HK$8&gt;=$G29,HK$8&lt;=$G29+$H29-1),2,IF(AND($C29="Milestone",HK$8&gt;=$G29,HK$8&lt;=$G29+$H29-1),1,""))</f>
        <v/>
      </c>
      <c r="HL29" s="69" t="str">
        <f ca="1">IF(AND($C29="Goal",HL$8&gt;=$G29,HL$8&lt;=$G29+$H29-1),2,IF(AND($C29="Milestone",HL$8&gt;=$G29,HL$8&lt;=$G29+$H29-1),1,""))</f>
        <v/>
      </c>
      <c r="HM29" s="69" t="str">
        <f ca="1">IF(AND($C29="Goal",HM$8&gt;=$G29,HM$8&lt;=$G29+$H29-1),2,IF(AND($C29="Milestone",HM$8&gt;=$G29,HM$8&lt;=$G29+$H29-1),1,""))</f>
        <v/>
      </c>
      <c r="HN29" s="69" t="str">
        <f ca="1">IF(AND($C29="Goal",HN$8&gt;=$G29,HN$8&lt;=$G29+$H29-1),2,IF(AND($C29="Milestone",HN$8&gt;=$G29,HN$8&lt;=$G29+$H29-1),1,""))</f>
        <v/>
      </c>
      <c r="HO29" s="69" t="str">
        <f ca="1">IF(AND($C29="Goal",HO$8&gt;=$G29,HO$8&lt;=$G29+$H29-1),2,IF(AND($C29="Milestone",HO$8&gt;=$G29,HO$8&lt;=$G29+$H29-1),1,""))</f>
        <v/>
      </c>
      <c r="HP29" s="69" t="str">
        <f ca="1">IF(AND($C29="Goal",HP$8&gt;=$G29,HP$8&lt;=$G29+$H29-1),2,IF(AND($C29="Milestone",HP$8&gt;=$G29,HP$8&lt;=$G29+$H29-1),1,""))</f>
        <v/>
      </c>
      <c r="HQ29" s="69" t="str">
        <f ca="1">IF(AND($C29="Goal",HQ$8&gt;=$G29,HQ$8&lt;=$G29+$H29-1),2,IF(AND($C29="Milestone",HQ$8&gt;=$G29,HQ$8&lt;=$G29+$H29-1),1,""))</f>
        <v/>
      </c>
      <c r="HR29" s="69" t="str">
        <f ca="1">IF(AND($C29="Goal",HR$8&gt;=$G29,HR$8&lt;=$G29+$H29-1),2,IF(AND($C29="Milestone",HR$8&gt;=$G29,HR$8&lt;=$G29+$H29-1),1,""))</f>
        <v/>
      </c>
      <c r="HS29" s="69" t="str">
        <f ca="1">IF(AND($C29="Goal",HS$8&gt;=$G29,HS$8&lt;=$G29+$H29-1),2,IF(AND($C29="Milestone",HS$8&gt;=$G29,HS$8&lt;=$G29+$H29-1),1,""))</f>
        <v/>
      </c>
      <c r="HT29" s="69" t="str">
        <f ca="1">IF(AND($C29="Goal",HT$8&gt;=$G29,HT$8&lt;=$G29+$H29-1),2,IF(AND($C29="Milestone",HT$8&gt;=$G29,HT$8&lt;=$G29+$H29-1),1,""))</f>
        <v/>
      </c>
      <c r="HU29" s="69" t="str">
        <f ca="1">IF(AND($C29="Goal",HU$8&gt;=$G29,HU$8&lt;=$G29+$H29-1),2,IF(AND($C29="Milestone",HU$8&gt;=$G29,HU$8&lt;=$G29+$H29-1),1,""))</f>
        <v/>
      </c>
      <c r="HV29" s="69" t="str">
        <f ca="1">IF(AND($C29="Goal",HV$8&gt;=$G29,HV$8&lt;=$G29+$H29-1),2,IF(AND($C29="Milestone",HV$8&gt;=$G29,HV$8&lt;=$G29+$H29-1),1,""))</f>
        <v/>
      </c>
      <c r="HW29" s="69" t="str">
        <f ca="1">IF(AND($C29="Goal",HW$8&gt;=$G29,HW$8&lt;=$G29+$H29-1),2,IF(AND($C29="Milestone",HW$8&gt;=$G29,HW$8&lt;=$G29+$H29-1),1,""))</f>
        <v/>
      </c>
      <c r="HX29" s="69" t="str">
        <f ca="1">IF(AND($C29="Goal",HX$8&gt;=$G29,HX$8&lt;=$G29+$H29-1),2,IF(AND($C29="Milestone",HX$8&gt;=$G29,HX$8&lt;=$G29+$H29-1),1,""))</f>
        <v/>
      </c>
      <c r="HY29" s="69" t="str">
        <f ca="1">IF(AND($C29="Goal",HY$8&gt;=$G29,HY$8&lt;=$G29+$H29-1),2,IF(AND($C29="Milestone",HY$8&gt;=$G29,HY$8&lt;=$G29+$H29-1),1,""))</f>
        <v/>
      </c>
      <c r="HZ29" s="69" t="str">
        <f ca="1">IF(AND($C29="Goal",HZ$8&gt;=$G29,HZ$8&lt;=$G29+$H29-1),2,IF(AND($C29="Milestone",HZ$8&gt;=$G29,HZ$8&lt;=$G29+$H29-1),1,""))</f>
        <v/>
      </c>
      <c r="IA29" s="69" t="str">
        <f ca="1">IF(AND($C29="Goal",IA$8&gt;=$G29,IA$8&lt;=$G29+$H29-1),2,IF(AND($C29="Milestone",IA$8&gt;=$G29,IA$8&lt;=$G29+$H29-1),1,""))</f>
        <v/>
      </c>
      <c r="IB29" s="69" t="str">
        <f ca="1">IF(AND($C29="Goal",IB$8&gt;=$G29,IB$8&lt;=$G29+$H29-1),2,IF(AND($C29="Milestone",IB$8&gt;=$G29,IB$8&lt;=$G29+$H29-1),1,""))</f>
        <v/>
      </c>
      <c r="IC29" s="69" t="str">
        <f ca="1">IF(AND($C29="Goal",IC$8&gt;=$G29,IC$8&lt;=$G29+$H29-1),2,IF(AND($C29="Milestone",IC$8&gt;=$G29,IC$8&lt;=$G29+$H29-1),1,""))</f>
        <v/>
      </c>
      <c r="ID29" s="69" t="str">
        <f ca="1">IF(AND($C29="Goal",ID$8&gt;=$G29,ID$8&lt;=$G29+$H29-1),2,IF(AND($C29="Milestone",ID$8&gt;=$G29,ID$8&lt;=$G29+$H29-1),1,""))</f>
        <v/>
      </c>
      <c r="IE29" s="69" t="str">
        <f ca="1">IF(AND($C29="Goal",IE$8&gt;=$G29,IE$8&lt;=$G29+$H29-1),2,IF(AND($C29="Milestone",IE$8&gt;=$G29,IE$8&lt;=$G29+$H29-1),1,""))</f>
        <v/>
      </c>
      <c r="IF29" s="69" t="str">
        <f ca="1">IF(AND($C29="Goal",IF$8&gt;=$G29,IF$8&lt;=$G29+$H29-1),2,IF(AND($C29="Milestone",IF$8&gt;=$G29,IF$8&lt;=$G29+$H29-1),1,""))</f>
        <v/>
      </c>
      <c r="IG29" s="69" t="str">
        <f ca="1">IF(AND($C29="Goal",IG$8&gt;=$G29,IG$8&lt;=$G29+$H29-1),2,IF(AND($C29="Milestone",IG$8&gt;=$G29,IG$8&lt;=$G29+$H29-1),1,""))</f>
        <v/>
      </c>
      <c r="IH29" s="69" t="str">
        <f ca="1">IF(AND($C29="Goal",IH$8&gt;=$G29,IH$8&lt;=$G29+$H29-1),2,IF(AND($C29="Milestone",IH$8&gt;=$G29,IH$8&lt;=$G29+$H29-1),1,""))</f>
        <v/>
      </c>
      <c r="II29" s="69" t="str">
        <f ca="1">IF(AND($C29="Goal",II$8&gt;=$G29,II$8&lt;=$G29+$H29-1),2,IF(AND($C29="Milestone",II$8&gt;=$G29,II$8&lt;=$G29+$H29-1),1,""))</f>
        <v/>
      </c>
      <c r="IJ29" s="69" t="str">
        <f ca="1">IF(AND($C29="Goal",IJ$8&gt;=$G29,IJ$8&lt;=$G29+$H29-1),2,IF(AND($C29="Milestone",IJ$8&gt;=$G29,IJ$8&lt;=$G29+$H29-1),1,""))</f>
        <v/>
      </c>
      <c r="IK29" s="69" t="str">
        <f ca="1">IF(AND($C29="Goal",IK$8&gt;=$G29,IK$8&lt;=$G29+$H29-1),2,IF(AND($C29="Milestone",IK$8&gt;=$G29,IK$8&lt;=$G29+$H29-1),1,""))</f>
        <v/>
      </c>
      <c r="IL29" s="69" t="str">
        <f ca="1">IF(AND($C29="Goal",IL$8&gt;=$G29,IL$8&lt;=$G29+$H29-1),2,IF(AND($C29="Milestone",IL$8&gt;=$G29,IL$8&lt;=$G29+$H29-1),1,""))</f>
        <v/>
      </c>
      <c r="IM29" s="69" t="str">
        <f ca="1">IF(AND($C29="Goal",IM$8&gt;=$G29,IM$8&lt;=$G29+$H29-1),2,IF(AND($C29="Milestone",IM$8&gt;=$G29,IM$8&lt;=$G29+$H29-1),1,""))</f>
        <v/>
      </c>
      <c r="IN29" s="69" t="str">
        <f ca="1">IF(AND($C29="Goal",IN$8&gt;=$G29,IN$8&lt;=$G29+$H29-1),2,IF(AND($C29="Milestone",IN$8&gt;=$G29,IN$8&lt;=$G29+$H29-1),1,""))</f>
        <v/>
      </c>
      <c r="IO29" s="69" t="str">
        <f ca="1">IF(AND($C29="Goal",IO$8&gt;=$G29,IO$8&lt;=$G29+$H29-1),2,IF(AND($C29="Milestone",IO$8&gt;=$G29,IO$8&lt;=$G29+$H29-1),1,""))</f>
        <v/>
      </c>
      <c r="IP29" s="69" t="str">
        <f ca="1">IF(AND($C29="Goal",IP$8&gt;=$G29,IP$8&lt;=$G29+$H29-1),2,IF(AND($C29="Milestone",IP$8&gt;=$G29,IP$8&lt;=$G29+$H29-1),1,""))</f>
        <v/>
      </c>
      <c r="IQ29" s="69" t="str">
        <f ca="1">IF(AND($C29="Goal",IQ$8&gt;=$G29,IQ$8&lt;=$G29+$H29-1),2,IF(AND($C29="Milestone",IQ$8&gt;=$G29,IQ$8&lt;=$G29+$H29-1),1,""))</f>
        <v/>
      </c>
      <c r="IR29" s="69" t="str">
        <f ca="1">IF(AND($C29="Goal",IR$8&gt;=$G29,IR$8&lt;=$G29+$H29-1),2,IF(AND($C29="Milestone",IR$8&gt;=$G29,IR$8&lt;=$G29+$H29-1),1,""))</f>
        <v/>
      </c>
      <c r="IS29" s="69" t="str">
        <f ca="1">IF(AND($C29="Goal",IS$8&gt;=$G29,IS$8&lt;=$G29+$H29-1),2,IF(AND($C29="Milestone",IS$8&gt;=$G29,IS$8&lt;=$G29+$H29-1),1,""))</f>
        <v/>
      </c>
      <c r="IT29" s="69" t="str">
        <f ca="1">IF(AND($C29="Goal",IT$8&gt;=$G29,IT$8&lt;=$G29+$H29-1),2,IF(AND($C29="Milestone",IT$8&gt;=$G29,IT$8&lt;=$G29+$H29-1),1,""))</f>
        <v/>
      </c>
      <c r="IU29" s="69" t="str">
        <f ca="1">IF(AND($C29="Goal",IU$8&gt;=$G29,IU$8&lt;=$G29+$H29-1),2,IF(AND($C29="Milestone",IU$8&gt;=$G29,IU$8&lt;=$G29+$H29-1),1,""))</f>
        <v/>
      </c>
      <c r="IV29" s="69" t="str">
        <f ca="1">IF(AND($C29="Goal",IV$8&gt;=$G29,IV$8&lt;=$G29+$H29-1),2,IF(AND($C29="Milestone",IV$8&gt;=$G29,IV$8&lt;=$G29+$H29-1),1,""))</f>
        <v/>
      </c>
      <c r="IW29" s="69" t="str">
        <f ca="1">IF(AND($C29="Goal",IW$8&gt;=$G29,IW$8&lt;=$G29+$H29-1),2,IF(AND($C29="Milestone",IW$8&gt;=$G29,IW$8&lt;=$G29+$H29-1),1,""))</f>
        <v/>
      </c>
      <c r="IX29" s="69" t="str">
        <f ca="1">IF(AND($C29="Goal",IX$8&gt;=$G29,IX$8&lt;=$G29+$H29-1),2,IF(AND($C29="Milestone",IX$8&gt;=$G29,IX$8&lt;=$G29+$H29-1),1,""))</f>
        <v/>
      </c>
      <c r="IY29" s="69" t="str">
        <f ca="1">IF(AND($C29="Goal",IY$8&gt;=$G29,IY$8&lt;=$G29+$H29-1),2,IF(AND($C29="Milestone",IY$8&gt;=$G29,IY$8&lt;=$G29+$H29-1),1,""))</f>
        <v/>
      </c>
      <c r="IZ29" s="69" t="str">
        <f ca="1">IF(AND($C29="Goal",IZ$8&gt;=$G29,IZ$8&lt;=$G29+$H29-1),2,IF(AND($C29="Milestone",IZ$8&gt;=$G29,IZ$8&lt;=$G29+$H29-1),1,""))</f>
        <v/>
      </c>
      <c r="JA29" s="69" t="str">
        <f ca="1">IF(AND($C29="Goal",JA$8&gt;=$G29,JA$8&lt;=$G29+$H29-1),2,IF(AND($C29="Milestone",JA$8&gt;=$G29,JA$8&lt;=$G29+$H29-1),1,""))</f>
        <v/>
      </c>
      <c r="JB29" s="69" t="str">
        <f ca="1">IF(AND($C29="Goal",JB$8&gt;=$G29,JB$8&lt;=$G29+$H29-1),2,IF(AND($C29="Milestone",JB$8&gt;=$G29,JB$8&lt;=$G29+$H29-1),1,""))</f>
        <v/>
      </c>
      <c r="JC29" s="69" t="str">
        <f ca="1">IF(AND($C29="Goal",JC$8&gt;=$G29,JC$8&lt;=$G29+$H29-1),2,IF(AND($C29="Milestone",JC$8&gt;=$G29,JC$8&lt;=$G29+$H29-1),1,""))</f>
        <v/>
      </c>
      <c r="JD29" s="69" t="str">
        <f ca="1">IF(AND($C29="Goal",JD$8&gt;=$G29,JD$8&lt;=$G29+$H29-1),2,IF(AND($C29="Milestone",JD$8&gt;=$G29,JD$8&lt;=$G29+$H29-1),1,""))</f>
        <v/>
      </c>
      <c r="JE29" s="69" t="str">
        <f ca="1">IF(AND($C29="Goal",JE$8&gt;=$G29,JE$8&lt;=$G29+$H29-1),2,IF(AND($C29="Milestone",JE$8&gt;=$G29,JE$8&lt;=$G29+$H29-1),1,""))</f>
        <v/>
      </c>
      <c r="JF29" s="69" t="str">
        <f ca="1">IF(AND($C29="Goal",JF$8&gt;=$G29,JF$8&lt;=$G29+$H29-1),2,IF(AND($C29="Milestone",JF$8&gt;=$G29,JF$8&lt;=$G29+$H29-1),1,""))</f>
        <v/>
      </c>
      <c r="JG29" s="69" t="str">
        <f ca="1">IF(AND($C29="Goal",JG$8&gt;=$G29,JG$8&lt;=$G29+$H29-1),2,IF(AND($C29="Milestone",JG$8&gt;=$G29,JG$8&lt;=$G29+$H29-1),1,""))</f>
        <v/>
      </c>
      <c r="JH29" s="69" t="str">
        <f ca="1">IF(AND($C29="Goal",JH$8&gt;=$G29,JH$8&lt;=$G29+$H29-1),2,IF(AND($C29="Milestone",JH$8&gt;=$G29,JH$8&lt;=$G29+$H29-1),1,""))</f>
        <v/>
      </c>
      <c r="JI29" s="69" t="str">
        <f ca="1">IF(AND($C29="Goal",JI$8&gt;=$G29,JI$8&lt;=$G29+$H29-1),2,IF(AND($C29="Milestone",JI$8&gt;=$G29,JI$8&lt;=$G29+$H29-1),1,""))</f>
        <v/>
      </c>
      <c r="JJ29" s="69" t="str">
        <f ca="1">IF(AND($C29="Goal",JJ$8&gt;=$G29,JJ$8&lt;=$G29+$H29-1),2,IF(AND($C29="Milestone",JJ$8&gt;=$G29,JJ$8&lt;=$G29+$H29-1),1,""))</f>
        <v/>
      </c>
      <c r="JK29" s="69" t="str">
        <f ca="1">IF(AND($C29="Goal",JK$8&gt;=$G29,JK$8&lt;=$G29+$H29-1),2,IF(AND($C29="Milestone",JK$8&gt;=$G29,JK$8&lt;=$G29+$H29-1),1,""))</f>
        <v/>
      </c>
      <c r="JL29" s="69" t="str">
        <f ca="1">IF(AND($C29="Goal",JL$8&gt;=$G29,JL$8&lt;=$G29+$H29-1),2,IF(AND($C29="Milestone",JL$8&gt;=$G29,JL$8&lt;=$G29+$H29-1),1,""))</f>
        <v/>
      </c>
      <c r="JM29" s="69" t="str">
        <f ca="1">IF(AND($C29="Goal",JM$8&gt;=$G29,JM$8&lt;=$G29+$H29-1),2,IF(AND($C29="Milestone",JM$8&gt;=$G29,JM$8&lt;=$G29+$H29-1),1,""))</f>
        <v/>
      </c>
      <c r="JN29" s="69" t="str">
        <f ca="1">IF(AND($C29="Goal",JN$8&gt;=$G29,JN$8&lt;=$G29+$H29-1),2,IF(AND($C29="Milestone",JN$8&gt;=$G29,JN$8&lt;=$G29+$H29-1),1,""))</f>
        <v/>
      </c>
      <c r="JO29" s="69" t="str">
        <f ca="1">IF(AND($C29="Goal",JO$8&gt;=$G29,JO$8&lt;=$G29+$H29-1),2,IF(AND($C29="Milestone",JO$8&gt;=$G29,JO$8&lt;=$G29+$H29-1),1,""))</f>
        <v/>
      </c>
      <c r="JP29" s="69" t="str">
        <f ca="1">IF(AND($C29="Goal",JP$8&gt;=$G29,JP$8&lt;=$G29+$H29-1),2,IF(AND($C29="Milestone",JP$8&gt;=$G29,JP$8&lt;=$G29+$H29-1),1,""))</f>
        <v/>
      </c>
      <c r="JQ29" s="69" t="str">
        <f ca="1">IF(AND($C29="Goal",JQ$8&gt;=$G29,JQ$8&lt;=$G29+$H29-1),2,IF(AND($C29="Milestone",JQ$8&gt;=$G29,JQ$8&lt;=$G29+$H29-1),1,""))</f>
        <v/>
      </c>
      <c r="JR29" s="69" t="str">
        <f ca="1">IF(AND($C29="Goal",JR$8&gt;=$G29,JR$8&lt;=$G29+$H29-1),2,IF(AND($C29="Milestone",JR$8&gt;=$G29,JR$8&lt;=$G29+$H29-1),1,""))</f>
        <v/>
      </c>
      <c r="JS29" s="69" t="str">
        <f ca="1">IF(AND($C29="Goal",JS$8&gt;=$G29,JS$8&lt;=$G29+$H29-1),2,IF(AND($C29="Milestone",JS$8&gt;=$G29,JS$8&lt;=$G29+$H29-1),1,""))</f>
        <v/>
      </c>
      <c r="JT29" s="69" t="str">
        <f ca="1">IF(AND($C29="Goal",JT$8&gt;=$G29,JT$8&lt;=$G29+$H29-1),2,IF(AND($C29="Milestone",JT$8&gt;=$G29,JT$8&lt;=$G29+$H29-1),1,""))</f>
        <v/>
      </c>
      <c r="JU29" s="69" t="str">
        <f ca="1">IF(AND($C29="Goal",JU$8&gt;=$G29,JU$8&lt;=$G29+$H29-1),2,IF(AND($C29="Milestone",JU$8&gt;=$G29,JU$8&lt;=$G29+$H29-1),1,""))</f>
        <v/>
      </c>
      <c r="JV29" s="69" t="str">
        <f ca="1">IF(AND($C29="Goal",JV$8&gt;=$G29,JV$8&lt;=$G29+$H29-1),2,IF(AND($C29="Milestone",JV$8&gt;=$G29,JV$8&lt;=$G29+$H29-1),1,""))</f>
        <v/>
      </c>
      <c r="JW29" s="69" t="str">
        <f ca="1">IF(AND($C29="Goal",JW$8&gt;=$G29,JW$8&lt;=$G29+$H29-1),2,IF(AND($C29="Milestone",JW$8&gt;=$G29,JW$8&lt;=$G29+$H29-1),1,""))</f>
        <v/>
      </c>
      <c r="JX29" s="69" t="str">
        <f ca="1">IF(AND($C29="Goal",JX$8&gt;=$G29,JX$8&lt;=$G29+$H29-1),2,IF(AND($C29="Milestone",JX$8&gt;=$G29,JX$8&lt;=$G29+$H29-1),1,""))</f>
        <v/>
      </c>
      <c r="JY29" s="69" t="str">
        <f ca="1">IF(AND($C29="Goal",JY$8&gt;=$G29,JY$8&lt;=$G29+$H29-1),2,IF(AND($C29="Milestone",JY$8&gt;=$G29,JY$8&lt;=$G29+$H29-1),1,""))</f>
        <v/>
      </c>
      <c r="JZ29" s="69" t="str">
        <f ca="1">IF(AND($C29="Goal",JZ$8&gt;=$G29,JZ$8&lt;=$G29+$H29-1),2,IF(AND($C29="Milestone",JZ$8&gt;=$G29,JZ$8&lt;=$G29+$H29-1),1,""))</f>
        <v/>
      </c>
      <c r="KA29" s="69" t="str">
        <f ca="1">IF(AND($C29="Goal",KA$8&gt;=$G29,KA$8&lt;=$G29+$H29-1),2,IF(AND($C29="Milestone",KA$8&gt;=$G29,KA$8&lt;=$G29+$H29-1),1,""))</f>
        <v/>
      </c>
      <c r="KB29" s="69" t="str">
        <f ca="1">IF(AND($C29="Goal",KB$8&gt;=$G29,KB$8&lt;=$G29+$H29-1),2,IF(AND($C29="Milestone",KB$8&gt;=$G29,KB$8&lt;=$G29+$H29-1),1,""))</f>
        <v/>
      </c>
      <c r="KC29" s="69" t="str">
        <f ca="1">IF(AND($C29="Goal",KC$8&gt;=$G29,KC$8&lt;=$G29+$H29-1),2,IF(AND($C29="Milestone",KC$8&gt;=$G29,KC$8&lt;=$G29+$H29-1),1,""))</f>
        <v/>
      </c>
      <c r="KD29" s="69" t="str">
        <f ca="1">IF(AND($C29="Goal",KD$8&gt;=$G29,KD$8&lt;=$G29+$H29-1),2,IF(AND($C29="Milestone",KD$8&gt;=$G29,KD$8&lt;=$G29+$H29-1),1,""))</f>
        <v/>
      </c>
      <c r="KE29" s="69" t="str">
        <f ca="1">IF(AND($C29="Goal",KE$8&gt;=$G29,KE$8&lt;=$G29+$H29-1),2,IF(AND($C29="Milestone",KE$8&gt;=$G29,KE$8&lt;=$G29+$H29-1),1,""))</f>
        <v/>
      </c>
      <c r="KF29" s="69" t="str">
        <f ca="1">IF(AND($C29="Goal",KF$8&gt;=$G29,KF$8&lt;=$G29+$H29-1),2,IF(AND($C29="Milestone",KF$8&gt;=$G29,KF$8&lt;=$G29+$H29-1),1,""))</f>
        <v/>
      </c>
      <c r="KG29" s="69" t="str">
        <f ca="1">IF(AND($C29="Goal",KG$8&gt;=$G29,KG$8&lt;=$G29+$H29-1),2,IF(AND($C29="Milestone",KG$8&gt;=$G29,KG$8&lt;=$G29+$H29-1),1,""))</f>
        <v/>
      </c>
      <c r="KH29" s="69" t="str">
        <f ca="1">IF(AND($C29="Goal",KH$8&gt;=$G29,KH$8&lt;=$G29+$H29-1),2,IF(AND($C29="Milestone",KH$8&gt;=$G29,KH$8&lt;=$G29+$H29-1),1,""))</f>
        <v/>
      </c>
      <c r="KI29" s="69" t="str">
        <f ca="1">IF(AND($C29="Goal",KI$8&gt;=$G29,KI$8&lt;=$G29+$H29-1),2,IF(AND($C29="Milestone",KI$8&gt;=$G29,KI$8&lt;=$G29+$H29-1),1,""))</f>
        <v/>
      </c>
      <c r="KJ29" s="69" t="str">
        <f ca="1">IF(AND($C29="Goal",KJ$8&gt;=$G29,KJ$8&lt;=$G29+$H29-1),2,IF(AND($C29="Milestone",KJ$8&gt;=$G29,KJ$8&lt;=$G29+$H29-1),1,""))</f>
        <v/>
      </c>
      <c r="KK29" s="69" t="str">
        <f ca="1">IF(AND($C29="Goal",KK$8&gt;=$G29,KK$8&lt;=$G29+$H29-1),2,IF(AND($C29="Milestone",KK$8&gt;=$G29,KK$8&lt;=$G29+$H29-1),1,""))</f>
        <v/>
      </c>
      <c r="KL29" s="69" t="str">
        <f ca="1">IF(AND($C29="Goal",KL$8&gt;=$G29,KL$8&lt;=$G29+$H29-1),2,IF(AND($C29="Milestone",KL$8&gt;=$G29,KL$8&lt;=$G29+$H29-1),1,""))</f>
        <v/>
      </c>
      <c r="KM29" s="69" t="str">
        <f ca="1">IF(AND($C29="Goal",KM$8&gt;=$G29,KM$8&lt;=$G29+$H29-1),2,IF(AND($C29="Milestone",KM$8&gt;=$G29,KM$8&lt;=$G29+$H29-1),1,""))</f>
        <v/>
      </c>
      <c r="KN29" s="69" t="str">
        <f ca="1">IF(AND($C29="Goal",KN$8&gt;=$G29,KN$8&lt;=$G29+$H29-1),2,IF(AND($C29="Milestone",KN$8&gt;=$G29,KN$8&lt;=$G29+$H29-1),1,""))</f>
        <v/>
      </c>
      <c r="KO29" s="69" t="str">
        <f ca="1">IF(AND($C29="Goal",KO$8&gt;=$G29,KO$8&lt;=$G29+$H29-1),2,IF(AND($C29="Milestone",KO$8&gt;=$G29,KO$8&lt;=$G29+$H29-1),1,""))</f>
        <v/>
      </c>
      <c r="KP29" s="69" t="str">
        <f ca="1">IF(AND($C29="Goal",KP$8&gt;=$G29,KP$8&lt;=$G29+$H29-1),2,IF(AND($C29="Milestone",KP$8&gt;=$G29,KP$8&lt;=$G29+$H29-1),1,""))</f>
        <v/>
      </c>
      <c r="KQ29" s="69" t="str">
        <f ca="1">IF(AND($C29="Goal",KQ$8&gt;=$G29,KQ$8&lt;=$G29+$H29-1),2,IF(AND($C29="Milestone",KQ$8&gt;=$G29,KQ$8&lt;=$G29+$H29-1),1,""))</f>
        <v/>
      </c>
      <c r="KR29" s="69" t="str">
        <f ca="1">IF(AND($C29="Goal",KR$8&gt;=$G29,KR$8&lt;=$G29+$H29-1),2,IF(AND($C29="Milestone",KR$8&gt;=$G29,KR$8&lt;=$G29+$H29-1),1,""))</f>
        <v/>
      </c>
      <c r="KS29" s="69" t="str">
        <f ca="1">IF(AND($C29="Goal",KS$8&gt;=$G29,KS$8&lt;=$G29+$H29-1),2,IF(AND($C29="Milestone",KS$8&gt;=$G29,KS$8&lt;=$G29+$H29-1),1,""))</f>
        <v/>
      </c>
      <c r="KT29" s="69" t="str">
        <f ca="1">IF(AND($C29="Goal",KT$8&gt;=$G29,KT$8&lt;=$G29+$H29-1),2,IF(AND($C29="Milestone",KT$8&gt;=$G29,KT$8&lt;=$G29+$H29-1),1,""))</f>
        <v/>
      </c>
      <c r="KU29" s="69" t="str">
        <f ca="1">IF(AND($C29="Goal",KU$8&gt;=$G29,KU$8&lt;=$G29+$H29-1),2,IF(AND($C29="Milestone",KU$8&gt;=$G29,KU$8&lt;=$G29+$H29-1),1,""))</f>
        <v/>
      </c>
      <c r="KV29" s="69" t="str">
        <f ca="1">IF(AND($C29="Goal",KV$8&gt;=$G29,KV$8&lt;=$G29+$H29-1),2,IF(AND($C29="Milestone",KV$8&gt;=$G29,KV$8&lt;=$G29+$H29-1),1,""))</f>
        <v/>
      </c>
      <c r="KW29" s="69" t="str">
        <f ca="1">IF(AND($C29="Goal",KW$8&gt;=$G29,KW$8&lt;=$G29+$H29-1),2,IF(AND($C29="Milestone",KW$8&gt;=$G29,KW$8&lt;=$G29+$H29-1),1,""))</f>
        <v/>
      </c>
      <c r="KX29" s="69" t="str">
        <f ca="1">IF(AND($C29="Goal",KX$8&gt;=$G29,KX$8&lt;=$G29+$H29-1),2,IF(AND($C29="Milestone",KX$8&gt;=$G29,KX$8&lt;=$G29+$H29-1),1,""))</f>
        <v/>
      </c>
      <c r="KY29" s="69" t="str">
        <f ca="1">IF(AND($C29="Goal",KY$8&gt;=$G29,KY$8&lt;=$G29+$H29-1),2,IF(AND($C29="Milestone",KY$8&gt;=$G29,KY$8&lt;=$G29+$H29-1),1,""))</f>
        <v/>
      </c>
      <c r="KZ29" s="69" t="str">
        <f ca="1">IF(AND($C29="Goal",KZ$8&gt;=$G29,KZ$8&lt;=$G29+$H29-1),2,IF(AND($C29="Milestone",KZ$8&gt;=$G29,KZ$8&lt;=$G29+$H29-1),1,""))</f>
        <v/>
      </c>
      <c r="LA29" s="69" t="str">
        <f ca="1">IF(AND($C29="Goal",LA$8&gt;=$G29,LA$8&lt;=$G29+$H29-1),2,IF(AND($C29="Milestone",LA$8&gt;=$G29,LA$8&lt;=$G29+$H29-1),1,""))</f>
        <v/>
      </c>
      <c r="LB29" s="69" t="str">
        <f ca="1">IF(AND($C29="Goal",LB$8&gt;=$G29,LB$8&lt;=$G29+$H29-1),2,IF(AND($C29="Milestone",LB$8&gt;=$G29,LB$8&lt;=$G29+$H29-1),1,""))</f>
        <v/>
      </c>
      <c r="LC29" s="69" t="str">
        <f ca="1">IF(AND($C29="Goal",LC$8&gt;=$G29,LC$8&lt;=$G29+$H29-1),2,IF(AND($C29="Milestone",LC$8&gt;=$G29,LC$8&lt;=$G29+$H29-1),1,""))</f>
        <v/>
      </c>
      <c r="LD29" s="69" t="str">
        <f ca="1">IF(AND($C29="Goal",LD$8&gt;=$G29,LD$8&lt;=$G29+$H29-1),2,IF(AND($C29="Milestone",LD$8&gt;=$G29,LD$8&lt;=$G29+$H29-1),1,""))</f>
        <v/>
      </c>
      <c r="LE29" s="69" t="str">
        <f ca="1">IF(AND($C29="Goal",LE$8&gt;=$G29,LE$8&lt;=$G29+$H29-1),2,IF(AND($C29="Milestone",LE$8&gt;=$G29,LE$8&lt;=$G29+$H29-1),1,""))</f>
        <v/>
      </c>
      <c r="LF29" s="69" t="str">
        <f ca="1">IF(AND($C29="Goal",LF$8&gt;=$G29,LF$8&lt;=$G29+$H29-1),2,IF(AND($C29="Milestone",LF$8&gt;=$G29,LF$8&lt;=$G29+$H29-1),1,""))</f>
        <v/>
      </c>
      <c r="LG29" s="69" t="str">
        <f ca="1">IF(AND($C29="Goal",LG$8&gt;=$G29,LG$8&lt;=$G29+$H29-1),2,IF(AND($C29="Milestone",LG$8&gt;=$G29,LG$8&lt;=$G29+$H29-1),1,""))</f>
        <v/>
      </c>
      <c r="LH29" s="69" t="str">
        <f ca="1">IF(AND($C29="Goal",LH$8&gt;=$G29,LH$8&lt;=$G29+$H29-1),2,IF(AND($C29="Milestone",LH$8&gt;=$G29,LH$8&lt;=$G29+$H29-1),1,""))</f>
        <v/>
      </c>
      <c r="LI29" s="69" t="str">
        <f ca="1">IF(AND($C29="Goal",LI$8&gt;=$G29,LI$8&lt;=$G29+$H29-1),2,IF(AND($C29="Milestone",LI$8&gt;=$G29,LI$8&lt;=$G29+$H29-1),1,""))</f>
        <v/>
      </c>
      <c r="LJ29" s="69" t="str">
        <f ca="1">IF(AND($C29="Goal",LJ$8&gt;=$G29,LJ$8&lt;=$G29+$H29-1),2,IF(AND($C29="Milestone",LJ$8&gt;=$G29,LJ$8&lt;=$G29+$H29-1),1,""))</f>
        <v/>
      </c>
      <c r="LK29" s="69" t="str">
        <f ca="1">IF(AND($C29="Goal",LK$8&gt;=$G29,LK$8&lt;=$G29+$H29-1),2,IF(AND($C29="Milestone",LK$8&gt;=$G29,LK$8&lt;=$G29+$H29-1),1,""))</f>
        <v/>
      </c>
      <c r="LL29" s="69" t="str">
        <f ca="1">IF(AND($C29="Goal",LL$8&gt;=$G29,LL$8&lt;=$G29+$H29-1),2,IF(AND($C29="Milestone",LL$8&gt;=$G29,LL$8&lt;=$G29+$H29-1),1,""))</f>
        <v/>
      </c>
      <c r="LM29" s="69" t="str">
        <f ca="1">IF(AND($C29="Goal",LM$8&gt;=$G29,LM$8&lt;=$G29+$H29-1),2,IF(AND($C29="Milestone",LM$8&gt;=$G29,LM$8&lt;=$G29+$H29-1),1,""))</f>
        <v/>
      </c>
      <c r="LN29" s="69" t="str">
        <f ca="1">IF(AND($C29="Goal",LN$8&gt;=$G29,LN$8&lt;=$G29+$H29-1),2,IF(AND($C29="Milestone",LN$8&gt;=$G29,LN$8&lt;=$G29+$H29-1),1,""))</f>
        <v/>
      </c>
      <c r="LO29" s="69" t="str">
        <f ca="1">IF(AND($C29="Goal",LO$8&gt;=$G29,LO$8&lt;=$G29+$H29-1),2,IF(AND($C29="Milestone",LO$8&gt;=$G29,LO$8&lt;=$G29+$H29-1),1,""))</f>
        <v/>
      </c>
      <c r="LP29" s="69" t="str">
        <f ca="1">IF(AND($C29="Goal",LP$8&gt;=$G29,LP$8&lt;=$G29+$H29-1),2,IF(AND($C29="Milestone",LP$8&gt;=$G29,LP$8&lt;=$G29+$H29-1),1,""))</f>
        <v/>
      </c>
      <c r="LQ29" s="69" t="str">
        <f ca="1">IF(AND($C29="Goal",LQ$8&gt;=$G29,LQ$8&lt;=$G29+$H29-1),2,IF(AND($C29="Milestone",LQ$8&gt;=$G29,LQ$8&lt;=$G29+$H29-1),1,""))</f>
        <v/>
      </c>
      <c r="LR29" s="69" t="str">
        <f ca="1">IF(AND($C29="Goal",LR$8&gt;=$G29,LR$8&lt;=$G29+$H29-1),2,IF(AND($C29="Milestone",LR$8&gt;=$G29,LR$8&lt;=$G29+$H29-1),1,""))</f>
        <v/>
      </c>
      <c r="LS29" s="69" t="str">
        <f ca="1">IF(AND($C29="Goal",LS$8&gt;=$G29,LS$8&lt;=$G29+$H29-1),2,IF(AND($C29="Milestone",LS$8&gt;=$G29,LS$8&lt;=$G29+$H29-1),1,""))</f>
        <v/>
      </c>
      <c r="LT29" s="69" t="str">
        <f ca="1">IF(AND($C29="Goal",LT$8&gt;=$G29,LT$8&lt;=$G29+$H29-1),2,IF(AND($C29="Milestone",LT$8&gt;=$G29,LT$8&lt;=$G29+$H29-1),1,""))</f>
        <v/>
      </c>
      <c r="LU29" s="69" t="str">
        <f ca="1">IF(AND($C29="Goal",LU$8&gt;=$G29,LU$8&lt;=$G29+$H29-1),2,IF(AND($C29="Milestone",LU$8&gt;=$G29,LU$8&lt;=$G29+$H29-1),1,""))</f>
        <v/>
      </c>
      <c r="LV29" s="69" t="str">
        <f ca="1">IF(AND($C29="Goal",LV$8&gt;=$G29,LV$8&lt;=$G29+$H29-1),2,IF(AND($C29="Milestone",LV$8&gt;=$G29,LV$8&lt;=$G29+$H29-1),1,""))</f>
        <v/>
      </c>
      <c r="LW29" s="69" t="str">
        <f ca="1">IF(AND($C29="Goal",LW$8&gt;=$G29,LW$8&lt;=$G29+$H29-1),2,IF(AND($C29="Milestone",LW$8&gt;=$G29,LW$8&lt;=$G29+$H29-1),1,""))</f>
        <v/>
      </c>
      <c r="LX29" s="69" t="str">
        <f ca="1">IF(AND($C29="Goal",LX$8&gt;=$G29,LX$8&lt;=$G29+$H29-1),2,IF(AND($C29="Milestone",LX$8&gt;=$G29,LX$8&lt;=$G29+$H29-1),1,""))</f>
        <v/>
      </c>
    </row>
    <row r="30" spans="1:336" s="1" customFormat="1" ht="25.25" customHeight="1" x14ac:dyDescent="0.25">
      <c r="A30" s="6"/>
      <c r="B30" s="47" t="s">
        <v>31</v>
      </c>
      <c r="C30" s="58"/>
      <c r="D30" s="58" t="str">
        <f ca="1">IF(G30="","",
IF(G30+Milestones4352[[#This Row],[Days]]="","",
IF(OR(F30=1,F30=100%),"Complete",
CHOOSE(
  1
  + --(((1-IF(F30&gt;1,F30/100,F30))*POWER(2.718281828,(60-MAX(0,G30+Milestones4352[[#This Row],[Days]]-TODAY()))/12))&gt;=0.6)
  + --(((1-IF(F30&gt;1,F30/100,F30))*POWER(2.718281828,(60-MAX(0,G30+Milestones4352[[#This Row],[Days]]-TODAY()))/12))&gt;=1.2)
  + --(((1-IF(F30&gt;1,F30/100,F30))*POWER(2.718281828,(60-MAX(0,G30+Milestones4352[[#This Row],[Days]]-TODAY()))/12))&gt;=2),
  "On track","Low risk","Medium risk","High risk"
))))</f>
        <v>On track</v>
      </c>
      <c r="E30" s="58"/>
      <c r="F30" s="56">
        <v>0</v>
      </c>
      <c r="G30" s="70">
        <f t="shared" ref="G30:G32" si="211">G29+H29</f>
        <v>46059</v>
      </c>
      <c r="H30" s="57">
        <v>12</v>
      </c>
      <c r="I30" s="57">
        <f t="shared" si="207"/>
        <v>9</v>
      </c>
      <c r="J30" s="12">
        <f ca="1">IF(OR(Milestones4352[[#This Row],[Start]]="",Milestones4352[[#This Row],[Days]]=""),"",(Milestones4352[[#This Row],[Start]]+Milestones4352[[#This Row],[Days]])-TODAY())</f>
        <v>122</v>
      </c>
      <c r="K30" s="9"/>
      <c r="L30" s="69" t="str">
        <f ca="1">IF(AND($C30="Goal",L$8&gt;=$G30,L$8&lt;=$G30+$H30-1),2,IF(AND($C30="Milestone",L$8&gt;=$G30,L$8&lt;=$G30+$H30-1),1,""))</f>
        <v/>
      </c>
      <c r="M30" s="69" t="str">
        <f ca="1">IF(AND($C30="Goal",M$8&gt;=$G30,M$8&lt;=$G30+$H30-1),2,IF(AND($C30="Milestone",M$8&gt;=$G30,M$8&lt;=$G30+$H30-1),1,""))</f>
        <v/>
      </c>
      <c r="N30" s="69" t="str">
        <f ca="1">IF(AND($C30="Goal",N$8&gt;=$G30,N$8&lt;=$G30+$H30-1),2,IF(AND($C30="Milestone",N$8&gt;=$G30,N$8&lt;=$G30+$H30-1),1,""))</f>
        <v/>
      </c>
      <c r="O30" s="69" t="str">
        <f ca="1">IF(AND($C30="Goal",O$8&gt;=$G30,O$8&lt;=$G30+$H30-1),2,IF(AND($C30="Milestone",O$8&gt;=$G30,O$8&lt;=$G30+$H30-1),1,""))</f>
        <v/>
      </c>
      <c r="P30" s="69" t="str">
        <f ca="1">IF(AND($C30="Goal",P$8&gt;=$G30,P$8&lt;=$G30+$H30-1),2,IF(AND($C30="Milestone",P$8&gt;=$G30,P$8&lt;=$G30+$H30-1),1,""))</f>
        <v/>
      </c>
      <c r="Q30" s="69" t="str">
        <f ca="1">IF(AND($C30="Goal",Q$8&gt;=$G30,Q$8&lt;=$G30+$H30-1),2,IF(AND($C30="Milestone",Q$8&gt;=$G30,Q$8&lt;=$G30+$H30-1),1,""))</f>
        <v/>
      </c>
      <c r="R30" s="69" t="str">
        <f ca="1">IF(AND($C30="Goal",R$8&gt;=$G30,R$8&lt;=$G30+$H30-1),2,IF(AND($C30="Milestone",R$8&gt;=$G30,R$8&lt;=$G30+$H30-1),1,""))</f>
        <v/>
      </c>
      <c r="S30" s="69" t="str">
        <f ca="1">IF(AND($C30="Goal",S$8&gt;=$G30,S$8&lt;=$G30+$H30-1),2,IF(AND($C30="Milestone",S$8&gt;=$G30,S$8&lt;=$G30+$H30-1),1,""))</f>
        <v/>
      </c>
      <c r="T30" s="69" t="str">
        <f ca="1">IF(AND($C30="Goal",T$8&gt;=$G30,T$8&lt;=$G30+$H30-1),2,IF(AND($C30="Milestone",T$8&gt;=$G30,T$8&lt;=$G30+$H30-1),1,""))</f>
        <v/>
      </c>
      <c r="U30" s="69" t="str">
        <f ca="1">IF(AND($C30="Goal",U$8&gt;=$G30,U$8&lt;=$G30+$H30-1),2,IF(AND($C30="Milestone",U$8&gt;=$G30,U$8&lt;=$G30+$H30-1),1,""))</f>
        <v/>
      </c>
      <c r="V30" s="69" t="str">
        <f ca="1">IF(AND($C30="Goal",V$8&gt;=$G30,V$8&lt;=$G30+$H30-1),2,IF(AND($C30="Milestone",V$8&gt;=$G30,V$8&lt;=$G30+$H30-1),1,""))</f>
        <v/>
      </c>
      <c r="W30" s="69" t="str">
        <f ca="1">IF(AND($C30="Goal",W$8&gt;=$G30,W$8&lt;=$G30+$H30-1),2,IF(AND($C30="Milestone",W$8&gt;=$G30,W$8&lt;=$G30+$H30-1),1,""))</f>
        <v/>
      </c>
      <c r="X30" s="69" t="str">
        <f ca="1">IF(AND($C30="Goal",X$8&gt;=$G30,X$8&lt;=$G30+$H30-1),2,IF(AND($C30="Milestone",X$8&gt;=$G30,X$8&lt;=$G30+$H30-1),1,""))</f>
        <v/>
      </c>
      <c r="Y30" s="69" t="str">
        <f ca="1">IF(AND($C30="Goal",Y$8&gt;=$G30,Y$8&lt;=$G30+$H30-1),2,IF(AND($C30="Milestone",Y$8&gt;=$G30,Y$8&lt;=$G30+$H30-1),1,""))</f>
        <v/>
      </c>
      <c r="Z30" s="69" t="str">
        <f ca="1">IF(AND($C30="Goal",Z$8&gt;=$G30,Z$8&lt;=$G30+$H30-1),2,IF(AND($C30="Milestone",Z$8&gt;=$G30,Z$8&lt;=$G30+$H30-1),1,""))</f>
        <v/>
      </c>
      <c r="AA30" s="69" t="str">
        <f ca="1">IF(AND($C30="Goal",AA$8&gt;=$G30,AA$8&lt;=$G30+$H30-1),2,IF(AND($C30="Milestone",AA$8&gt;=$G30,AA$8&lt;=$G30+$H30-1),1,""))</f>
        <v/>
      </c>
      <c r="AB30" s="69" t="str">
        <f ca="1">IF(AND($C30="Goal",AB$8&gt;=$G30,AB$8&lt;=$G30+$H30-1),2,IF(AND($C30="Milestone",AB$8&gt;=$G30,AB$8&lt;=$G30+$H30-1),1,""))</f>
        <v/>
      </c>
      <c r="AC30" s="69" t="str">
        <f ca="1">IF(AND($C30="Goal",AC$8&gt;=$G30,AC$8&lt;=$G30+$H30-1),2,IF(AND($C30="Milestone",AC$8&gt;=$G30,AC$8&lt;=$G30+$H30-1),1,""))</f>
        <v/>
      </c>
      <c r="AD30" s="69" t="str">
        <f ca="1">IF(AND($C30="Goal",AD$8&gt;=$G30,AD$8&lt;=$G30+$H30-1),2,IF(AND($C30="Milestone",AD$8&gt;=$G30,AD$8&lt;=$G30+$H30-1),1,""))</f>
        <v/>
      </c>
      <c r="AE30" s="69" t="str">
        <f ca="1">IF(AND($C30="Goal",AE$8&gt;=$G30,AE$8&lt;=$G30+$H30-1),2,IF(AND($C30="Milestone",AE$8&gt;=$G30,AE$8&lt;=$G30+$H30-1),1,""))</f>
        <v/>
      </c>
      <c r="AF30" s="69" t="str">
        <f ca="1">IF(AND($C30="Goal",AF$8&gt;=$G30,AF$8&lt;=$G30+$H30-1),2,IF(AND($C30="Milestone",AF$8&gt;=$G30,AF$8&lt;=$G30+$H30-1),1,""))</f>
        <v/>
      </c>
      <c r="AG30" s="69" t="str">
        <f ca="1">IF(AND($C30="Goal",AG$8&gt;=$G30,AG$8&lt;=$G30+$H30-1),2,IF(AND($C30="Milestone",AG$8&gt;=$G30,AG$8&lt;=$G30+$H30-1),1,""))</f>
        <v/>
      </c>
      <c r="AH30" s="69" t="str">
        <f ca="1">IF(AND($C30="Goal",AH$8&gt;=$G30,AH$8&lt;=$G30+$H30-1),2,IF(AND($C30="Milestone",AH$8&gt;=$G30,AH$8&lt;=$G30+$H30-1),1,""))</f>
        <v/>
      </c>
      <c r="AI30" s="69" t="str">
        <f ca="1">IF(AND($C30="Goal",AI$8&gt;=$G30,AI$8&lt;=$G30+$H30-1),2,IF(AND($C30="Milestone",AI$8&gt;=$G30,AI$8&lt;=$G30+$H30-1),1,""))</f>
        <v/>
      </c>
      <c r="AJ30" s="69" t="str">
        <f ca="1">IF(AND($C30="Goal",AJ$8&gt;=$G30,AJ$8&lt;=$G30+$H30-1),2,IF(AND($C30="Milestone",AJ$8&gt;=$G30,AJ$8&lt;=$G30+$H30-1),1,""))</f>
        <v/>
      </c>
      <c r="AK30" s="69" t="str">
        <f ca="1">IF(AND($C30="Goal",AK$8&gt;=$G30,AK$8&lt;=$G30+$H30-1),2,IF(AND($C30="Milestone",AK$8&gt;=$G30,AK$8&lt;=$G30+$H30-1),1,""))</f>
        <v/>
      </c>
      <c r="AL30" s="69" t="str">
        <f ca="1">IF(AND($C30="Goal",AL$8&gt;=$G30,AL$8&lt;=$G30+$H30-1),2,IF(AND($C30="Milestone",AL$8&gt;=$G30,AL$8&lt;=$G30+$H30-1),1,""))</f>
        <v/>
      </c>
      <c r="AM30" s="69" t="str">
        <f ca="1">IF(AND($C30="Goal",AM$8&gt;=$G30,AM$8&lt;=$G30+$H30-1),2,IF(AND($C30="Milestone",AM$8&gt;=$G30,AM$8&lt;=$G30+$H30-1),1,""))</f>
        <v/>
      </c>
      <c r="AN30" s="69" t="str">
        <f ca="1">IF(AND($C30="Goal",AN$8&gt;=$G30,AN$8&lt;=$G30+$H30-1),2,IF(AND($C30="Milestone",AN$8&gt;=$G30,AN$8&lt;=$G30+$H30-1),1,""))</f>
        <v/>
      </c>
      <c r="AO30" s="69" t="str">
        <f ca="1">IF(AND($C30="Goal",AO$8&gt;=$G30,AO$8&lt;=$G30+$H30-1),2,IF(AND($C30="Milestone",AO$8&gt;=$G30,AO$8&lt;=$G30+$H30-1),1,""))</f>
        <v/>
      </c>
      <c r="AP30" s="69" t="str">
        <f ca="1">IF(AND($C30="Goal",AP$8&gt;=$G30,AP$8&lt;=$G30+$H30-1),2,IF(AND($C30="Milestone",AP$8&gt;=$G30,AP$8&lt;=$G30+$H30-1),1,""))</f>
        <v/>
      </c>
      <c r="AQ30" s="69" t="str">
        <f ca="1">IF(AND($C30="Goal",AQ$8&gt;=$G30,AQ$8&lt;=$G30+$H30-1),2,IF(AND($C30="Milestone",AQ$8&gt;=$G30,AQ$8&lt;=$G30+$H30-1),1,""))</f>
        <v/>
      </c>
      <c r="AR30" s="69" t="str">
        <f ca="1">IF(AND($C30="Goal",AR$8&gt;=$G30,AR$8&lt;=$G30+$H30-1),2,IF(AND($C30="Milestone",AR$8&gt;=$G30,AR$8&lt;=$G30+$H30-1),1,""))</f>
        <v/>
      </c>
      <c r="AS30" s="69" t="str">
        <f ca="1">IF(AND($C30="Goal",AS$8&gt;=$G30,AS$8&lt;=$G30+$H30-1),2,IF(AND($C30="Milestone",AS$8&gt;=$G30,AS$8&lt;=$G30+$H30-1),1,""))</f>
        <v/>
      </c>
      <c r="AT30" s="69" t="str">
        <f ca="1">IF(AND($C30="Goal",AT$8&gt;=$G30,AT$8&lt;=$G30+$H30-1),2,IF(AND($C30="Milestone",AT$8&gt;=$G30,AT$8&lt;=$G30+$H30-1),1,""))</f>
        <v/>
      </c>
      <c r="AU30" s="69" t="str">
        <f ca="1">IF(AND($C30="Goal",AU$8&gt;=$G30,AU$8&lt;=$G30+$H30-1),2,IF(AND($C30="Milestone",AU$8&gt;=$G30,AU$8&lt;=$G30+$H30-1),1,""))</f>
        <v/>
      </c>
      <c r="AV30" s="69" t="str">
        <f ca="1">IF(AND($C30="Goal",AV$8&gt;=$G30,AV$8&lt;=$G30+$H30-1),2,IF(AND($C30="Milestone",AV$8&gt;=$G30,AV$8&lt;=$G30+$H30-1),1,""))</f>
        <v/>
      </c>
      <c r="AW30" s="69" t="str">
        <f ca="1">IF(AND($C30="Goal",AW$8&gt;=$G30,AW$8&lt;=$G30+$H30-1),2,IF(AND($C30="Milestone",AW$8&gt;=$G30,AW$8&lt;=$G30+$H30-1),1,""))</f>
        <v/>
      </c>
      <c r="AX30" s="69" t="str">
        <f ca="1">IF(AND($C30="Goal",AX$8&gt;=$G30,AX$8&lt;=$G30+$H30-1),2,IF(AND($C30="Milestone",AX$8&gt;=$G30,AX$8&lt;=$G30+$H30-1),1,""))</f>
        <v/>
      </c>
      <c r="AY30" s="69" t="str">
        <f ca="1">IF(AND($C30="Goal",AY$8&gt;=$G30,AY$8&lt;=$G30+$H30-1),2,IF(AND($C30="Milestone",AY$8&gt;=$G30,AY$8&lt;=$G30+$H30-1),1,""))</f>
        <v/>
      </c>
      <c r="AZ30" s="69" t="str">
        <f ca="1">IF(AND($C30="Goal",AZ$8&gt;=$G30,AZ$8&lt;=$G30+$H30-1),2,IF(AND($C30="Milestone",AZ$8&gt;=$G30,AZ$8&lt;=$G30+$H30-1),1,""))</f>
        <v/>
      </c>
      <c r="BA30" s="69" t="str">
        <f ca="1">IF(AND($C30="Goal",BA$8&gt;=$G30,BA$8&lt;=$G30+$H30-1),2,IF(AND($C30="Milestone",BA$8&gt;=$G30,BA$8&lt;=$G30+$H30-1),1,""))</f>
        <v/>
      </c>
      <c r="BB30" s="69" t="str">
        <f ca="1">IF(AND($C30="Goal",BB$8&gt;=$G30,BB$8&lt;=$G30+$H30-1),2,IF(AND($C30="Milestone",BB$8&gt;=$G30,BB$8&lt;=$G30+$H30-1),1,""))</f>
        <v/>
      </c>
      <c r="BC30" s="69" t="str">
        <f ca="1">IF(AND($C30="Goal",BC$8&gt;=$G30,BC$8&lt;=$G30+$H30-1),2,IF(AND($C30="Milestone",BC$8&gt;=$G30,BC$8&lt;=$G30+$H30-1),1,""))</f>
        <v/>
      </c>
      <c r="BD30" s="69" t="str">
        <f ca="1">IF(AND($C30="Goal",BD$8&gt;=$G30,BD$8&lt;=$G30+$H30-1),2,IF(AND($C30="Milestone",BD$8&gt;=$G30,BD$8&lt;=$G30+$H30-1),1,""))</f>
        <v/>
      </c>
      <c r="BE30" s="69" t="str">
        <f ca="1">IF(AND($C30="Goal",BE$8&gt;=$G30,BE$8&lt;=$G30+$H30-1),2,IF(AND($C30="Milestone",BE$8&gt;=$G30,BE$8&lt;=$G30+$H30-1),1,""))</f>
        <v/>
      </c>
      <c r="BF30" s="69" t="str">
        <f ca="1">IF(AND($C30="Goal",BF$8&gt;=$G30,BF$8&lt;=$G30+$H30-1),2,IF(AND($C30="Milestone",BF$8&gt;=$G30,BF$8&lt;=$G30+$H30-1),1,""))</f>
        <v/>
      </c>
      <c r="BG30" s="69" t="str">
        <f ca="1">IF(AND($C30="Goal",BG$8&gt;=$G30,BG$8&lt;=$G30+$H30-1),2,IF(AND($C30="Milestone",BG$8&gt;=$G30,BG$8&lt;=$G30+$H30-1),1,""))</f>
        <v/>
      </c>
      <c r="BH30" s="69" t="str">
        <f ca="1">IF(AND($C30="Goal",BH$8&gt;=$G30,BH$8&lt;=$G30+$H30-1),2,IF(AND($C30="Milestone",BH$8&gt;=$G30,BH$8&lt;=$G30+$H30-1),1,""))</f>
        <v/>
      </c>
      <c r="BI30" s="69" t="str">
        <f ca="1">IF(AND($C30="Goal",BI$8&gt;=$G30,BI$8&lt;=$G30+$H30-1),2,IF(AND($C30="Milestone",BI$8&gt;=$G30,BI$8&lt;=$G30+$H30-1),1,""))</f>
        <v/>
      </c>
      <c r="BJ30" s="69" t="str">
        <f ca="1">IF(AND($C30="Goal",BJ$8&gt;=$G30,BJ$8&lt;=$G30+$H30-1),2,IF(AND($C30="Milestone",BJ$8&gt;=$G30,BJ$8&lt;=$G30+$H30-1),1,""))</f>
        <v/>
      </c>
      <c r="BK30" s="69" t="str">
        <f ca="1">IF(AND($C30="Goal",BK$8&gt;=$G30,BK$8&lt;=$G30+$H30-1),2,IF(AND($C30="Milestone",BK$8&gt;=$G30,BK$8&lt;=$G30+$H30-1),1,""))</f>
        <v/>
      </c>
      <c r="BL30" s="69" t="str">
        <f ca="1">IF(AND($C30="Goal",BL$8&gt;=$G30,BL$8&lt;=$G30+$H30-1),2,IF(AND($C30="Milestone",BL$8&gt;=$G30,BL$8&lt;=$G30+$H30-1),1,""))</f>
        <v/>
      </c>
      <c r="BM30" s="69" t="str">
        <f ca="1">IF(AND($C30="Goal",BM$8&gt;=$G30,BM$8&lt;=$G30+$H30-1),2,IF(AND($C30="Milestone",BM$8&gt;=$G30,BM$8&lt;=$G30+$H30-1),1,""))</f>
        <v/>
      </c>
      <c r="BN30" s="69" t="str">
        <f ca="1">IF(AND($C30="Goal",BN$8&gt;=$G30,BN$8&lt;=$G30+$H30-1),2,IF(AND($C30="Milestone",BN$8&gt;=$G30,BN$8&lt;=$G30+$H30-1),1,""))</f>
        <v/>
      </c>
      <c r="BO30" s="69" t="str">
        <f ca="1">IF(AND($C30="Goal",BO$8&gt;=$G30,BO$8&lt;=$G30+$H30-1),2,IF(AND($C30="Milestone",BO$8&gt;=$G30,BO$8&lt;=$G30+$H30-1),1,""))</f>
        <v/>
      </c>
      <c r="BP30" s="69" t="str">
        <f ca="1">IF(AND($C30="Goal",BP$8&gt;=$G30,BP$8&lt;=$G30+$H30-1),2,IF(AND($C30="Milestone",BP$8&gt;=$G30,BP$8&lt;=$G30+$H30-1),1,""))</f>
        <v/>
      </c>
      <c r="BQ30" s="69" t="str">
        <f ca="1">IF(AND($C30="Goal",BQ$8&gt;=$G30,BQ$8&lt;=$G30+$H30-1),2,IF(AND($C30="Milestone",BQ$8&gt;=$G30,BQ$8&lt;=$G30+$H30-1),1,""))</f>
        <v/>
      </c>
      <c r="BR30" s="69" t="str">
        <f ca="1">IF(AND($C30="Goal",BR$8&gt;=$G30,BR$8&lt;=$G30+$H30-1),2,IF(AND($C30="Milestone",BR$8&gt;=$G30,BR$8&lt;=$G30+$H30-1),1,""))</f>
        <v/>
      </c>
      <c r="BS30" s="69" t="str">
        <f ca="1">IF(AND($C30="Goal",BS$8&gt;=$G30,BS$8&lt;=$G30+$H30-1),2,IF(AND($C30="Milestone",BS$8&gt;=$G30,BS$8&lt;=$G30+$H30-1),1,""))</f>
        <v/>
      </c>
      <c r="BT30" s="69" t="str">
        <f ca="1">IF(AND($C30="Goal",BT$8&gt;=$G30,BT$8&lt;=$G30+$H30-1),2,IF(AND($C30="Milestone",BT$8&gt;=$G30,BT$8&lt;=$G30+$H30-1),1,""))</f>
        <v/>
      </c>
      <c r="BU30" s="69" t="str">
        <f ca="1">IF(AND($C30="Goal",BU$8&gt;=$G30,BU$8&lt;=$G30+$H30-1),2,IF(AND($C30="Milestone",BU$8&gt;=$G30,BU$8&lt;=$G30+$H30-1),1,""))</f>
        <v/>
      </c>
      <c r="BV30" s="69" t="str">
        <f ca="1">IF(AND($C30="Goal",BV$8&gt;=$G30,BV$8&lt;=$G30+$H30-1),2,IF(AND($C30="Milestone",BV$8&gt;=$G30,BV$8&lt;=$G30+$H30-1),1,""))</f>
        <v/>
      </c>
      <c r="BW30" s="69" t="str">
        <f ca="1">IF(AND($C30="Goal",BW$8&gt;=$G30,BW$8&lt;=$G30+$H30-1),2,IF(AND($C30="Milestone",BW$8&gt;=$G30,BW$8&lt;=$G30+$H30-1),1,""))</f>
        <v/>
      </c>
      <c r="BX30" s="69" t="str">
        <f ca="1">IF(AND($C30="Goal",BX$8&gt;=$G30,BX$8&lt;=$G30+$H30-1),2,IF(AND($C30="Milestone",BX$8&gt;=$G30,BX$8&lt;=$G30+$H30-1),1,""))</f>
        <v/>
      </c>
      <c r="BY30" s="69" t="str">
        <f ca="1">IF(AND($C30="Goal",BY$8&gt;=$G30,BY$8&lt;=$G30+$H30-1),2,IF(AND($C30="Milestone",BY$8&gt;=$G30,BY$8&lt;=$G30+$H30-1),1,""))</f>
        <v/>
      </c>
      <c r="BZ30" s="69" t="str">
        <f ca="1">IF(AND($C30="Goal",BZ$8&gt;=$G30,BZ$8&lt;=$G30+$H30-1),2,IF(AND($C30="Milestone",BZ$8&gt;=$G30,BZ$8&lt;=$G30+$H30-1),1,""))</f>
        <v/>
      </c>
      <c r="CA30" s="69" t="str">
        <f ca="1">IF(AND($C30="Goal",CA$8&gt;=$G30,CA$8&lt;=$G30+$H30-1),2,IF(AND($C30="Milestone",CA$8&gt;=$G30,CA$8&lt;=$G30+$H30-1),1,""))</f>
        <v/>
      </c>
      <c r="CB30" s="69" t="str">
        <f ca="1">IF(AND($C30="Goal",CB$8&gt;=$G30,CB$8&lt;=$G30+$H30-1),2,IF(AND($C30="Milestone",CB$8&gt;=$G30,CB$8&lt;=$G30+$H30-1),1,""))</f>
        <v/>
      </c>
      <c r="CC30" s="69" t="str">
        <f ca="1">IF(AND($C30="Goal",CC$8&gt;=$G30,CC$8&lt;=$G30+$H30-1),2,IF(AND($C30="Milestone",CC$8&gt;=$G30,CC$8&lt;=$G30+$H30-1),1,""))</f>
        <v/>
      </c>
      <c r="CD30" s="69" t="str">
        <f ca="1">IF(AND($C30="Goal",CD$8&gt;=$G30,CD$8&lt;=$G30+$H30-1),2,IF(AND($C30="Milestone",CD$8&gt;=$G30,CD$8&lt;=$G30+$H30-1),1,""))</f>
        <v/>
      </c>
      <c r="CE30" s="69" t="str">
        <f ca="1">IF(AND($C30="Goal",CE$8&gt;=$G30,CE$8&lt;=$G30+$H30-1),2,IF(AND($C30="Milestone",CE$8&gt;=$G30,CE$8&lt;=$G30+$H30-1),1,""))</f>
        <v/>
      </c>
      <c r="CF30" s="69" t="str">
        <f ca="1">IF(AND($C30="Goal",CF$8&gt;=$G30,CF$8&lt;=$G30+$H30-1),2,IF(AND($C30="Milestone",CF$8&gt;=$G30,CF$8&lt;=$G30+$H30-1),1,""))</f>
        <v/>
      </c>
      <c r="CG30" s="69" t="str">
        <f ca="1">IF(AND($C30="Goal",CG$8&gt;=$G30,CG$8&lt;=$G30+$H30-1),2,IF(AND($C30="Milestone",CG$8&gt;=$G30,CG$8&lt;=$G30+$H30-1),1,""))</f>
        <v/>
      </c>
      <c r="CH30" s="69" t="str">
        <f ca="1">IF(AND($C30="Goal",CH$8&gt;=$G30,CH$8&lt;=$G30+$H30-1),2,IF(AND($C30="Milestone",CH$8&gt;=$G30,CH$8&lt;=$G30+$H30-1),1,""))</f>
        <v/>
      </c>
      <c r="CI30" s="69" t="str">
        <f ca="1">IF(AND($C30="Goal",CI$8&gt;=$G30,CI$8&lt;=$G30+$H30-1),2,IF(AND($C30="Milestone",CI$8&gt;=$G30,CI$8&lt;=$G30+$H30-1),1,""))</f>
        <v/>
      </c>
      <c r="CJ30" s="69" t="str">
        <f ca="1">IF(AND($C30="Goal",CJ$8&gt;=$G30,CJ$8&lt;=$G30+$H30-1),2,IF(AND($C30="Milestone",CJ$8&gt;=$G30,CJ$8&lt;=$G30+$H30-1),1,""))</f>
        <v/>
      </c>
      <c r="CK30" s="69" t="str">
        <f ca="1">IF(AND($C30="Goal",CK$8&gt;=$G30,CK$8&lt;=$G30+$H30-1),2,IF(AND($C30="Milestone",CK$8&gt;=$G30,CK$8&lt;=$G30+$H30-1),1,""))</f>
        <v/>
      </c>
      <c r="CL30" s="69" t="str">
        <f ca="1">IF(AND($C30="Goal",CL$8&gt;=$G30,CL$8&lt;=$G30+$H30-1),2,IF(AND($C30="Milestone",CL$8&gt;=$G30,CL$8&lt;=$G30+$H30-1),1,""))</f>
        <v/>
      </c>
      <c r="CM30" s="69" t="str">
        <f ca="1">IF(AND($C30="Goal",CM$8&gt;=$G30,CM$8&lt;=$G30+$H30-1),2,IF(AND($C30="Milestone",CM$8&gt;=$G30,CM$8&lt;=$G30+$H30-1),1,""))</f>
        <v/>
      </c>
      <c r="CN30" s="69" t="str">
        <f ca="1">IF(AND($C30="Goal",CN$8&gt;=$G30,CN$8&lt;=$G30+$H30-1),2,IF(AND($C30="Milestone",CN$8&gt;=$G30,CN$8&lt;=$G30+$H30-1),1,""))</f>
        <v/>
      </c>
      <c r="CO30" s="69" t="str">
        <f ca="1">IF(AND($C30="Goal",CO$8&gt;=$G30,CO$8&lt;=$G30+$H30-1),2,IF(AND($C30="Milestone",CO$8&gt;=$G30,CO$8&lt;=$G30+$H30-1),1,""))</f>
        <v/>
      </c>
      <c r="CP30" s="69" t="str">
        <f ca="1">IF(AND($C30="Goal",CP$8&gt;=$G30,CP$8&lt;=$G30+$H30-1),2,IF(AND($C30="Milestone",CP$8&gt;=$G30,CP$8&lt;=$G30+$H30-1),1,""))</f>
        <v/>
      </c>
      <c r="CQ30" s="69" t="str">
        <f ca="1">IF(AND($C30="Goal",CQ$8&gt;=$G30,CQ$8&lt;=$G30+$H30-1),2,IF(AND($C30="Milestone",CQ$8&gt;=$G30,CQ$8&lt;=$G30+$H30-1),1,""))</f>
        <v/>
      </c>
      <c r="CR30" s="69" t="str">
        <f ca="1">IF(AND($C30="Goal",CR$8&gt;=$G30,CR$8&lt;=$G30+$H30-1),2,IF(AND($C30="Milestone",CR$8&gt;=$G30,CR$8&lt;=$G30+$H30-1),1,""))</f>
        <v/>
      </c>
      <c r="CS30" s="69" t="str">
        <f ca="1">IF(AND($C30="Goal",CS$8&gt;=$G30,CS$8&lt;=$G30+$H30-1),2,IF(AND($C30="Milestone",CS$8&gt;=$G30,CS$8&lt;=$G30+$H30-1),1,""))</f>
        <v/>
      </c>
      <c r="CT30" s="69" t="str">
        <f ca="1">IF(AND($C30="Goal",CT$8&gt;=$G30,CT$8&lt;=$G30+$H30-1),2,IF(AND($C30="Milestone",CT$8&gt;=$G30,CT$8&lt;=$G30+$H30-1),1,""))</f>
        <v/>
      </c>
      <c r="CU30" s="69" t="str">
        <f ca="1">IF(AND($C30="Goal",CU$8&gt;=$G30,CU$8&lt;=$G30+$H30-1),2,IF(AND($C30="Milestone",CU$8&gt;=$G30,CU$8&lt;=$G30+$H30-1),1,""))</f>
        <v/>
      </c>
      <c r="CV30" s="69" t="str">
        <f ca="1">IF(AND($C30="Goal",CV$8&gt;=$G30,CV$8&lt;=$G30+$H30-1),2,IF(AND($C30="Milestone",CV$8&gt;=$G30,CV$8&lt;=$G30+$H30-1),1,""))</f>
        <v/>
      </c>
      <c r="CW30" s="69" t="str">
        <f ca="1">IF(AND($C30="Goal",CW$8&gt;=$G30,CW$8&lt;=$G30+$H30-1),2,IF(AND($C30="Milestone",CW$8&gt;=$G30,CW$8&lt;=$G30+$H30-1),1,""))</f>
        <v/>
      </c>
      <c r="CX30" s="69" t="str">
        <f ca="1">IF(AND($C30="Goal",CX$8&gt;=$G30,CX$8&lt;=$G30+$H30-1),2,IF(AND($C30="Milestone",CX$8&gt;=$G30,CX$8&lt;=$G30+$H30-1),1,""))</f>
        <v/>
      </c>
      <c r="CY30" s="69" t="str">
        <f ca="1">IF(AND($C30="Goal",CY$8&gt;=$G30,CY$8&lt;=$G30+$H30-1),2,IF(AND($C30="Milestone",CY$8&gt;=$G30,CY$8&lt;=$G30+$H30-1),1,""))</f>
        <v/>
      </c>
      <c r="CZ30" s="69" t="str">
        <f ca="1">IF(AND($C30="Goal",CZ$8&gt;=$G30,CZ$8&lt;=$G30+$H30-1),2,IF(AND($C30="Milestone",CZ$8&gt;=$G30,CZ$8&lt;=$G30+$H30-1),1,""))</f>
        <v/>
      </c>
      <c r="DA30" s="69" t="str">
        <f ca="1">IF(AND($C30="Goal",DA$8&gt;=$G30,DA$8&lt;=$G30+$H30-1),2,IF(AND($C30="Milestone",DA$8&gt;=$G30,DA$8&lt;=$G30+$H30-1),1,""))</f>
        <v/>
      </c>
      <c r="DB30" s="69" t="str">
        <f ca="1">IF(AND($C30="Goal",DB$8&gt;=$G30,DB$8&lt;=$G30+$H30-1),2,IF(AND($C30="Milestone",DB$8&gt;=$G30,DB$8&lt;=$G30+$H30-1),1,""))</f>
        <v/>
      </c>
      <c r="DC30" s="69" t="str">
        <f ca="1">IF(AND($C30="Goal",DC$8&gt;=$G30,DC$8&lt;=$G30+$H30-1),2,IF(AND($C30="Milestone",DC$8&gt;=$G30,DC$8&lt;=$G30+$H30-1),1,""))</f>
        <v/>
      </c>
      <c r="DD30" s="69" t="str">
        <f ca="1">IF(AND($C30="Goal",DD$8&gt;=$G30,DD$8&lt;=$G30+$H30-1),2,IF(AND($C30="Milestone",DD$8&gt;=$G30,DD$8&lt;=$G30+$H30-1),1,""))</f>
        <v/>
      </c>
      <c r="DE30" s="69" t="str">
        <f ca="1">IF(AND($C30="Goal",DE$8&gt;=$G30,DE$8&lt;=$G30+$H30-1),2,IF(AND($C30="Milestone",DE$8&gt;=$G30,DE$8&lt;=$G30+$H30-1),1,""))</f>
        <v/>
      </c>
      <c r="DF30" s="69" t="str">
        <f ca="1">IF(AND($C30="Goal",DF$8&gt;=$G30,DF$8&lt;=$G30+$H30-1),2,IF(AND($C30="Milestone",DF$8&gt;=$G30,DF$8&lt;=$G30+$H30-1),1,""))</f>
        <v/>
      </c>
      <c r="DG30" s="69" t="str">
        <f ca="1">IF(AND($C30="Goal",DG$8&gt;=$G30,DG$8&lt;=$G30+$H30-1),2,IF(AND($C30="Milestone",DG$8&gt;=$G30,DG$8&lt;=$G30+$H30-1),1,""))</f>
        <v/>
      </c>
      <c r="DH30" s="69" t="str">
        <f ca="1">IF(AND($C30="Goal",DH$8&gt;=$G30,DH$8&lt;=$G30+$H30-1),2,IF(AND($C30="Milestone",DH$8&gt;=$G30,DH$8&lt;=$G30+$H30-1),1,""))</f>
        <v/>
      </c>
      <c r="DI30" s="69" t="str">
        <f ca="1">IF(AND($C30="Goal",DI$8&gt;=$G30,DI$8&lt;=$G30+$H30-1),2,IF(AND($C30="Milestone",DI$8&gt;=$G30,DI$8&lt;=$G30+$H30-1),1,""))</f>
        <v/>
      </c>
      <c r="DJ30" s="69" t="str">
        <f ca="1">IF(AND($C30="Goal",DJ$8&gt;=$G30,DJ$8&lt;=$G30+$H30-1),2,IF(AND($C30="Milestone",DJ$8&gt;=$G30,DJ$8&lt;=$G30+$H30-1),1,""))</f>
        <v/>
      </c>
      <c r="DK30" s="69" t="str">
        <f ca="1">IF(AND($C30="Goal",DK$8&gt;=$G30,DK$8&lt;=$G30+$H30-1),2,IF(AND($C30="Milestone",DK$8&gt;=$G30,DK$8&lt;=$G30+$H30-1),1,""))</f>
        <v/>
      </c>
      <c r="DL30" s="69" t="str">
        <f ca="1">IF(AND($C30="Goal",DL$8&gt;=$G30,DL$8&lt;=$G30+$H30-1),2,IF(AND($C30="Milestone",DL$8&gt;=$G30,DL$8&lt;=$G30+$H30-1),1,""))</f>
        <v/>
      </c>
      <c r="DM30" s="69" t="str">
        <f ca="1">IF(AND($C30="Goal",DM$8&gt;=$G30,DM$8&lt;=$G30+$H30-1),2,IF(AND($C30="Milestone",DM$8&gt;=$G30,DM$8&lt;=$G30+$H30-1),1,""))</f>
        <v/>
      </c>
      <c r="DN30" s="69" t="str">
        <f ca="1">IF(AND($C30="Goal",DN$8&gt;=$G30,DN$8&lt;=$G30+$H30-1),2,IF(AND($C30="Milestone",DN$8&gt;=$G30,DN$8&lt;=$G30+$H30-1),1,""))</f>
        <v/>
      </c>
      <c r="DO30" s="69" t="str">
        <f ca="1">IF(AND($C30="Goal",DO$8&gt;=$G30,DO$8&lt;=$G30+$H30-1),2,IF(AND($C30="Milestone",DO$8&gt;=$G30,DO$8&lt;=$G30+$H30-1),1,""))</f>
        <v/>
      </c>
      <c r="DP30" s="69" t="str">
        <f ca="1">IF(AND($C30="Goal",DP$8&gt;=$G30,DP$8&lt;=$G30+$H30-1),2,IF(AND($C30="Milestone",DP$8&gt;=$G30,DP$8&lt;=$G30+$H30-1),1,""))</f>
        <v/>
      </c>
      <c r="DQ30" s="69" t="str">
        <f ca="1">IF(AND($C30="Goal",DQ$8&gt;=$G30,DQ$8&lt;=$G30+$H30-1),2,IF(AND($C30="Milestone",DQ$8&gt;=$G30,DQ$8&lt;=$G30+$H30-1),1,""))</f>
        <v/>
      </c>
      <c r="DR30" s="69" t="str">
        <f ca="1">IF(AND($C30="Goal",DR$8&gt;=$G30,DR$8&lt;=$G30+$H30-1),2,IF(AND($C30="Milestone",DR$8&gt;=$G30,DR$8&lt;=$G30+$H30-1),1,""))</f>
        <v/>
      </c>
      <c r="DS30" s="69" t="str">
        <f ca="1">IF(AND($C30="Goal",DS$8&gt;=$G30,DS$8&lt;=$G30+$H30-1),2,IF(AND($C30="Milestone",DS$8&gt;=$G30,DS$8&lt;=$G30+$H30-1),1,""))</f>
        <v/>
      </c>
      <c r="DT30" s="69" t="str">
        <f ca="1">IF(AND($C30="Goal",DT$8&gt;=$G30,DT$8&lt;=$G30+$H30-1),2,IF(AND($C30="Milestone",DT$8&gt;=$G30,DT$8&lt;=$G30+$H30-1),1,""))</f>
        <v/>
      </c>
      <c r="DU30" s="69" t="str">
        <f ca="1">IF(AND($C30="Goal",DU$8&gt;=$G30,DU$8&lt;=$G30+$H30-1),2,IF(AND($C30="Milestone",DU$8&gt;=$G30,DU$8&lt;=$G30+$H30-1),1,""))</f>
        <v/>
      </c>
      <c r="DV30" s="69" t="str">
        <f ca="1">IF(AND($C30="Goal",DV$8&gt;=$G30,DV$8&lt;=$G30+$H30-1),2,IF(AND($C30="Milestone",DV$8&gt;=$G30,DV$8&lt;=$G30+$H30-1),1,""))</f>
        <v/>
      </c>
      <c r="DW30" s="69" t="str">
        <f ca="1">IF(AND($C30="Goal",DW$8&gt;=$G30,DW$8&lt;=$G30+$H30-1),2,IF(AND($C30="Milestone",DW$8&gt;=$G30,DW$8&lt;=$G30+$H30-1),1,""))</f>
        <v/>
      </c>
      <c r="DX30" s="69" t="str">
        <f ca="1">IF(AND($C30="Goal",DX$8&gt;=$G30,DX$8&lt;=$G30+$H30-1),2,IF(AND($C30="Milestone",DX$8&gt;=$G30,DX$8&lt;=$G30+$H30-1),1,""))</f>
        <v/>
      </c>
      <c r="DY30" s="69" t="str">
        <f ca="1">IF(AND($C30="Goal",DY$8&gt;=$G30,DY$8&lt;=$G30+$H30-1),2,IF(AND($C30="Milestone",DY$8&gt;=$G30,DY$8&lt;=$G30+$H30-1),1,""))</f>
        <v/>
      </c>
      <c r="DZ30" s="69" t="str">
        <f ca="1">IF(AND($C30="Goal",DZ$8&gt;=$G30,DZ$8&lt;=$G30+$H30-1),2,IF(AND($C30="Milestone",DZ$8&gt;=$G30,DZ$8&lt;=$G30+$H30-1),1,""))</f>
        <v/>
      </c>
      <c r="EA30" s="69" t="str">
        <f ca="1">IF(AND($C30="Goal",EA$8&gt;=$G30,EA$8&lt;=$G30+$H30-1),2,IF(AND($C30="Milestone",EA$8&gt;=$G30,EA$8&lt;=$G30+$H30-1),1,""))</f>
        <v/>
      </c>
      <c r="EB30" s="69" t="str">
        <f ca="1">IF(AND($C30="Goal",EB$8&gt;=$G30,EB$8&lt;=$G30+$H30-1),2,IF(AND($C30="Milestone",EB$8&gt;=$G30,EB$8&lt;=$G30+$H30-1),1,""))</f>
        <v/>
      </c>
      <c r="EC30" s="69" t="str">
        <f ca="1">IF(AND($C30="Goal",EC$8&gt;=$G30,EC$8&lt;=$G30+$H30-1),2,IF(AND($C30="Milestone",EC$8&gt;=$G30,EC$8&lt;=$G30+$H30-1),1,""))</f>
        <v/>
      </c>
      <c r="ED30" s="69" t="str">
        <f ca="1">IF(AND($C30="Goal",ED$8&gt;=$G30,ED$8&lt;=$G30+$H30-1),2,IF(AND($C30="Milestone",ED$8&gt;=$G30,ED$8&lt;=$G30+$H30-1),1,""))</f>
        <v/>
      </c>
      <c r="EE30" s="69" t="str">
        <f ca="1">IF(AND($C30="Goal",EE$8&gt;=$G30,EE$8&lt;=$G30+$H30-1),2,IF(AND($C30="Milestone",EE$8&gt;=$G30,EE$8&lt;=$G30+$H30-1),1,""))</f>
        <v/>
      </c>
      <c r="EF30" s="69" t="str">
        <f ca="1">IF(AND($C30="Goal",EF$8&gt;=$G30,EF$8&lt;=$G30+$H30-1),2,IF(AND($C30="Milestone",EF$8&gt;=$G30,EF$8&lt;=$G30+$H30-1),1,""))</f>
        <v/>
      </c>
      <c r="EG30" s="69" t="str">
        <f ca="1">IF(AND($C30="Goal",EG$8&gt;=$G30,EG$8&lt;=$G30+$H30-1),2,IF(AND($C30="Milestone",EG$8&gt;=$G30,EG$8&lt;=$G30+$H30-1),1,""))</f>
        <v/>
      </c>
      <c r="EH30" s="69" t="str">
        <f ca="1">IF(AND($C30="Goal",EH$8&gt;=$G30,EH$8&lt;=$G30+$H30-1),2,IF(AND($C30="Milestone",EH$8&gt;=$G30,EH$8&lt;=$G30+$H30-1),1,""))</f>
        <v/>
      </c>
      <c r="EI30" s="69" t="str">
        <f ca="1">IF(AND($C30="Goal",EI$8&gt;=$G30,EI$8&lt;=$G30+$H30-1),2,IF(AND($C30="Milestone",EI$8&gt;=$G30,EI$8&lt;=$G30+$H30-1),1,""))</f>
        <v/>
      </c>
      <c r="EJ30" s="69" t="str">
        <f ca="1">IF(AND($C30="Goal",EJ$8&gt;=$G30,EJ$8&lt;=$G30+$H30-1),2,IF(AND($C30="Milestone",EJ$8&gt;=$G30,EJ$8&lt;=$G30+$H30-1),1,""))</f>
        <v/>
      </c>
      <c r="EK30" s="69" t="str">
        <f ca="1">IF(AND($C30="Goal",EK$8&gt;=$G30,EK$8&lt;=$G30+$H30-1),2,IF(AND($C30="Milestone",EK$8&gt;=$G30,EK$8&lt;=$G30+$H30-1),1,""))</f>
        <v/>
      </c>
      <c r="EL30" s="69" t="str">
        <f ca="1">IF(AND($C30="Goal",EL$8&gt;=$G30,EL$8&lt;=$G30+$H30-1),2,IF(AND($C30="Milestone",EL$8&gt;=$G30,EL$8&lt;=$G30+$H30-1),1,""))</f>
        <v/>
      </c>
      <c r="EM30" s="69" t="str">
        <f ca="1">IF(AND($C30="Goal",EM$8&gt;=$G30,EM$8&lt;=$G30+$H30-1),2,IF(AND($C30="Milestone",EM$8&gt;=$G30,EM$8&lt;=$G30+$H30-1),1,""))</f>
        <v/>
      </c>
      <c r="EN30" s="69" t="str">
        <f ca="1">IF(AND($C30="Goal",EN$8&gt;=$G30,EN$8&lt;=$G30+$H30-1),2,IF(AND($C30="Milestone",EN$8&gt;=$G30,EN$8&lt;=$G30+$H30-1),1,""))</f>
        <v/>
      </c>
      <c r="EO30" s="69" t="str">
        <f ca="1">IF(AND($C30="Goal",EO$8&gt;=$G30,EO$8&lt;=$G30+$H30-1),2,IF(AND($C30="Milestone",EO$8&gt;=$G30,EO$8&lt;=$G30+$H30-1),1,""))</f>
        <v/>
      </c>
      <c r="EP30" s="69" t="str">
        <f ca="1">IF(AND($C30="Goal",EP$8&gt;=$G30,EP$8&lt;=$G30+$H30-1),2,IF(AND($C30="Milestone",EP$8&gt;=$G30,EP$8&lt;=$G30+$H30-1),1,""))</f>
        <v/>
      </c>
      <c r="EQ30" s="69" t="str">
        <f ca="1">IF(AND($C30="Goal",EQ$8&gt;=$G30,EQ$8&lt;=$G30+$H30-1),2,IF(AND($C30="Milestone",EQ$8&gt;=$G30,EQ$8&lt;=$G30+$H30-1),1,""))</f>
        <v/>
      </c>
      <c r="ER30" s="69" t="str">
        <f ca="1">IF(AND($C30="Goal",ER$8&gt;=$G30,ER$8&lt;=$G30+$H30-1),2,IF(AND($C30="Milestone",ER$8&gt;=$G30,ER$8&lt;=$G30+$H30-1),1,""))</f>
        <v/>
      </c>
      <c r="ES30" s="69" t="str">
        <f ca="1">IF(AND($C30="Goal",ES$8&gt;=$G30,ES$8&lt;=$G30+$H30-1),2,IF(AND($C30="Milestone",ES$8&gt;=$G30,ES$8&lt;=$G30+$H30-1),1,""))</f>
        <v/>
      </c>
      <c r="ET30" s="69" t="str">
        <f ca="1">IF(AND($C30="Goal",ET$8&gt;=$G30,ET$8&lt;=$G30+$H30-1),2,IF(AND($C30="Milestone",ET$8&gt;=$G30,ET$8&lt;=$G30+$H30-1),1,""))</f>
        <v/>
      </c>
      <c r="EU30" s="69" t="str">
        <f ca="1">IF(AND($C30="Goal",EU$8&gt;=$G30,EU$8&lt;=$G30+$H30-1),2,IF(AND($C30="Milestone",EU$8&gt;=$G30,EU$8&lt;=$G30+$H30-1),1,""))</f>
        <v/>
      </c>
      <c r="EV30" s="69" t="str">
        <f ca="1">IF(AND($C30="Goal",EV$8&gt;=$G30,EV$8&lt;=$G30+$H30-1),2,IF(AND($C30="Milestone",EV$8&gt;=$G30,EV$8&lt;=$G30+$H30-1),1,""))</f>
        <v/>
      </c>
      <c r="EW30" s="69" t="str">
        <f ca="1">IF(AND($C30="Goal",EW$8&gt;=$G30,EW$8&lt;=$G30+$H30-1),2,IF(AND($C30="Milestone",EW$8&gt;=$G30,EW$8&lt;=$G30+$H30-1),1,""))</f>
        <v/>
      </c>
      <c r="EX30" s="69" t="str">
        <f ca="1">IF(AND($C30="Goal",EX$8&gt;=$G30,EX$8&lt;=$G30+$H30-1),2,IF(AND($C30="Milestone",EX$8&gt;=$G30,EX$8&lt;=$G30+$H30-1),1,""))</f>
        <v/>
      </c>
      <c r="EY30" s="69" t="str">
        <f ca="1">IF(AND($C30="Goal",EY$8&gt;=$G30,EY$8&lt;=$G30+$H30-1),2,IF(AND($C30="Milestone",EY$8&gt;=$G30,EY$8&lt;=$G30+$H30-1),1,""))</f>
        <v/>
      </c>
      <c r="EZ30" s="69" t="str">
        <f ca="1">IF(AND($C30="Goal",EZ$8&gt;=$G30,EZ$8&lt;=$G30+$H30-1),2,IF(AND($C30="Milestone",EZ$8&gt;=$G30,EZ$8&lt;=$G30+$H30-1),1,""))</f>
        <v/>
      </c>
      <c r="FA30" s="69" t="str">
        <f ca="1">IF(AND($C30="Goal",FA$8&gt;=$G30,FA$8&lt;=$G30+$H30-1),2,IF(AND($C30="Milestone",FA$8&gt;=$G30,FA$8&lt;=$G30+$H30-1),1,""))</f>
        <v/>
      </c>
      <c r="FB30" s="69" t="str">
        <f ca="1">IF(AND($C30="Goal",FB$8&gt;=$G30,FB$8&lt;=$G30+$H30-1),2,IF(AND($C30="Milestone",FB$8&gt;=$G30,FB$8&lt;=$G30+$H30-1),1,""))</f>
        <v/>
      </c>
      <c r="FC30" s="69" t="str">
        <f ca="1">IF(AND($C30="Goal",FC$8&gt;=$G30,FC$8&lt;=$G30+$H30-1),2,IF(AND($C30="Milestone",FC$8&gt;=$G30,FC$8&lt;=$G30+$H30-1),1,""))</f>
        <v/>
      </c>
      <c r="FD30" s="69" t="str">
        <f ca="1">IF(AND($C30="Goal",FD$8&gt;=$G30,FD$8&lt;=$G30+$H30-1),2,IF(AND($C30="Milestone",FD$8&gt;=$G30,FD$8&lt;=$G30+$H30-1),1,""))</f>
        <v/>
      </c>
      <c r="FE30" s="69" t="str">
        <f ca="1">IF(AND($C30="Goal",FE$8&gt;=$G30,FE$8&lt;=$G30+$H30-1),2,IF(AND($C30="Milestone",FE$8&gt;=$G30,FE$8&lt;=$G30+$H30-1),1,""))</f>
        <v/>
      </c>
      <c r="FF30" s="69" t="str">
        <f ca="1">IF(AND($C30="Goal",FF$8&gt;=$G30,FF$8&lt;=$G30+$H30-1),2,IF(AND($C30="Milestone",FF$8&gt;=$G30,FF$8&lt;=$G30+$H30-1),1,""))</f>
        <v/>
      </c>
      <c r="FG30" s="69" t="str">
        <f ca="1">IF(AND($C30="Goal",FG$8&gt;=$G30,FG$8&lt;=$G30+$H30-1),2,IF(AND($C30="Milestone",FG$8&gt;=$G30,FG$8&lt;=$G30+$H30-1),1,""))</f>
        <v/>
      </c>
      <c r="FH30" s="69" t="str">
        <f ca="1">IF(AND($C30="Goal",FH$8&gt;=$G30,FH$8&lt;=$G30+$H30-1),2,IF(AND($C30="Milestone",FH$8&gt;=$G30,FH$8&lt;=$G30+$H30-1),1,""))</f>
        <v/>
      </c>
      <c r="FI30" s="69" t="str">
        <f ca="1">IF(AND($C30="Goal",FI$8&gt;=$G30,FI$8&lt;=$G30+$H30-1),2,IF(AND($C30="Milestone",FI$8&gt;=$G30,FI$8&lt;=$G30+$H30-1),1,""))</f>
        <v/>
      </c>
      <c r="FJ30" s="69" t="str">
        <f ca="1">IF(AND($C30="Goal",FJ$8&gt;=$G30,FJ$8&lt;=$G30+$H30-1),2,IF(AND($C30="Milestone",FJ$8&gt;=$G30,FJ$8&lt;=$G30+$H30-1),1,""))</f>
        <v/>
      </c>
      <c r="FK30" s="69" t="str">
        <f ca="1">IF(AND($C30="Goal",FK$8&gt;=$G30,FK$8&lt;=$G30+$H30-1),2,IF(AND($C30="Milestone",FK$8&gt;=$G30,FK$8&lt;=$G30+$H30-1),1,""))</f>
        <v/>
      </c>
      <c r="FL30" s="69" t="str">
        <f ca="1">IF(AND($C30="Goal",FL$8&gt;=$G30,FL$8&lt;=$G30+$H30-1),2,IF(AND($C30="Milestone",FL$8&gt;=$G30,FL$8&lt;=$G30+$H30-1),1,""))</f>
        <v/>
      </c>
      <c r="FM30" s="69" t="str">
        <f ca="1">IF(AND($C30="Goal",FM$8&gt;=$G30,FM$8&lt;=$G30+$H30-1),2,IF(AND($C30="Milestone",FM$8&gt;=$G30,FM$8&lt;=$G30+$H30-1),1,""))</f>
        <v/>
      </c>
      <c r="FN30" s="69" t="str">
        <f ca="1">IF(AND($C30="Goal",FN$8&gt;=$G30,FN$8&lt;=$G30+$H30-1),2,IF(AND($C30="Milestone",FN$8&gt;=$G30,FN$8&lt;=$G30+$H30-1),1,""))</f>
        <v/>
      </c>
      <c r="FO30" s="69" t="str">
        <f ca="1">IF(AND($C30="Goal",FO$8&gt;=$G30,FO$8&lt;=$G30+$H30-1),2,IF(AND($C30="Milestone",FO$8&gt;=$G30,FO$8&lt;=$G30+$H30-1),1,""))</f>
        <v/>
      </c>
      <c r="FP30" s="69" t="str">
        <f ca="1">IF(AND($C30="Goal",FP$8&gt;=$G30,FP$8&lt;=$G30+$H30-1),2,IF(AND($C30="Milestone",FP$8&gt;=$G30,FP$8&lt;=$G30+$H30-1),1,""))</f>
        <v/>
      </c>
      <c r="FQ30" s="69" t="str">
        <f ca="1">IF(AND($C30="Goal",FQ$8&gt;=$G30,FQ$8&lt;=$G30+$H30-1),2,IF(AND($C30="Milestone",FQ$8&gt;=$G30,FQ$8&lt;=$G30+$H30-1),1,""))</f>
        <v/>
      </c>
      <c r="FR30" s="69" t="str">
        <f ca="1">IF(AND($C30="Goal",FR$8&gt;=$G30,FR$8&lt;=$G30+$H30-1),2,IF(AND($C30="Milestone",FR$8&gt;=$G30,FR$8&lt;=$G30+$H30-1),1,""))</f>
        <v/>
      </c>
      <c r="FS30" s="69" t="str">
        <f ca="1">IF(AND($C30="Goal",FS$8&gt;=$G30,FS$8&lt;=$G30+$H30-1),2,IF(AND($C30="Milestone",FS$8&gt;=$G30,FS$8&lt;=$G30+$H30-1),1,""))</f>
        <v/>
      </c>
      <c r="FT30" s="69" t="str">
        <f ca="1">IF(AND($C30="Goal",FT$8&gt;=$G30,FT$8&lt;=$G30+$H30-1),2,IF(AND($C30="Milestone",FT$8&gt;=$G30,FT$8&lt;=$G30+$H30-1),1,""))</f>
        <v/>
      </c>
      <c r="FU30" s="69" t="str">
        <f ca="1">IF(AND($C30="Goal",FU$8&gt;=$G30,FU$8&lt;=$G30+$H30-1),2,IF(AND($C30="Milestone",FU$8&gt;=$G30,FU$8&lt;=$G30+$H30-1),1,""))</f>
        <v/>
      </c>
      <c r="FV30" s="69" t="str">
        <f ca="1">IF(AND($C30="Goal",FV$8&gt;=$G30,FV$8&lt;=$G30+$H30-1),2,IF(AND($C30="Milestone",FV$8&gt;=$G30,FV$8&lt;=$G30+$H30-1),1,""))</f>
        <v/>
      </c>
      <c r="FW30" s="69" t="str">
        <f ca="1">IF(AND($C30="Goal",FW$8&gt;=$G30,FW$8&lt;=$G30+$H30-1),2,IF(AND($C30="Milestone",FW$8&gt;=$G30,FW$8&lt;=$G30+$H30-1),1,""))</f>
        <v/>
      </c>
      <c r="FX30" s="69" t="str">
        <f ca="1">IF(AND($C30="Goal",FX$8&gt;=$G30,FX$8&lt;=$G30+$H30-1),2,IF(AND($C30="Milestone",FX$8&gt;=$G30,FX$8&lt;=$G30+$H30-1),1,""))</f>
        <v/>
      </c>
      <c r="FY30" s="69" t="str">
        <f ca="1">IF(AND($C30="Goal",FY$8&gt;=$G30,FY$8&lt;=$G30+$H30-1),2,IF(AND($C30="Milestone",FY$8&gt;=$G30,FY$8&lt;=$G30+$H30-1),1,""))</f>
        <v/>
      </c>
      <c r="FZ30" s="69" t="str">
        <f ca="1">IF(AND($C30="Goal",FZ$8&gt;=$G30,FZ$8&lt;=$G30+$H30-1),2,IF(AND($C30="Milestone",FZ$8&gt;=$G30,FZ$8&lt;=$G30+$H30-1),1,""))</f>
        <v/>
      </c>
      <c r="GA30" s="69" t="str">
        <f ca="1">IF(AND($C30="Goal",GA$8&gt;=$G30,GA$8&lt;=$G30+$H30-1),2,IF(AND($C30="Milestone",GA$8&gt;=$G30,GA$8&lt;=$G30+$H30-1),1,""))</f>
        <v/>
      </c>
      <c r="GB30" s="69" t="str">
        <f ca="1">IF(AND($C30="Goal",GB$8&gt;=$G30,GB$8&lt;=$G30+$H30-1),2,IF(AND($C30="Milestone",GB$8&gt;=$G30,GB$8&lt;=$G30+$H30-1),1,""))</f>
        <v/>
      </c>
      <c r="GC30" s="69" t="str">
        <f ca="1">IF(AND($C30="Goal",GC$8&gt;=$G30,GC$8&lt;=$G30+$H30-1),2,IF(AND($C30="Milestone",GC$8&gt;=$G30,GC$8&lt;=$G30+$H30-1),1,""))</f>
        <v/>
      </c>
      <c r="GD30" s="69" t="str">
        <f ca="1">IF(AND($C30="Goal",GD$8&gt;=$G30,GD$8&lt;=$G30+$H30-1),2,IF(AND($C30="Milestone",GD$8&gt;=$G30,GD$8&lt;=$G30+$H30-1),1,""))</f>
        <v/>
      </c>
      <c r="GE30" s="69" t="str">
        <f ca="1">IF(AND($C30="Goal",GE$8&gt;=$G30,GE$8&lt;=$G30+$H30-1),2,IF(AND($C30="Milestone",GE$8&gt;=$G30,GE$8&lt;=$G30+$H30-1),1,""))</f>
        <v/>
      </c>
      <c r="GF30" s="69" t="str">
        <f ca="1">IF(AND($C30="Goal",GF$8&gt;=$G30,GF$8&lt;=$G30+$H30-1),2,IF(AND($C30="Milestone",GF$8&gt;=$G30,GF$8&lt;=$G30+$H30-1),1,""))</f>
        <v/>
      </c>
      <c r="GG30" s="69" t="str">
        <f ca="1">IF(AND($C30="Goal",GG$8&gt;=$G30,GG$8&lt;=$G30+$H30-1),2,IF(AND($C30="Milestone",GG$8&gt;=$G30,GG$8&lt;=$G30+$H30-1),1,""))</f>
        <v/>
      </c>
      <c r="GH30" s="69" t="str">
        <f ca="1">IF(AND($C30="Goal",GH$8&gt;=$G30,GH$8&lt;=$G30+$H30-1),2,IF(AND($C30="Milestone",GH$8&gt;=$G30,GH$8&lt;=$G30+$H30-1),1,""))</f>
        <v/>
      </c>
      <c r="GI30" s="69" t="str">
        <f ca="1">IF(AND($C30="Goal",GI$8&gt;=$G30,GI$8&lt;=$G30+$H30-1),2,IF(AND($C30="Milestone",GI$8&gt;=$G30,GI$8&lt;=$G30+$H30-1),1,""))</f>
        <v/>
      </c>
      <c r="GJ30" s="69" t="str">
        <f ca="1">IF(AND($C30="Goal",GJ$8&gt;=$G30,GJ$8&lt;=$G30+$H30-1),2,IF(AND($C30="Milestone",GJ$8&gt;=$G30,GJ$8&lt;=$G30+$H30-1),1,""))</f>
        <v/>
      </c>
      <c r="GK30" s="69" t="str">
        <f ca="1">IF(AND($C30="Goal",GK$8&gt;=$G30,GK$8&lt;=$G30+$H30-1),2,IF(AND($C30="Milestone",GK$8&gt;=$G30,GK$8&lt;=$G30+$H30-1),1,""))</f>
        <v/>
      </c>
      <c r="GL30" s="69" t="str">
        <f ca="1">IF(AND($C30="Goal",GL$8&gt;=$G30,GL$8&lt;=$G30+$H30-1),2,IF(AND($C30="Milestone",GL$8&gt;=$G30,GL$8&lt;=$G30+$H30-1),1,""))</f>
        <v/>
      </c>
      <c r="GM30" s="69" t="str">
        <f ca="1">IF(AND($C30="Goal",GM$8&gt;=$G30,GM$8&lt;=$G30+$H30-1),2,IF(AND($C30="Milestone",GM$8&gt;=$G30,GM$8&lt;=$G30+$H30-1),1,""))</f>
        <v/>
      </c>
      <c r="GN30" s="69" t="str">
        <f ca="1">IF(AND($C30="Goal",GN$8&gt;=$G30,GN$8&lt;=$G30+$H30-1),2,IF(AND($C30="Milestone",GN$8&gt;=$G30,GN$8&lt;=$G30+$H30-1),1,""))</f>
        <v/>
      </c>
      <c r="GO30" s="69" t="str">
        <f ca="1">IF(AND($C30="Goal",GO$8&gt;=$G30,GO$8&lt;=$G30+$H30-1),2,IF(AND($C30="Milestone",GO$8&gt;=$G30,GO$8&lt;=$G30+$H30-1),1,""))</f>
        <v/>
      </c>
      <c r="GP30" s="69" t="str">
        <f ca="1">IF(AND($C30="Goal",GP$8&gt;=$G30,GP$8&lt;=$G30+$H30-1),2,IF(AND($C30="Milestone",GP$8&gt;=$G30,GP$8&lt;=$G30+$H30-1),1,""))</f>
        <v/>
      </c>
      <c r="GQ30" s="69" t="str">
        <f ca="1">IF(AND($C30="Goal",GQ$8&gt;=$G30,GQ$8&lt;=$G30+$H30-1),2,IF(AND($C30="Milestone",GQ$8&gt;=$G30,GQ$8&lt;=$G30+$H30-1),1,""))</f>
        <v/>
      </c>
      <c r="GR30" s="69" t="str">
        <f ca="1">IF(AND($C30="Goal",GR$8&gt;=$G30,GR$8&lt;=$G30+$H30-1),2,IF(AND($C30="Milestone",GR$8&gt;=$G30,GR$8&lt;=$G30+$H30-1),1,""))</f>
        <v/>
      </c>
      <c r="GS30" s="69" t="str">
        <f ca="1">IF(AND($C30="Goal",GS$8&gt;=$G30,GS$8&lt;=$G30+$H30-1),2,IF(AND($C30="Milestone",GS$8&gt;=$G30,GS$8&lt;=$G30+$H30-1),1,""))</f>
        <v/>
      </c>
      <c r="GT30" s="69" t="str">
        <f ca="1">IF(AND($C30="Goal",GT$8&gt;=$G30,GT$8&lt;=$G30+$H30-1),2,IF(AND($C30="Milestone",GT$8&gt;=$G30,GT$8&lt;=$G30+$H30-1),1,""))</f>
        <v/>
      </c>
      <c r="GU30" s="69" t="str">
        <f ca="1">IF(AND($C30="Goal",GU$8&gt;=$G30,GU$8&lt;=$G30+$H30-1),2,IF(AND($C30="Milestone",GU$8&gt;=$G30,GU$8&lt;=$G30+$H30-1),1,""))</f>
        <v/>
      </c>
      <c r="GV30" s="69" t="str">
        <f ca="1">IF(AND($C30="Goal",GV$8&gt;=$G30,GV$8&lt;=$G30+$H30-1),2,IF(AND($C30="Milestone",GV$8&gt;=$G30,GV$8&lt;=$G30+$H30-1),1,""))</f>
        <v/>
      </c>
      <c r="GW30" s="69" t="str">
        <f ca="1">IF(AND($C30="Goal",GW$8&gt;=$G30,GW$8&lt;=$G30+$H30-1),2,IF(AND($C30="Milestone",GW$8&gt;=$G30,GW$8&lt;=$G30+$H30-1),1,""))</f>
        <v/>
      </c>
      <c r="GX30" s="69" t="str">
        <f ca="1">IF(AND($C30="Goal",GX$8&gt;=$G30,GX$8&lt;=$G30+$H30-1),2,IF(AND($C30="Milestone",GX$8&gt;=$G30,GX$8&lt;=$G30+$H30-1),1,""))</f>
        <v/>
      </c>
      <c r="GY30" s="69" t="str">
        <f ca="1">IF(AND($C30="Goal",GY$8&gt;=$G30,GY$8&lt;=$G30+$H30-1),2,IF(AND($C30="Milestone",GY$8&gt;=$G30,GY$8&lt;=$G30+$H30-1),1,""))</f>
        <v/>
      </c>
      <c r="GZ30" s="69" t="str">
        <f ca="1">IF(AND($C30="Goal",GZ$8&gt;=$G30,GZ$8&lt;=$G30+$H30-1),2,IF(AND($C30="Milestone",GZ$8&gt;=$G30,GZ$8&lt;=$G30+$H30-1),1,""))</f>
        <v/>
      </c>
      <c r="HA30" s="69" t="str">
        <f ca="1">IF(AND($C30="Goal",HA$8&gt;=$G30,HA$8&lt;=$G30+$H30-1),2,IF(AND($C30="Milestone",HA$8&gt;=$G30,HA$8&lt;=$G30+$H30-1),1,""))</f>
        <v/>
      </c>
      <c r="HB30" s="69" t="str">
        <f ca="1">IF(AND($C30="Goal",HB$8&gt;=$G30,HB$8&lt;=$G30+$H30-1),2,IF(AND($C30="Milestone",HB$8&gt;=$G30,HB$8&lt;=$G30+$H30-1),1,""))</f>
        <v/>
      </c>
      <c r="HC30" s="69" t="str">
        <f ca="1">IF(AND($C30="Goal",HC$8&gt;=$G30,HC$8&lt;=$G30+$H30-1),2,IF(AND($C30="Milestone",HC$8&gt;=$G30,HC$8&lt;=$G30+$H30-1),1,""))</f>
        <v/>
      </c>
      <c r="HD30" s="69" t="str">
        <f ca="1">IF(AND($C30="Goal",HD$8&gt;=$G30,HD$8&lt;=$G30+$H30-1),2,IF(AND($C30="Milestone",HD$8&gt;=$G30,HD$8&lt;=$G30+$H30-1),1,""))</f>
        <v/>
      </c>
      <c r="HE30" s="69" t="str">
        <f ca="1">IF(AND($C30="Goal",HE$8&gt;=$G30,HE$8&lt;=$G30+$H30-1),2,IF(AND($C30="Milestone",HE$8&gt;=$G30,HE$8&lt;=$G30+$H30-1),1,""))</f>
        <v/>
      </c>
      <c r="HF30" s="69" t="str">
        <f ca="1">IF(AND($C30="Goal",HF$8&gt;=$G30,HF$8&lt;=$G30+$H30-1),2,IF(AND($C30="Milestone",HF$8&gt;=$G30,HF$8&lt;=$G30+$H30-1),1,""))</f>
        <v/>
      </c>
      <c r="HG30" s="69" t="str">
        <f ca="1">IF(AND($C30="Goal",HG$8&gt;=$G30,HG$8&lt;=$G30+$H30-1),2,IF(AND($C30="Milestone",HG$8&gt;=$G30,HG$8&lt;=$G30+$H30-1),1,""))</f>
        <v/>
      </c>
      <c r="HH30" s="69" t="str">
        <f ca="1">IF(AND($C30="Goal",HH$8&gt;=$G30,HH$8&lt;=$G30+$H30-1),2,IF(AND($C30="Milestone",HH$8&gt;=$G30,HH$8&lt;=$G30+$H30-1),1,""))</f>
        <v/>
      </c>
      <c r="HI30" s="69" t="str">
        <f ca="1">IF(AND($C30="Goal",HI$8&gt;=$G30,HI$8&lt;=$G30+$H30-1),2,IF(AND($C30="Milestone",HI$8&gt;=$G30,HI$8&lt;=$G30+$H30-1),1,""))</f>
        <v/>
      </c>
      <c r="HJ30" s="69" t="str">
        <f ca="1">IF(AND($C30="Goal",HJ$8&gt;=$G30,HJ$8&lt;=$G30+$H30-1),2,IF(AND($C30="Milestone",HJ$8&gt;=$G30,HJ$8&lt;=$G30+$H30-1),1,""))</f>
        <v/>
      </c>
      <c r="HK30" s="69" t="str">
        <f ca="1">IF(AND($C30="Goal",HK$8&gt;=$G30,HK$8&lt;=$G30+$H30-1),2,IF(AND($C30="Milestone",HK$8&gt;=$G30,HK$8&lt;=$G30+$H30-1),1,""))</f>
        <v/>
      </c>
      <c r="HL30" s="69" t="str">
        <f ca="1">IF(AND($C30="Goal",HL$8&gt;=$G30,HL$8&lt;=$G30+$H30-1),2,IF(AND($C30="Milestone",HL$8&gt;=$G30,HL$8&lt;=$G30+$H30-1),1,""))</f>
        <v/>
      </c>
      <c r="HM30" s="69" t="str">
        <f ca="1">IF(AND($C30="Goal",HM$8&gt;=$G30,HM$8&lt;=$G30+$H30-1),2,IF(AND($C30="Milestone",HM$8&gt;=$G30,HM$8&lt;=$G30+$H30-1),1,""))</f>
        <v/>
      </c>
      <c r="HN30" s="69" t="str">
        <f ca="1">IF(AND($C30="Goal",HN$8&gt;=$G30,HN$8&lt;=$G30+$H30-1),2,IF(AND($C30="Milestone",HN$8&gt;=$G30,HN$8&lt;=$G30+$H30-1),1,""))</f>
        <v/>
      </c>
      <c r="HO30" s="69" t="str">
        <f ca="1">IF(AND($C30="Goal",HO$8&gt;=$G30,HO$8&lt;=$G30+$H30-1),2,IF(AND($C30="Milestone",HO$8&gt;=$G30,HO$8&lt;=$G30+$H30-1),1,""))</f>
        <v/>
      </c>
      <c r="HP30" s="69" t="str">
        <f ca="1">IF(AND($C30="Goal",HP$8&gt;=$G30,HP$8&lt;=$G30+$H30-1),2,IF(AND($C30="Milestone",HP$8&gt;=$G30,HP$8&lt;=$G30+$H30-1),1,""))</f>
        <v/>
      </c>
      <c r="HQ30" s="69" t="str">
        <f ca="1">IF(AND($C30="Goal",HQ$8&gt;=$G30,HQ$8&lt;=$G30+$H30-1),2,IF(AND($C30="Milestone",HQ$8&gt;=$G30,HQ$8&lt;=$G30+$H30-1),1,""))</f>
        <v/>
      </c>
      <c r="HR30" s="69" t="str">
        <f ca="1">IF(AND($C30="Goal",HR$8&gt;=$G30,HR$8&lt;=$G30+$H30-1),2,IF(AND($C30="Milestone",HR$8&gt;=$G30,HR$8&lt;=$G30+$H30-1),1,""))</f>
        <v/>
      </c>
      <c r="HS30" s="69" t="str">
        <f ca="1">IF(AND($C30="Goal",HS$8&gt;=$G30,HS$8&lt;=$G30+$H30-1),2,IF(AND($C30="Milestone",HS$8&gt;=$G30,HS$8&lt;=$G30+$H30-1),1,""))</f>
        <v/>
      </c>
      <c r="HT30" s="69" t="str">
        <f ca="1">IF(AND($C30="Goal",HT$8&gt;=$G30,HT$8&lt;=$G30+$H30-1),2,IF(AND($C30="Milestone",HT$8&gt;=$G30,HT$8&lt;=$G30+$H30-1),1,""))</f>
        <v/>
      </c>
      <c r="HU30" s="69" t="str">
        <f ca="1">IF(AND($C30="Goal",HU$8&gt;=$G30,HU$8&lt;=$G30+$H30-1),2,IF(AND($C30="Milestone",HU$8&gt;=$G30,HU$8&lt;=$G30+$H30-1),1,""))</f>
        <v/>
      </c>
      <c r="HV30" s="69" t="str">
        <f ca="1">IF(AND($C30="Goal",HV$8&gt;=$G30,HV$8&lt;=$G30+$H30-1),2,IF(AND($C30="Milestone",HV$8&gt;=$G30,HV$8&lt;=$G30+$H30-1),1,""))</f>
        <v/>
      </c>
      <c r="HW30" s="69" t="str">
        <f ca="1">IF(AND($C30="Goal",HW$8&gt;=$G30,HW$8&lt;=$G30+$H30-1),2,IF(AND($C30="Milestone",HW$8&gt;=$G30,HW$8&lt;=$G30+$H30-1),1,""))</f>
        <v/>
      </c>
      <c r="HX30" s="69" t="str">
        <f ca="1">IF(AND($C30="Goal",HX$8&gt;=$G30,HX$8&lt;=$G30+$H30-1),2,IF(AND($C30="Milestone",HX$8&gt;=$G30,HX$8&lt;=$G30+$H30-1),1,""))</f>
        <v/>
      </c>
      <c r="HY30" s="69" t="str">
        <f ca="1">IF(AND($C30="Goal",HY$8&gt;=$G30,HY$8&lt;=$G30+$H30-1),2,IF(AND($C30="Milestone",HY$8&gt;=$G30,HY$8&lt;=$G30+$H30-1),1,""))</f>
        <v/>
      </c>
      <c r="HZ30" s="69" t="str">
        <f ca="1">IF(AND($C30="Goal",HZ$8&gt;=$G30,HZ$8&lt;=$G30+$H30-1),2,IF(AND($C30="Milestone",HZ$8&gt;=$G30,HZ$8&lt;=$G30+$H30-1),1,""))</f>
        <v/>
      </c>
      <c r="IA30" s="69" t="str">
        <f ca="1">IF(AND($C30="Goal",IA$8&gt;=$G30,IA$8&lt;=$G30+$H30-1),2,IF(AND($C30="Milestone",IA$8&gt;=$G30,IA$8&lt;=$G30+$H30-1),1,""))</f>
        <v/>
      </c>
      <c r="IB30" s="69" t="str">
        <f ca="1">IF(AND($C30="Goal",IB$8&gt;=$G30,IB$8&lt;=$G30+$H30-1),2,IF(AND($C30="Milestone",IB$8&gt;=$G30,IB$8&lt;=$G30+$H30-1),1,""))</f>
        <v/>
      </c>
      <c r="IC30" s="69" t="str">
        <f ca="1">IF(AND($C30="Goal",IC$8&gt;=$G30,IC$8&lt;=$G30+$H30-1),2,IF(AND($C30="Milestone",IC$8&gt;=$G30,IC$8&lt;=$G30+$H30-1),1,""))</f>
        <v/>
      </c>
      <c r="ID30" s="69" t="str">
        <f ca="1">IF(AND($C30="Goal",ID$8&gt;=$G30,ID$8&lt;=$G30+$H30-1),2,IF(AND($C30="Milestone",ID$8&gt;=$G30,ID$8&lt;=$G30+$H30-1),1,""))</f>
        <v/>
      </c>
      <c r="IE30" s="69" t="str">
        <f ca="1">IF(AND($C30="Goal",IE$8&gt;=$G30,IE$8&lt;=$G30+$H30-1),2,IF(AND($C30="Milestone",IE$8&gt;=$G30,IE$8&lt;=$G30+$H30-1),1,""))</f>
        <v/>
      </c>
      <c r="IF30" s="69" t="str">
        <f ca="1">IF(AND($C30="Goal",IF$8&gt;=$G30,IF$8&lt;=$G30+$H30-1),2,IF(AND($C30="Milestone",IF$8&gt;=$G30,IF$8&lt;=$G30+$H30-1),1,""))</f>
        <v/>
      </c>
      <c r="IG30" s="69" t="str">
        <f ca="1">IF(AND($C30="Goal",IG$8&gt;=$G30,IG$8&lt;=$G30+$H30-1),2,IF(AND($C30="Milestone",IG$8&gt;=$G30,IG$8&lt;=$G30+$H30-1),1,""))</f>
        <v/>
      </c>
      <c r="IH30" s="69" t="str">
        <f ca="1">IF(AND($C30="Goal",IH$8&gt;=$G30,IH$8&lt;=$G30+$H30-1),2,IF(AND($C30="Milestone",IH$8&gt;=$G30,IH$8&lt;=$G30+$H30-1),1,""))</f>
        <v/>
      </c>
      <c r="II30" s="69" t="str">
        <f ca="1">IF(AND($C30="Goal",II$8&gt;=$G30,II$8&lt;=$G30+$H30-1),2,IF(AND($C30="Milestone",II$8&gt;=$G30,II$8&lt;=$G30+$H30-1),1,""))</f>
        <v/>
      </c>
      <c r="IJ30" s="69" t="str">
        <f ca="1">IF(AND($C30="Goal",IJ$8&gt;=$G30,IJ$8&lt;=$G30+$H30-1),2,IF(AND($C30="Milestone",IJ$8&gt;=$G30,IJ$8&lt;=$G30+$H30-1),1,""))</f>
        <v/>
      </c>
      <c r="IK30" s="69" t="str">
        <f ca="1">IF(AND($C30="Goal",IK$8&gt;=$G30,IK$8&lt;=$G30+$H30-1),2,IF(AND($C30="Milestone",IK$8&gt;=$G30,IK$8&lt;=$G30+$H30-1),1,""))</f>
        <v/>
      </c>
      <c r="IL30" s="69" t="str">
        <f ca="1">IF(AND($C30="Goal",IL$8&gt;=$G30,IL$8&lt;=$G30+$H30-1),2,IF(AND($C30="Milestone",IL$8&gt;=$G30,IL$8&lt;=$G30+$H30-1),1,""))</f>
        <v/>
      </c>
      <c r="IM30" s="69" t="str">
        <f ca="1">IF(AND($C30="Goal",IM$8&gt;=$G30,IM$8&lt;=$G30+$H30-1),2,IF(AND($C30="Milestone",IM$8&gt;=$G30,IM$8&lt;=$G30+$H30-1),1,""))</f>
        <v/>
      </c>
      <c r="IN30" s="69" t="str">
        <f ca="1">IF(AND($C30="Goal",IN$8&gt;=$G30,IN$8&lt;=$G30+$H30-1),2,IF(AND($C30="Milestone",IN$8&gt;=$G30,IN$8&lt;=$G30+$H30-1),1,""))</f>
        <v/>
      </c>
      <c r="IO30" s="69" t="str">
        <f ca="1">IF(AND($C30="Goal",IO$8&gt;=$G30,IO$8&lt;=$G30+$H30-1),2,IF(AND($C30="Milestone",IO$8&gt;=$G30,IO$8&lt;=$G30+$H30-1),1,""))</f>
        <v/>
      </c>
      <c r="IP30" s="69" t="str">
        <f ca="1">IF(AND($C30="Goal",IP$8&gt;=$G30,IP$8&lt;=$G30+$H30-1),2,IF(AND($C30="Milestone",IP$8&gt;=$G30,IP$8&lt;=$G30+$H30-1),1,""))</f>
        <v/>
      </c>
      <c r="IQ30" s="69" t="str">
        <f ca="1">IF(AND($C30="Goal",IQ$8&gt;=$G30,IQ$8&lt;=$G30+$H30-1),2,IF(AND($C30="Milestone",IQ$8&gt;=$G30,IQ$8&lt;=$G30+$H30-1),1,""))</f>
        <v/>
      </c>
      <c r="IR30" s="69" t="str">
        <f ca="1">IF(AND($C30="Goal",IR$8&gt;=$G30,IR$8&lt;=$G30+$H30-1),2,IF(AND($C30="Milestone",IR$8&gt;=$G30,IR$8&lt;=$G30+$H30-1),1,""))</f>
        <v/>
      </c>
      <c r="IS30" s="69" t="str">
        <f ca="1">IF(AND($C30="Goal",IS$8&gt;=$G30,IS$8&lt;=$G30+$H30-1),2,IF(AND($C30="Milestone",IS$8&gt;=$G30,IS$8&lt;=$G30+$H30-1),1,""))</f>
        <v/>
      </c>
      <c r="IT30" s="69" t="str">
        <f ca="1">IF(AND($C30="Goal",IT$8&gt;=$G30,IT$8&lt;=$G30+$H30-1),2,IF(AND($C30="Milestone",IT$8&gt;=$G30,IT$8&lt;=$G30+$H30-1),1,""))</f>
        <v/>
      </c>
      <c r="IU30" s="69" t="str">
        <f ca="1">IF(AND($C30="Goal",IU$8&gt;=$G30,IU$8&lt;=$G30+$H30-1),2,IF(AND($C30="Milestone",IU$8&gt;=$G30,IU$8&lt;=$G30+$H30-1),1,""))</f>
        <v/>
      </c>
      <c r="IV30" s="69" t="str">
        <f ca="1">IF(AND($C30="Goal",IV$8&gt;=$G30,IV$8&lt;=$G30+$H30-1),2,IF(AND($C30="Milestone",IV$8&gt;=$G30,IV$8&lt;=$G30+$H30-1),1,""))</f>
        <v/>
      </c>
      <c r="IW30" s="69" t="str">
        <f ca="1">IF(AND($C30="Goal",IW$8&gt;=$G30,IW$8&lt;=$G30+$H30-1),2,IF(AND($C30="Milestone",IW$8&gt;=$G30,IW$8&lt;=$G30+$H30-1),1,""))</f>
        <v/>
      </c>
      <c r="IX30" s="69" t="str">
        <f ca="1">IF(AND($C30="Goal",IX$8&gt;=$G30,IX$8&lt;=$G30+$H30-1),2,IF(AND($C30="Milestone",IX$8&gt;=$G30,IX$8&lt;=$G30+$H30-1),1,""))</f>
        <v/>
      </c>
      <c r="IY30" s="69" t="str">
        <f ca="1">IF(AND($C30="Goal",IY$8&gt;=$G30,IY$8&lt;=$G30+$H30-1),2,IF(AND($C30="Milestone",IY$8&gt;=$G30,IY$8&lt;=$G30+$H30-1),1,""))</f>
        <v/>
      </c>
      <c r="IZ30" s="69" t="str">
        <f ca="1">IF(AND($C30="Goal",IZ$8&gt;=$G30,IZ$8&lt;=$G30+$H30-1),2,IF(AND($C30="Milestone",IZ$8&gt;=$G30,IZ$8&lt;=$G30+$H30-1),1,""))</f>
        <v/>
      </c>
      <c r="JA30" s="69" t="str">
        <f ca="1">IF(AND($C30="Goal",JA$8&gt;=$G30,JA$8&lt;=$G30+$H30-1),2,IF(AND($C30="Milestone",JA$8&gt;=$G30,JA$8&lt;=$G30+$H30-1),1,""))</f>
        <v/>
      </c>
      <c r="JB30" s="69" t="str">
        <f ca="1">IF(AND($C30="Goal",JB$8&gt;=$G30,JB$8&lt;=$G30+$H30-1),2,IF(AND($C30="Milestone",JB$8&gt;=$G30,JB$8&lt;=$G30+$H30-1),1,""))</f>
        <v/>
      </c>
      <c r="JC30" s="69" t="str">
        <f ca="1">IF(AND($C30="Goal",JC$8&gt;=$G30,JC$8&lt;=$G30+$H30-1),2,IF(AND($C30="Milestone",JC$8&gt;=$G30,JC$8&lt;=$G30+$H30-1),1,""))</f>
        <v/>
      </c>
      <c r="JD30" s="69" t="str">
        <f ca="1">IF(AND($C30="Goal",JD$8&gt;=$G30,JD$8&lt;=$G30+$H30-1),2,IF(AND($C30="Milestone",JD$8&gt;=$G30,JD$8&lt;=$G30+$H30-1),1,""))</f>
        <v/>
      </c>
      <c r="JE30" s="69" t="str">
        <f ca="1">IF(AND($C30="Goal",JE$8&gt;=$G30,JE$8&lt;=$G30+$H30-1),2,IF(AND($C30="Milestone",JE$8&gt;=$G30,JE$8&lt;=$G30+$H30-1),1,""))</f>
        <v/>
      </c>
      <c r="JF30" s="69" t="str">
        <f ca="1">IF(AND($C30="Goal",JF$8&gt;=$G30,JF$8&lt;=$G30+$H30-1),2,IF(AND($C30="Milestone",JF$8&gt;=$G30,JF$8&lt;=$G30+$H30-1),1,""))</f>
        <v/>
      </c>
      <c r="JG30" s="69" t="str">
        <f ca="1">IF(AND($C30="Goal",JG$8&gt;=$G30,JG$8&lt;=$G30+$H30-1),2,IF(AND($C30="Milestone",JG$8&gt;=$G30,JG$8&lt;=$G30+$H30-1),1,""))</f>
        <v/>
      </c>
      <c r="JH30" s="69" t="str">
        <f ca="1">IF(AND($C30="Goal",JH$8&gt;=$G30,JH$8&lt;=$G30+$H30-1),2,IF(AND($C30="Milestone",JH$8&gt;=$G30,JH$8&lt;=$G30+$H30-1),1,""))</f>
        <v/>
      </c>
      <c r="JI30" s="69" t="str">
        <f ca="1">IF(AND($C30="Goal",JI$8&gt;=$G30,JI$8&lt;=$G30+$H30-1),2,IF(AND($C30="Milestone",JI$8&gt;=$G30,JI$8&lt;=$G30+$H30-1),1,""))</f>
        <v/>
      </c>
      <c r="JJ30" s="69" t="str">
        <f ca="1">IF(AND($C30="Goal",JJ$8&gt;=$G30,JJ$8&lt;=$G30+$H30-1),2,IF(AND($C30="Milestone",JJ$8&gt;=$G30,JJ$8&lt;=$G30+$H30-1),1,""))</f>
        <v/>
      </c>
      <c r="JK30" s="69" t="str">
        <f ca="1">IF(AND($C30="Goal",JK$8&gt;=$G30,JK$8&lt;=$G30+$H30-1),2,IF(AND($C30="Milestone",JK$8&gt;=$G30,JK$8&lt;=$G30+$H30-1),1,""))</f>
        <v/>
      </c>
      <c r="JL30" s="69" t="str">
        <f ca="1">IF(AND($C30="Goal",JL$8&gt;=$G30,JL$8&lt;=$G30+$H30-1),2,IF(AND($C30="Milestone",JL$8&gt;=$G30,JL$8&lt;=$G30+$H30-1),1,""))</f>
        <v/>
      </c>
      <c r="JM30" s="69" t="str">
        <f ca="1">IF(AND($C30="Goal",JM$8&gt;=$G30,JM$8&lt;=$G30+$H30-1),2,IF(AND($C30="Milestone",JM$8&gt;=$G30,JM$8&lt;=$G30+$H30-1),1,""))</f>
        <v/>
      </c>
      <c r="JN30" s="69" t="str">
        <f ca="1">IF(AND($C30="Goal",JN$8&gt;=$G30,JN$8&lt;=$G30+$H30-1),2,IF(AND($C30="Milestone",JN$8&gt;=$G30,JN$8&lt;=$G30+$H30-1),1,""))</f>
        <v/>
      </c>
      <c r="JO30" s="69" t="str">
        <f ca="1">IF(AND($C30="Goal",JO$8&gt;=$G30,JO$8&lt;=$G30+$H30-1),2,IF(AND($C30="Milestone",JO$8&gt;=$G30,JO$8&lt;=$G30+$H30-1),1,""))</f>
        <v/>
      </c>
      <c r="JP30" s="69" t="str">
        <f ca="1">IF(AND($C30="Goal",JP$8&gt;=$G30,JP$8&lt;=$G30+$H30-1),2,IF(AND($C30="Milestone",JP$8&gt;=$G30,JP$8&lt;=$G30+$H30-1),1,""))</f>
        <v/>
      </c>
      <c r="JQ30" s="69" t="str">
        <f ca="1">IF(AND($C30="Goal",JQ$8&gt;=$G30,JQ$8&lt;=$G30+$H30-1),2,IF(AND($C30="Milestone",JQ$8&gt;=$G30,JQ$8&lt;=$G30+$H30-1),1,""))</f>
        <v/>
      </c>
      <c r="JR30" s="69" t="str">
        <f ca="1">IF(AND($C30="Goal",JR$8&gt;=$G30,JR$8&lt;=$G30+$H30-1),2,IF(AND($C30="Milestone",JR$8&gt;=$G30,JR$8&lt;=$G30+$H30-1),1,""))</f>
        <v/>
      </c>
      <c r="JS30" s="69" t="str">
        <f ca="1">IF(AND($C30="Goal",JS$8&gt;=$G30,JS$8&lt;=$G30+$H30-1),2,IF(AND($C30="Milestone",JS$8&gt;=$G30,JS$8&lt;=$G30+$H30-1),1,""))</f>
        <v/>
      </c>
      <c r="JT30" s="69" t="str">
        <f ca="1">IF(AND($C30="Goal",JT$8&gt;=$G30,JT$8&lt;=$G30+$H30-1),2,IF(AND($C30="Milestone",JT$8&gt;=$G30,JT$8&lt;=$G30+$H30-1),1,""))</f>
        <v/>
      </c>
      <c r="JU30" s="69" t="str">
        <f ca="1">IF(AND($C30="Goal",JU$8&gt;=$G30,JU$8&lt;=$G30+$H30-1),2,IF(AND($C30="Milestone",JU$8&gt;=$G30,JU$8&lt;=$G30+$H30-1),1,""))</f>
        <v/>
      </c>
      <c r="JV30" s="69" t="str">
        <f ca="1">IF(AND($C30="Goal",JV$8&gt;=$G30,JV$8&lt;=$G30+$H30-1),2,IF(AND($C30="Milestone",JV$8&gt;=$G30,JV$8&lt;=$G30+$H30-1),1,""))</f>
        <v/>
      </c>
      <c r="JW30" s="69" t="str">
        <f ca="1">IF(AND($C30="Goal",JW$8&gt;=$G30,JW$8&lt;=$G30+$H30-1),2,IF(AND($C30="Milestone",JW$8&gt;=$G30,JW$8&lt;=$G30+$H30-1),1,""))</f>
        <v/>
      </c>
      <c r="JX30" s="69" t="str">
        <f ca="1">IF(AND($C30="Goal",JX$8&gt;=$G30,JX$8&lt;=$G30+$H30-1),2,IF(AND($C30="Milestone",JX$8&gt;=$G30,JX$8&lt;=$G30+$H30-1),1,""))</f>
        <v/>
      </c>
      <c r="JY30" s="69" t="str">
        <f ca="1">IF(AND($C30="Goal",JY$8&gt;=$G30,JY$8&lt;=$G30+$H30-1),2,IF(AND($C30="Milestone",JY$8&gt;=$G30,JY$8&lt;=$G30+$H30-1),1,""))</f>
        <v/>
      </c>
      <c r="JZ30" s="69" t="str">
        <f ca="1">IF(AND($C30="Goal",JZ$8&gt;=$G30,JZ$8&lt;=$G30+$H30-1),2,IF(AND($C30="Milestone",JZ$8&gt;=$G30,JZ$8&lt;=$G30+$H30-1),1,""))</f>
        <v/>
      </c>
      <c r="KA30" s="69" t="str">
        <f ca="1">IF(AND($C30="Goal",KA$8&gt;=$G30,KA$8&lt;=$G30+$H30-1),2,IF(AND($C30="Milestone",KA$8&gt;=$G30,KA$8&lt;=$G30+$H30-1),1,""))</f>
        <v/>
      </c>
      <c r="KB30" s="69" t="str">
        <f ca="1">IF(AND($C30="Goal",KB$8&gt;=$G30,KB$8&lt;=$G30+$H30-1),2,IF(AND($C30="Milestone",KB$8&gt;=$G30,KB$8&lt;=$G30+$H30-1),1,""))</f>
        <v/>
      </c>
      <c r="KC30" s="69" t="str">
        <f ca="1">IF(AND($C30="Goal",KC$8&gt;=$G30,KC$8&lt;=$G30+$H30-1),2,IF(AND($C30="Milestone",KC$8&gt;=$G30,KC$8&lt;=$G30+$H30-1),1,""))</f>
        <v/>
      </c>
      <c r="KD30" s="69" t="str">
        <f ca="1">IF(AND($C30="Goal",KD$8&gt;=$G30,KD$8&lt;=$G30+$H30-1),2,IF(AND($C30="Milestone",KD$8&gt;=$G30,KD$8&lt;=$G30+$H30-1),1,""))</f>
        <v/>
      </c>
      <c r="KE30" s="69" t="str">
        <f ca="1">IF(AND($C30="Goal",KE$8&gt;=$G30,KE$8&lt;=$G30+$H30-1),2,IF(AND($C30="Milestone",KE$8&gt;=$G30,KE$8&lt;=$G30+$H30-1),1,""))</f>
        <v/>
      </c>
      <c r="KF30" s="69" t="str">
        <f ca="1">IF(AND($C30="Goal",KF$8&gt;=$G30,KF$8&lt;=$G30+$H30-1),2,IF(AND($C30="Milestone",KF$8&gt;=$G30,KF$8&lt;=$G30+$H30-1),1,""))</f>
        <v/>
      </c>
      <c r="KG30" s="69" t="str">
        <f ca="1">IF(AND($C30="Goal",KG$8&gt;=$G30,KG$8&lt;=$G30+$H30-1),2,IF(AND($C30="Milestone",KG$8&gt;=$G30,KG$8&lt;=$G30+$H30-1),1,""))</f>
        <v/>
      </c>
      <c r="KH30" s="69" t="str">
        <f ca="1">IF(AND($C30="Goal",KH$8&gt;=$G30,KH$8&lt;=$G30+$H30-1),2,IF(AND($C30="Milestone",KH$8&gt;=$G30,KH$8&lt;=$G30+$H30-1),1,""))</f>
        <v/>
      </c>
      <c r="KI30" s="69" t="str">
        <f ca="1">IF(AND($C30="Goal",KI$8&gt;=$G30,KI$8&lt;=$G30+$H30-1),2,IF(AND($C30="Milestone",KI$8&gt;=$G30,KI$8&lt;=$G30+$H30-1),1,""))</f>
        <v/>
      </c>
      <c r="KJ30" s="69" t="str">
        <f ca="1">IF(AND($C30="Goal",KJ$8&gt;=$G30,KJ$8&lt;=$G30+$H30-1),2,IF(AND($C30="Milestone",KJ$8&gt;=$G30,KJ$8&lt;=$G30+$H30-1),1,""))</f>
        <v/>
      </c>
      <c r="KK30" s="69" t="str">
        <f ca="1">IF(AND($C30="Goal",KK$8&gt;=$G30,KK$8&lt;=$G30+$H30-1),2,IF(AND($C30="Milestone",KK$8&gt;=$G30,KK$8&lt;=$G30+$H30-1),1,""))</f>
        <v/>
      </c>
      <c r="KL30" s="69" t="str">
        <f ca="1">IF(AND($C30="Goal",KL$8&gt;=$G30,KL$8&lt;=$G30+$H30-1),2,IF(AND($C30="Milestone",KL$8&gt;=$G30,KL$8&lt;=$G30+$H30-1),1,""))</f>
        <v/>
      </c>
      <c r="KM30" s="69" t="str">
        <f ca="1">IF(AND($C30="Goal",KM$8&gt;=$G30,KM$8&lt;=$G30+$H30-1),2,IF(AND($C30="Milestone",KM$8&gt;=$G30,KM$8&lt;=$G30+$H30-1),1,""))</f>
        <v/>
      </c>
      <c r="KN30" s="69" t="str">
        <f ca="1">IF(AND($C30="Goal",KN$8&gt;=$G30,KN$8&lt;=$G30+$H30-1),2,IF(AND($C30="Milestone",KN$8&gt;=$G30,KN$8&lt;=$G30+$H30-1),1,""))</f>
        <v/>
      </c>
      <c r="KO30" s="69" t="str">
        <f ca="1">IF(AND($C30="Goal",KO$8&gt;=$G30,KO$8&lt;=$G30+$H30-1),2,IF(AND($C30="Milestone",KO$8&gt;=$G30,KO$8&lt;=$G30+$H30-1),1,""))</f>
        <v/>
      </c>
      <c r="KP30" s="69" t="str">
        <f ca="1">IF(AND($C30="Goal",KP$8&gt;=$G30,KP$8&lt;=$G30+$H30-1),2,IF(AND($C30="Milestone",KP$8&gt;=$G30,KP$8&lt;=$G30+$H30-1),1,""))</f>
        <v/>
      </c>
      <c r="KQ30" s="69" t="str">
        <f ca="1">IF(AND($C30="Goal",KQ$8&gt;=$G30,KQ$8&lt;=$G30+$H30-1),2,IF(AND($C30="Milestone",KQ$8&gt;=$G30,KQ$8&lt;=$G30+$H30-1),1,""))</f>
        <v/>
      </c>
      <c r="KR30" s="69" t="str">
        <f ca="1">IF(AND($C30="Goal",KR$8&gt;=$G30,KR$8&lt;=$G30+$H30-1),2,IF(AND($C30="Milestone",KR$8&gt;=$G30,KR$8&lt;=$G30+$H30-1),1,""))</f>
        <v/>
      </c>
      <c r="KS30" s="69" t="str">
        <f ca="1">IF(AND($C30="Goal",KS$8&gt;=$G30,KS$8&lt;=$G30+$H30-1),2,IF(AND($C30="Milestone",KS$8&gt;=$G30,KS$8&lt;=$G30+$H30-1),1,""))</f>
        <v/>
      </c>
      <c r="KT30" s="69" t="str">
        <f ca="1">IF(AND($C30="Goal",KT$8&gt;=$G30,KT$8&lt;=$G30+$H30-1),2,IF(AND($C30="Milestone",KT$8&gt;=$G30,KT$8&lt;=$G30+$H30-1),1,""))</f>
        <v/>
      </c>
      <c r="KU30" s="69" t="str">
        <f ca="1">IF(AND($C30="Goal",KU$8&gt;=$G30,KU$8&lt;=$G30+$H30-1),2,IF(AND($C30="Milestone",KU$8&gt;=$G30,KU$8&lt;=$G30+$H30-1),1,""))</f>
        <v/>
      </c>
      <c r="KV30" s="69" t="str">
        <f ca="1">IF(AND($C30="Goal",KV$8&gt;=$G30,KV$8&lt;=$G30+$H30-1),2,IF(AND($C30="Milestone",KV$8&gt;=$G30,KV$8&lt;=$G30+$H30-1),1,""))</f>
        <v/>
      </c>
      <c r="KW30" s="69" t="str">
        <f ca="1">IF(AND($C30="Goal",KW$8&gt;=$G30,KW$8&lt;=$G30+$H30-1),2,IF(AND($C30="Milestone",KW$8&gt;=$G30,KW$8&lt;=$G30+$H30-1),1,""))</f>
        <v/>
      </c>
      <c r="KX30" s="69" t="str">
        <f ca="1">IF(AND($C30="Goal",KX$8&gt;=$G30,KX$8&lt;=$G30+$H30-1),2,IF(AND($C30="Milestone",KX$8&gt;=$G30,KX$8&lt;=$G30+$H30-1),1,""))</f>
        <v/>
      </c>
      <c r="KY30" s="69" t="str">
        <f ca="1">IF(AND($C30="Goal",KY$8&gt;=$G30,KY$8&lt;=$G30+$H30-1),2,IF(AND($C30="Milestone",KY$8&gt;=$G30,KY$8&lt;=$G30+$H30-1),1,""))</f>
        <v/>
      </c>
      <c r="KZ30" s="69" t="str">
        <f ca="1">IF(AND($C30="Goal",KZ$8&gt;=$G30,KZ$8&lt;=$G30+$H30-1),2,IF(AND($C30="Milestone",KZ$8&gt;=$G30,KZ$8&lt;=$G30+$H30-1),1,""))</f>
        <v/>
      </c>
      <c r="LA30" s="69" t="str">
        <f ca="1">IF(AND($C30="Goal",LA$8&gt;=$G30,LA$8&lt;=$G30+$H30-1),2,IF(AND($C30="Milestone",LA$8&gt;=$G30,LA$8&lt;=$G30+$H30-1),1,""))</f>
        <v/>
      </c>
      <c r="LB30" s="69" t="str">
        <f ca="1">IF(AND($C30="Goal",LB$8&gt;=$G30,LB$8&lt;=$G30+$H30-1),2,IF(AND($C30="Milestone",LB$8&gt;=$G30,LB$8&lt;=$G30+$H30-1),1,""))</f>
        <v/>
      </c>
      <c r="LC30" s="69" t="str">
        <f ca="1">IF(AND($C30="Goal",LC$8&gt;=$G30,LC$8&lt;=$G30+$H30-1),2,IF(AND($C30="Milestone",LC$8&gt;=$G30,LC$8&lt;=$G30+$H30-1),1,""))</f>
        <v/>
      </c>
      <c r="LD30" s="69" t="str">
        <f ca="1">IF(AND($C30="Goal",LD$8&gt;=$G30,LD$8&lt;=$G30+$H30-1),2,IF(AND($C30="Milestone",LD$8&gt;=$G30,LD$8&lt;=$G30+$H30-1),1,""))</f>
        <v/>
      </c>
      <c r="LE30" s="69" t="str">
        <f ca="1">IF(AND($C30="Goal",LE$8&gt;=$G30,LE$8&lt;=$G30+$H30-1),2,IF(AND($C30="Milestone",LE$8&gt;=$G30,LE$8&lt;=$G30+$H30-1),1,""))</f>
        <v/>
      </c>
      <c r="LF30" s="69" t="str">
        <f ca="1">IF(AND($C30="Goal",LF$8&gt;=$G30,LF$8&lt;=$G30+$H30-1),2,IF(AND($C30="Milestone",LF$8&gt;=$G30,LF$8&lt;=$G30+$H30-1),1,""))</f>
        <v/>
      </c>
      <c r="LG30" s="69" t="str">
        <f ca="1">IF(AND($C30="Goal",LG$8&gt;=$G30,LG$8&lt;=$G30+$H30-1),2,IF(AND($C30="Milestone",LG$8&gt;=$G30,LG$8&lt;=$G30+$H30-1),1,""))</f>
        <v/>
      </c>
      <c r="LH30" s="69" t="str">
        <f ca="1">IF(AND($C30="Goal",LH$8&gt;=$G30,LH$8&lt;=$G30+$H30-1),2,IF(AND($C30="Milestone",LH$8&gt;=$G30,LH$8&lt;=$G30+$H30-1),1,""))</f>
        <v/>
      </c>
      <c r="LI30" s="69" t="str">
        <f ca="1">IF(AND($C30="Goal",LI$8&gt;=$G30,LI$8&lt;=$G30+$H30-1),2,IF(AND($C30="Milestone",LI$8&gt;=$G30,LI$8&lt;=$G30+$H30-1),1,""))</f>
        <v/>
      </c>
      <c r="LJ30" s="69" t="str">
        <f ca="1">IF(AND($C30="Goal",LJ$8&gt;=$G30,LJ$8&lt;=$G30+$H30-1),2,IF(AND($C30="Milestone",LJ$8&gt;=$G30,LJ$8&lt;=$G30+$H30-1),1,""))</f>
        <v/>
      </c>
      <c r="LK30" s="69" t="str">
        <f ca="1">IF(AND($C30="Goal",LK$8&gt;=$G30,LK$8&lt;=$G30+$H30-1),2,IF(AND($C30="Milestone",LK$8&gt;=$G30,LK$8&lt;=$G30+$H30-1),1,""))</f>
        <v/>
      </c>
      <c r="LL30" s="69" t="str">
        <f ca="1">IF(AND($C30="Goal",LL$8&gt;=$G30,LL$8&lt;=$G30+$H30-1),2,IF(AND($C30="Milestone",LL$8&gt;=$G30,LL$8&lt;=$G30+$H30-1),1,""))</f>
        <v/>
      </c>
      <c r="LM30" s="69" t="str">
        <f ca="1">IF(AND($C30="Goal",LM$8&gt;=$G30,LM$8&lt;=$G30+$H30-1),2,IF(AND($C30="Milestone",LM$8&gt;=$G30,LM$8&lt;=$G30+$H30-1),1,""))</f>
        <v/>
      </c>
      <c r="LN30" s="69" t="str">
        <f ca="1">IF(AND($C30="Goal",LN$8&gt;=$G30,LN$8&lt;=$G30+$H30-1),2,IF(AND($C30="Milestone",LN$8&gt;=$G30,LN$8&lt;=$G30+$H30-1),1,""))</f>
        <v/>
      </c>
      <c r="LO30" s="69" t="str">
        <f ca="1">IF(AND($C30="Goal",LO$8&gt;=$G30,LO$8&lt;=$G30+$H30-1),2,IF(AND($C30="Milestone",LO$8&gt;=$G30,LO$8&lt;=$G30+$H30-1),1,""))</f>
        <v/>
      </c>
      <c r="LP30" s="69" t="str">
        <f ca="1">IF(AND($C30="Goal",LP$8&gt;=$G30,LP$8&lt;=$G30+$H30-1),2,IF(AND($C30="Milestone",LP$8&gt;=$G30,LP$8&lt;=$G30+$H30-1),1,""))</f>
        <v/>
      </c>
      <c r="LQ30" s="69" t="str">
        <f ca="1">IF(AND($C30="Goal",LQ$8&gt;=$G30,LQ$8&lt;=$G30+$H30-1),2,IF(AND($C30="Milestone",LQ$8&gt;=$G30,LQ$8&lt;=$G30+$H30-1),1,""))</f>
        <v/>
      </c>
      <c r="LR30" s="69" t="str">
        <f ca="1">IF(AND($C30="Goal",LR$8&gt;=$G30,LR$8&lt;=$G30+$H30-1),2,IF(AND($C30="Milestone",LR$8&gt;=$G30,LR$8&lt;=$G30+$H30-1),1,""))</f>
        <v/>
      </c>
      <c r="LS30" s="69" t="str">
        <f ca="1">IF(AND($C30="Goal",LS$8&gt;=$G30,LS$8&lt;=$G30+$H30-1),2,IF(AND($C30="Milestone",LS$8&gt;=$G30,LS$8&lt;=$G30+$H30-1),1,""))</f>
        <v/>
      </c>
      <c r="LT30" s="69" t="str">
        <f ca="1">IF(AND($C30="Goal",LT$8&gt;=$G30,LT$8&lt;=$G30+$H30-1),2,IF(AND($C30="Milestone",LT$8&gt;=$G30,LT$8&lt;=$G30+$H30-1),1,""))</f>
        <v/>
      </c>
      <c r="LU30" s="69" t="str">
        <f ca="1">IF(AND($C30="Goal",LU$8&gt;=$G30,LU$8&lt;=$G30+$H30-1),2,IF(AND($C30="Milestone",LU$8&gt;=$G30,LU$8&lt;=$G30+$H30-1),1,""))</f>
        <v/>
      </c>
      <c r="LV30" s="69" t="str">
        <f ca="1">IF(AND($C30="Goal",LV$8&gt;=$G30,LV$8&lt;=$G30+$H30-1),2,IF(AND($C30="Milestone",LV$8&gt;=$G30,LV$8&lt;=$G30+$H30-1),1,""))</f>
        <v/>
      </c>
      <c r="LW30" s="69" t="str">
        <f ca="1">IF(AND($C30="Goal",LW$8&gt;=$G30,LW$8&lt;=$G30+$H30-1),2,IF(AND($C30="Milestone",LW$8&gt;=$G30,LW$8&lt;=$G30+$H30-1),1,""))</f>
        <v/>
      </c>
      <c r="LX30" s="69" t="str">
        <f ca="1">IF(AND($C30="Goal",LX$8&gt;=$G30,LX$8&lt;=$G30+$H30-1),2,IF(AND($C30="Milestone",LX$8&gt;=$G30,LX$8&lt;=$G30+$H30-1),1,""))</f>
        <v/>
      </c>
    </row>
    <row r="31" spans="1:336" s="1" customFormat="1" ht="25.25" customHeight="1" x14ac:dyDescent="0.25">
      <c r="A31" s="6"/>
      <c r="B31" s="47" t="s">
        <v>32</v>
      </c>
      <c r="C31" s="58"/>
      <c r="D31" s="58" t="str">
        <f ca="1">IF(G31="","",
IF(G31+Milestones4352[[#This Row],[Days]]="","",
IF(OR(F31=1,F31=100%),"Complete",
CHOOSE(
  1
  + --(((1-IF(F31&gt;1,F31/100,F31))*POWER(2.718281828,(60-MAX(0,G31+Milestones4352[[#This Row],[Days]]-TODAY()))/12))&gt;=0.6)
  + --(((1-IF(F31&gt;1,F31/100,F31))*POWER(2.718281828,(60-MAX(0,G31+Milestones4352[[#This Row],[Days]]-TODAY()))/12))&gt;=1.2)
  + --(((1-IF(F31&gt;1,F31/100,F31))*POWER(2.718281828,(60-MAX(0,G31+Milestones4352[[#This Row],[Days]]-TODAY()))/12))&gt;=2),
  "On track","Low risk","Medium risk","High risk"
))))</f>
        <v>On track</v>
      </c>
      <c r="E31" s="58"/>
      <c r="F31" s="56">
        <v>0</v>
      </c>
      <c r="G31" s="70">
        <f t="shared" si="211"/>
        <v>46071</v>
      </c>
      <c r="H31" s="57">
        <v>14</v>
      </c>
      <c r="I31" s="57">
        <f t="shared" si="207"/>
        <v>11</v>
      </c>
      <c r="J31" s="12">
        <f ca="1">IF(OR(Milestones4352[[#This Row],[Start]]="",Milestones4352[[#This Row],[Days]]=""),"",(Milestones4352[[#This Row],[Start]]+Milestones4352[[#This Row],[Days]])-TODAY())</f>
        <v>136</v>
      </c>
      <c r="K31" s="9"/>
      <c r="L31" s="69" t="str">
        <f ca="1">IF(AND($C31="Goal",L$8&gt;=$G31,L$8&lt;=$G31+$H31-1),2,IF(AND($C31="Milestone",L$8&gt;=$G31,L$8&lt;=$G31+$H31-1),1,""))</f>
        <v/>
      </c>
      <c r="M31" s="69" t="str">
        <f ca="1">IF(AND($C31="Goal",M$8&gt;=$G31,M$8&lt;=$G31+$H31-1),2,IF(AND($C31="Milestone",M$8&gt;=$G31,M$8&lt;=$G31+$H31-1),1,""))</f>
        <v/>
      </c>
      <c r="N31" s="69" t="str">
        <f ca="1">IF(AND($C31="Goal",N$8&gt;=$G31,N$8&lt;=$G31+$H31-1),2,IF(AND($C31="Milestone",N$8&gt;=$G31,N$8&lt;=$G31+$H31-1),1,""))</f>
        <v/>
      </c>
      <c r="O31" s="69" t="str">
        <f ca="1">IF(AND($C31="Goal",O$8&gt;=$G31,O$8&lt;=$G31+$H31-1),2,IF(AND($C31="Milestone",O$8&gt;=$G31,O$8&lt;=$G31+$H31-1),1,""))</f>
        <v/>
      </c>
      <c r="P31" s="69" t="str">
        <f ca="1">IF(AND($C31="Goal",P$8&gt;=$G31,P$8&lt;=$G31+$H31-1),2,IF(AND($C31="Milestone",P$8&gt;=$G31,P$8&lt;=$G31+$H31-1),1,""))</f>
        <v/>
      </c>
      <c r="Q31" s="69" t="str">
        <f ca="1">IF(AND($C31="Goal",Q$8&gt;=$G31,Q$8&lt;=$G31+$H31-1),2,IF(AND($C31="Milestone",Q$8&gt;=$G31,Q$8&lt;=$G31+$H31-1),1,""))</f>
        <v/>
      </c>
      <c r="R31" s="69" t="str">
        <f ca="1">IF(AND($C31="Goal",R$8&gt;=$G31,R$8&lt;=$G31+$H31-1),2,IF(AND($C31="Milestone",R$8&gt;=$G31,R$8&lt;=$G31+$H31-1),1,""))</f>
        <v/>
      </c>
      <c r="S31" s="69" t="str">
        <f ca="1">IF(AND($C31="Goal",S$8&gt;=$G31,S$8&lt;=$G31+$H31-1),2,IF(AND($C31="Milestone",S$8&gt;=$G31,S$8&lt;=$G31+$H31-1),1,""))</f>
        <v/>
      </c>
      <c r="T31" s="69" t="str">
        <f ca="1">IF(AND($C31="Goal",T$8&gt;=$G31,T$8&lt;=$G31+$H31-1),2,IF(AND($C31="Milestone",T$8&gt;=$G31,T$8&lt;=$G31+$H31-1),1,""))</f>
        <v/>
      </c>
      <c r="U31" s="69" t="str">
        <f ca="1">IF(AND($C31="Goal",U$8&gt;=$G31,U$8&lt;=$G31+$H31-1),2,IF(AND($C31="Milestone",U$8&gt;=$G31,U$8&lt;=$G31+$H31-1),1,""))</f>
        <v/>
      </c>
      <c r="V31" s="69" t="str">
        <f ca="1">IF(AND($C31="Goal",V$8&gt;=$G31,V$8&lt;=$G31+$H31-1),2,IF(AND($C31="Milestone",V$8&gt;=$G31,V$8&lt;=$G31+$H31-1),1,""))</f>
        <v/>
      </c>
      <c r="W31" s="69" t="str">
        <f ca="1">IF(AND($C31="Goal",W$8&gt;=$G31,W$8&lt;=$G31+$H31-1),2,IF(AND($C31="Milestone",W$8&gt;=$G31,W$8&lt;=$G31+$H31-1),1,""))</f>
        <v/>
      </c>
      <c r="X31" s="69" t="str">
        <f ca="1">IF(AND($C31="Goal",X$8&gt;=$G31,X$8&lt;=$G31+$H31-1),2,IF(AND($C31="Milestone",X$8&gt;=$G31,X$8&lt;=$G31+$H31-1),1,""))</f>
        <v/>
      </c>
      <c r="Y31" s="69" t="str">
        <f ca="1">IF(AND($C31="Goal",Y$8&gt;=$G31,Y$8&lt;=$G31+$H31-1),2,IF(AND($C31="Milestone",Y$8&gt;=$G31,Y$8&lt;=$G31+$H31-1),1,""))</f>
        <v/>
      </c>
      <c r="Z31" s="69" t="str">
        <f ca="1">IF(AND($C31="Goal",Z$8&gt;=$G31,Z$8&lt;=$G31+$H31-1),2,IF(AND($C31="Milestone",Z$8&gt;=$G31,Z$8&lt;=$G31+$H31-1),1,""))</f>
        <v/>
      </c>
      <c r="AA31" s="69" t="str">
        <f ca="1">IF(AND($C31="Goal",AA$8&gt;=$G31,AA$8&lt;=$G31+$H31-1),2,IF(AND($C31="Milestone",AA$8&gt;=$G31,AA$8&lt;=$G31+$H31-1),1,""))</f>
        <v/>
      </c>
      <c r="AB31" s="69" t="str">
        <f ca="1">IF(AND($C31="Goal",AB$8&gt;=$G31,AB$8&lt;=$G31+$H31-1),2,IF(AND($C31="Milestone",AB$8&gt;=$G31,AB$8&lt;=$G31+$H31-1),1,""))</f>
        <v/>
      </c>
      <c r="AC31" s="69" t="str">
        <f ca="1">IF(AND($C31="Goal",AC$8&gt;=$G31,AC$8&lt;=$G31+$H31-1),2,IF(AND($C31="Milestone",AC$8&gt;=$G31,AC$8&lt;=$G31+$H31-1),1,""))</f>
        <v/>
      </c>
      <c r="AD31" s="69" t="str">
        <f ca="1">IF(AND($C31="Goal",AD$8&gt;=$G31,AD$8&lt;=$G31+$H31-1),2,IF(AND($C31="Milestone",AD$8&gt;=$G31,AD$8&lt;=$G31+$H31-1),1,""))</f>
        <v/>
      </c>
      <c r="AE31" s="69" t="str">
        <f ca="1">IF(AND($C31="Goal",AE$8&gt;=$G31,AE$8&lt;=$G31+$H31-1),2,IF(AND($C31="Milestone",AE$8&gt;=$G31,AE$8&lt;=$G31+$H31-1),1,""))</f>
        <v/>
      </c>
      <c r="AF31" s="69" t="str">
        <f ca="1">IF(AND($C31="Goal",AF$8&gt;=$G31,AF$8&lt;=$G31+$H31-1),2,IF(AND($C31="Milestone",AF$8&gt;=$G31,AF$8&lt;=$G31+$H31-1),1,""))</f>
        <v/>
      </c>
      <c r="AG31" s="69" t="str">
        <f ca="1">IF(AND($C31="Goal",AG$8&gt;=$G31,AG$8&lt;=$G31+$H31-1),2,IF(AND($C31="Milestone",AG$8&gt;=$G31,AG$8&lt;=$G31+$H31-1),1,""))</f>
        <v/>
      </c>
      <c r="AH31" s="69" t="str">
        <f ca="1">IF(AND($C31="Goal",AH$8&gt;=$G31,AH$8&lt;=$G31+$H31-1),2,IF(AND($C31="Milestone",AH$8&gt;=$G31,AH$8&lt;=$G31+$H31-1),1,""))</f>
        <v/>
      </c>
      <c r="AI31" s="69" t="str">
        <f ca="1">IF(AND($C31="Goal",AI$8&gt;=$G31,AI$8&lt;=$G31+$H31-1),2,IF(AND($C31="Milestone",AI$8&gt;=$G31,AI$8&lt;=$G31+$H31-1),1,""))</f>
        <v/>
      </c>
      <c r="AJ31" s="69" t="str">
        <f ca="1">IF(AND($C31="Goal",AJ$8&gt;=$G31,AJ$8&lt;=$G31+$H31-1),2,IF(AND($C31="Milestone",AJ$8&gt;=$G31,AJ$8&lt;=$G31+$H31-1),1,""))</f>
        <v/>
      </c>
      <c r="AK31" s="69" t="str">
        <f ca="1">IF(AND($C31="Goal",AK$8&gt;=$G31,AK$8&lt;=$G31+$H31-1),2,IF(AND($C31="Milestone",AK$8&gt;=$G31,AK$8&lt;=$G31+$H31-1),1,""))</f>
        <v/>
      </c>
      <c r="AL31" s="69" t="str">
        <f ca="1">IF(AND($C31="Goal",AL$8&gt;=$G31,AL$8&lt;=$G31+$H31-1),2,IF(AND($C31="Milestone",AL$8&gt;=$G31,AL$8&lt;=$G31+$H31-1),1,""))</f>
        <v/>
      </c>
      <c r="AM31" s="69" t="str">
        <f ca="1">IF(AND($C31="Goal",AM$8&gt;=$G31,AM$8&lt;=$G31+$H31-1),2,IF(AND($C31="Milestone",AM$8&gt;=$G31,AM$8&lt;=$G31+$H31-1),1,""))</f>
        <v/>
      </c>
      <c r="AN31" s="69" t="str">
        <f ca="1">IF(AND($C31="Goal",AN$8&gt;=$G31,AN$8&lt;=$G31+$H31-1),2,IF(AND($C31="Milestone",AN$8&gt;=$G31,AN$8&lt;=$G31+$H31-1),1,""))</f>
        <v/>
      </c>
      <c r="AO31" s="69" t="str">
        <f ca="1">IF(AND($C31="Goal",AO$8&gt;=$G31,AO$8&lt;=$G31+$H31-1),2,IF(AND($C31="Milestone",AO$8&gt;=$G31,AO$8&lt;=$G31+$H31-1),1,""))</f>
        <v/>
      </c>
      <c r="AP31" s="69" t="str">
        <f ca="1">IF(AND($C31="Goal",AP$8&gt;=$G31,AP$8&lt;=$G31+$H31-1),2,IF(AND($C31="Milestone",AP$8&gt;=$G31,AP$8&lt;=$G31+$H31-1),1,""))</f>
        <v/>
      </c>
      <c r="AQ31" s="69" t="str">
        <f ca="1">IF(AND($C31="Goal",AQ$8&gt;=$G31,AQ$8&lt;=$G31+$H31-1),2,IF(AND($C31="Milestone",AQ$8&gt;=$G31,AQ$8&lt;=$G31+$H31-1),1,""))</f>
        <v/>
      </c>
      <c r="AR31" s="69" t="str">
        <f ca="1">IF(AND($C31="Goal",AR$8&gt;=$G31,AR$8&lt;=$G31+$H31-1),2,IF(AND($C31="Milestone",AR$8&gt;=$G31,AR$8&lt;=$G31+$H31-1),1,""))</f>
        <v/>
      </c>
      <c r="AS31" s="69" t="str">
        <f ca="1">IF(AND($C31="Goal",AS$8&gt;=$G31,AS$8&lt;=$G31+$H31-1),2,IF(AND($C31="Milestone",AS$8&gt;=$G31,AS$8&lt;=$G31+$H31-1),1,""))</f>
        <v/>
      </c>
      <c r="AT31" s="69" t="str">
        <f ca="1">IF(AND($C31="Goal",AT$8&gt;=$G31,AT$8&lt;=$G31+$H31-1),2,IF(AND($C31="Milestone",AT$8&gt;=$G31,AT$8&lt;=$G31+$H31-1),1,""))</f>
        <v/>
      </c>
      <c r="AU31" s="69" t="str">
        <f ca="1">IF(AND($C31="Goal",AU$8&gt;=$G31,AU$8&lt;=$G31+$H31-1),2,IF(AND($C31="Milestone",AU$8&gt;=$G31,AU$8&lt;=$G31+$H31-1),1,""))</f>
        <v/>
      </c>
      <c r="AV31" s="69" t="str">
        <f ca="1">IF(AND($C31="Goal",AV$8&gt;=$G31,AV$8&lt;=$G31+$H31-1),2,IF(AND($C31="Milestone",AV$8&gt;=$G31,AV$8&lt;=$G31+$H31-1),1,""))</f>
        <v/>
      </c>
      <c r="AW31" s="69" t="str">
        <f ca="1">IF(AND($C31="Goal",AW$8&gt;=$G31,AW$8&lt;=$G31+$H31-1),2,IF(AND($C31="Milestone",AW$8&gt;=$G31,AW$8&lt;=$G31+$H31-1),1,""))</f>
        <v/>
      </c>
      <c r="AX31" s="69" t="str">
        <f ca="1">IF(AND($C31="Goal",AX$8&gt;=$G31,AX$8&lt;=$G31+$H31-1),2,IF(AND($C31="Milestone",AX$8&gt;=$G31,AX$8&lt;=$G31+$H31-1),1,""))</f>
        <v/>
      </c>
      <c r="AY31" s="69" t="str">
        <f ca="1">IF(AND($C31="Goal",AY$8&gt;=$G31,AY$8&lt;=$G31+$H31-1),2,IF(AND($C31="Milestone",AY$8&gt;=$G31,AY$8&lt;=$G31+$H31-1),1,""))</f>
        <v/>
      </c>
      <c r="AZ31" s="69" t="str">
        <f ca="1">IF(AND($C31="Goal",AZ$8&gt;=$G31,AZ$8&lt;=$G31+$H31-1),2,IF(AND($C31="Milestone",AZ$8&gt;=$G31,AZ$8&lt;=$G31+$H31-1),1,""))</f>
        <v/>
      </c>
      <c r="BA31" s="69" t="str">
        <f ca="1">IF(AND($C31="Goal",BA$8&gt;=$G31,BA$8&lt;=$G31+$H31-1),2,IF(AND($C31="Milestone",BA$8&gt;=$G31,BA$8&lt;=$G31+$H31-1),1,""))</f>
        <v/>
      </c>
      <c r="BB31" s="69" t="str">
        <f ca="1">IF(AND($C31="Goal",BB$8&gt;=$G31,BB$8&lt;=$G31+$H31-1),2,IF(AND($C31="Milestone",BB$8&gt;=$G31,BB$8&lt;=$G31+$H31-1),1,""))</f>
        <v/>
      </c>
      <c r="BC31" s="69" t="str">
        <f ca="1">IF(AND($C31="Goal",BC$8&gt;=$G31,BC$8&lt;=$G31+$H31-1),2,IF(AND($C31="Milestone",BC$8&gt;=$G31,BC$8&lt;=$G31+$H31-1),1,""))</f>
        <v/>
      </c>
      <c r="BD31" s="69" t="str">
        <f ca="1">IF(AND($C31="Goal",BD$8&gt;=$G31,BD$8&lt;=$G31+$H31-1),2,IF(AND($C31="Milestone",BD$8&gt;=$G31,BD$8&lt;=$G31+$H31-1),1,""))</f>
        <v/>
      </c>
      <c r="BE31" s="69" t="str">
        <f ca="1">IF(AND($C31="Goal",BE$8&gt;=$G31,BE$8&lt;=$G31+$H31-1),2,IF(AND($C31="Milestone",BE$8&gt;=$G31,BE$8&lt;=$G31+$H31-1),1,""))</f>
        <v/>
      </c>
      <c r="BF31" s="69" t="str">
        <f ca="1">IF(AND($C31="Goal",BF$8&gt;=$G31,BF$8&lt;=$G31+$H31-1),2,IF(AND($C31="Milestone",BF$8&gt;=$G31,BF$8&lt;=$G31+$H31-1),1,""))</f>
        <v/>
      </c>
      <c r="BG31" s="69" t="str">
        <f ca="1">IF(AND($C31="Goal",BG$8&gt;=$G31,BG$8&lt;=$G31+$H31-1),2,IF(AND($C31="Milestone",BG$8&gt;=$G31,BG$8&lt;=$G31+$H31-1),1,""))</f>
        <v/>
      </c>
      <c r="BH31" s="69" t="str">
        <f ca="1">IF(AND($C31="Goal",BH$8&gt;=$G31,BH$8&lt;=$G31+$H31-1),2,IF(AND($C31="Milestone",BH$8&gt;=$G31,BH$8&lt;=$G31+$H31-1),1,""))</f>
        <v/>
      </c>
      <c r="BI31" s="69" t="str">
        <f ca="1">IF(AND($C31="Goal",BI$8&gt;=$G31,BI$8&lt;=$G31+$H31-1),2,IF(AND($C31="Milestone",BI$8&gt;=$G31,BI$8&lt;=$G31+$H31-1),1,""))</f>
        <v/>
      </c>
      <c r="BJ31" s="69" t="str">
        <f ca="1">IF(AND($C31="Goal",BJ$8&gt;=$G31,BJ$8&lt;=$G31+$H31-1),2,IF(AND($C31="Milestone",BJ$8&gt;=$G31,BJ$8&lt;=$G31+$H31-1),1,""))</f>
        <v/>
      </c>
      <c r="BK31" s="69" t="str">
        <f ca="1">IF(AND($C31="Goal",BK$8&gt;=$G31,BK$8&lt;=$G31+$H31-1),2,IF(AND($C31="Milestone",BK$8&gt;=$G31,BK$8&lt;=$G31+$H31-1),1,""))</f>
        <v/>
      </c>
      <c r="BL31" s="69" t="str">
        <f ca="1">IF(AND($C31="Goal",BL$8&gt;=$G31,BL$8&lt;=$G31+$H31-1),2,IF(AND($C31="Milestone",BL$8&gt;=$G31,BL$8&lt;=$G31+$H31-1),1,""))</f>
        <v/>
      </c>
      <c r="BM31" s="69" t="str">
        <f ca="1">IF(AND($C31="Goal",BM$8&gt;=$G31,BM$8&lt;=$G31+$H31-1),2,IF(AND($C31="Milestone",BM$8&gt;=$G31,BM$8&lt;=$G31+$H31-1),1,""))</f>
        <v/>
      </c>
      <c r="BN31" s="69" t="str">
        <f ca="1">IF(AND($C31="Goal",BN$8&gt;=$G31,BN$8&lt;=$G31+$H31-1),2,IF(AND($C31="Milestone",BN$8&gt;=$G31,BN$8&lt;=$G31+$H31-1),1,""))</f>
        <v/>
      </c>
      <c r="BO31" s="69" t="str">
        <f ca="1">IF(AND($C31="Goal",BO$8&gt;=$G31,BO$8&lt;=$G31+$H31-1),2,IF(AND($C31="Milestone",BO$8&gt;=$G31,BO$8&lt;=$G31+$H31-1),1,""))</f>
        <v/>
      </c>
      <c r="BP31" s="69" t="str">
        <f ca="1">IF(AND($C31="Goal",BP$8&gt;=$G31,BP$8&lt;=$G31+$H31-1),2,IF(AND($C31="Milestone",BP$8&gt;=$G31,BP$8&lt;=$G31+$H31-1),1,""))</f>
        <v/>
      </c>
      <c r="BQ31" s="69" t="str">
        <f ca="1">IF(AND($C31="Goal",BQ$8&gt;=$G31,BQ$8&lt;=$G31+$H31-1),2,IF(AND($C31="Milestone",BQ$8&gt;=$G31,BQ$8&lt;=$G31+$H31-1),1,""))</f>
        <v/>
      </c>
      <c r="BR31" s="69" t="str">
        <f ca="1">IF(AND($C31="Goal",BR$8&gt;=$G31,BR$8&lt;=$G31+$H31-1),2,IF(AND($C31="Milestone",BR$8&gt;=$G31,BR$8&lt;=$G31+$H31-1),1,""))</f>
        <v/>
      </c>
      <c r="BS31" s="69" t="str">
        <f ca="1">IF(AND($C31="Goal",BS$8&gt;=$G31,BS$8&lt;=$G31+$H31-1),2,IF(AND($C31="Milestone",BS$8&gt;=$G31,BS$8&lt;=$G31+$H31-1),1,""))</f>
        <v/>
      </c>
      <c r="BT31" s="69" t="str">
        <f ca="1">IF(AND($C31="Goal",BT$8&gt;=$G31,BT$8&lt;=$G31+$H31-1),2,IF(AND($C31="Milestone",BT$8&gt;=$G31,BT$8&lt;=$G31+$H31-1),1,""))</f>
        <v/>
      </c>
      <c r="BU31" s="69" t="str">
        <f ca="1">IF(AND($C31="Goal",BU$8&gt;=$G31,BU$8&lt;=$G31+$H31-1),2,IF(AND($C31="Milestone",BU$8&gt;=$G31,BU$8&lt;=$G31+$H31-1),1,""))</f>
        <v/>
      </c>
      <c r="BV31" s="69" t="str">
        <f ca="1">IF(AND($C31="Goal",BV$8&gt;=$G31,BV$8&lt;=$G31+$H31-1),2,IF(AND($C31="Milestone",BV$8&gt;=$G31,BV$8&lt;=$G31+$H31-1),1,""))</f>
        <v/>
      </c>
      <c r="BW31" s="69" t="str">
        <f ca="1">IF(AND($C31="Goal",BW$8&gt;=$G31,BW$8&lt;=$G31+$H31-1),2,IF(AND($C31="Milestone",BW$8&gt;=$G31,BW$8&lt;=$G31+$H31-1),1,""))</f>
        <v/>
      </c>
      <c r="BX31" s="69" t="str">
        <f ca="1">IF(AND($C31="Goal",BX$8&gt;=$G31,BX$8&lt;=$G31+$H31-1),2,IF(AND($C31="Milestone",BX$8&gt;=$G31,BX$8&lt;=$G31+$H31-1),1,""))</f>
        <v/>
      </c>
      <c r="BY31" s="69" t="str">
        <f ca="1">IF(AND($C31="Goal",BY$8&gt;=$G31,BY$8&lt;=$G31+$H31-1),2,IF(AND($C31="Milestone",BY$8&gt;=$G31,BY$8&lt;=$G31+$H31-1),1,""))</f>
        <v/>
      </c>
      <c r="BZ31" s="69" t="str">
        <f ca="1">IF(AND($C31="Goal",BZ$8&gt;=$G31,BZ$8&lt;=$G31+$H31-1),2,IF(AND($C31="Milestone",BZ$8&gt;=$G31,BZ$8&lt;=$G31+$H31-1),1,""))</f>
        <v/>
      </c>
      <c r="CA31" s="69" t="str">
        <f ca="1">IF(AND($C31="Goal",CA$8&gt;=$G31,CA$8&lt;=$G31+$H31-1),2,IF(AND($C31="Milestone",CA$8&gt;=$G31,CA$8&lt;=$G31+$H31-1),1,""))</f>
        <v/>
      </c>
      <c r="CB31" s="69" t="str">
        <f ca="1">IF(AND($C31="Goal",CB$8&gt;=$G31,CB$8&lt;=$G31+$H31-1),2,IF(AND($C31="Milestone",CB$8&gt;=$G31,CB$8&lt;=$G31+$H31-1),1,""))</f>
        <v/>
      </c>
      <c r="CC31" s="69" t="str">
        <f ca="1">IF(AND($C31="Goal",CC$8&gt;=$G31,CC$8&lt;=$G31+$H31-1),2,IF(AND($C31="Milestone",CC$8&gt;=$G31,CC$8&lt;=$G31+$H31-1),1,""))</f>
        <v/>
      </c>
      <c r="CD31" s="69" t="str">
        <f ca="1">IF(AND($C31="Goal",CD$8&gt;=$G31,CD$8&lt;=$G31+$H31-1),2,IF(AND($C31="Milestone",CD$8&gt;=$G31,CD$8&lt;=$G31+$H31-1),1,""))</f>
        <v/>
      </c>
      <c r="CE31" s="69" t="str">
        <f ca="1">IF(AND($C31="Goal",CE$8&gt;=$G31,CE$8&lt;=$G31+$H31-1),2,IF(AND($C31="Milestone",CE$8&gt;=$G31,CE$8&lt;=$G31+$H31-1),1,""))</f>
        <v/>
      </c>
      <c r="CF31" s="69" t="str">
        <f ca="1">IF(AND($C31="Goal",CF$8&gt;=$G31,CF$8&lt;=$G31+$H31-1),2,IF(AND($C31="Milestone",CF$8&gt;=$G31,CF$8&lt;=$G31+$H31-1),1,""))</f>
        <v/>
      </c>
      <c r="CG31" s="69" t="str">
        <f ca="1">IF(AND($C31="Goal",CG$8&gt;=$G31,CG$8&lt;=$G31+$H31-1),2,IF(AND($C31="Milestone",CG$8&gt;=$G31,CG$8&lt;=$G31+$H31-1),1,""))</f>
        <v/>
      </c>
      <c r="CH31" s="69" t="str">
        <f ca="1">IF(AND($C31="Goal",CH$8&gt;=$G31,CH$8&lt;=$G31+$H31-1),2,IF(AND($C31="Milestone",CH$8&gt;=$G31,CH$8&lt;=$G31+$H31-1),1,""))</f>
        <v/>
      </c>
      <c r="CI31" s="69" t="str">
        <f ca="1">IF(AND($C31="Goal",CI$8&gt;=$G31,CI$8&lt;=$G31+$H31-1),2,IF(AND($C31="Milestone",CI$8&gt;=$G31,CI$8&lt;=$G31+$H31-1),1,""))</f>
        <v/>
      </c>
      <c r="CJ31" s="69" t="str">
        <f ca="1">IF(AND($C31="Goal",CJ$8&gt;=$G31,CJ$8&lt;=$G31+$H31-1),2,IF(AND($C31="Milestone",CJ$8&gt;=$G31,CJ$8&lt;=$G31+$H31-1),1,""))</f>
        <v/>
      </c>
      <c r="CK31" s="69" t="str">
        <f ca="1">IF(AND($C31="Goal",CK$8&gt;=$G31,CK$8&lt;=$G31+$H31-1),2,IF(AND($C31="Milestone",CK$8&gt;=$G31,CK$8&lt;=$G31+$H31-1),1,""))</f>
        <v/>
      </c>
      <c r="CL31" s="69" t="str">
        <f ca="1">IF(AND($C31="Goal",CL$8&gt;=$G31,CL$8&lt;=$G31+$H31-1),2,IF(AND($C31="Milestone",CL$8&gt;=$G31,CL$8&lt;=$G31+$H31-1),1,""))</f>
        <v/>
      </c>
      <c r="CM31" s="69" t="str">
        <f ca="1">IF(AND($C31="Goal",CM$8&gt;=$G31,CM$8&lt;=$G31+$H31-1),2,IF(AND($C31="Milestone",CM$8&gt;=$G31,CM$8&lt;=$G31+$H31-1),1,""))</f>
        <v/>
      </c>
      <c r="CN31" s="69" t="str">
        <f ca="1">IF(AND($C31="Goal",CN$8&gt;=$G31,CN$8&lt;=$G31+$H31-1),2,IF(AND($C31="Milestone",CN$8&gt;=$G31,CN$8&lt;=$G31+$H31-1),1,""))</f>
        <v/>
      </c>
      <c r="CO31" s="69" t="str">
        <f ca="1">IF(AND($C31="Goal",CO$8&gt;=$G31,CO$8&lt;=$G31+$H31-1),2,IF(AND($C31="Milestone",CO$8&gt;=$G31,CO$8&lt;=$G31+$H31-1),1,""))</f>
        <v/>
      </c>
      <c r="CP31" s="69" t="str">
        <f ca="1">IF(AND($C31="Goal",CP$8&gt;=$G31,CP$8&lt;=$G31+$H31-1),2,IF(AND($C31="Milestone",CP$8&gt;=$G31,CP$8&lt;=$G31+$H31-1),1,""))</f>
        <v/>
      </c>
      <c r="CQ31" s="69" t="str">
        <f ca="1">IF(AND($C31="Goal",CQ$8&gt;=$G31,CQ$8&lt;=$G31+$H31-1),2,IF(AND($C31="Milestone",CQ$8&gt;=$G31,CQ$8&lt;=$G31+$H31-1),1,""))</f>
        <v/>
      </c>
      <c r="CR31" s="69" t="str">
        <f ca="1">IF(AND($C31="Goal",CR$8&gt;=$G31,CR$8&lt;=$G31+$H31-1),2,IF(AND($C31="Milestone",CR$8&gt;=$G31,CR$8&lt;=$G31+$H31-1),1,""))</f>
        <v/>
      </c>
      <c r="CS31" s="69" t="str">
        <f ca="1">IF(AND($C31="Goal",CS$8&gt;=$G31,CS$8&lt;=$G31+$H31-1),2,IF(AND($C31="Milestone",CS$8&gt;=$G31,CS$8&lt;=$G31+$H31-1),1,""))</f>
        <v/>
      </c>
      <c r="CT31" s="69" t="str">
        <f ca="1">IF(AND($C31="Goal",CT$8&gt;=$G31,CT$8&lt;=$G31+$H31-1),2,IF(AND($C31="Milestone",CT$8&gt;=$G31,CT$8&lt;=$G31+$H31-1),1,""))</f>
        <v/>
      </c>
      <c r="CU31" s="69" t="str">
        <f ca="1">IF(AND($C31="Goal",CU$8&gt;=$G31,CU$8&lt;=$G31+$H31-1),2,IF(AND($C31="Milestone",CU$8&gt;=$G31,CU$8&lt;=$G31+$H31-1),1,""))</f>
        <v/>
      </c>
      <c r="CV31" s="69" t="str">
        <f ca="1">IF(AND($C31="Goal",CV$8&gt;=$G31,CV$8&lt;=$G31+$H31-1),2,IF(AND($C31="Milestone",CV$8&gt;=$G31,CV$8&lt;=$G31+$H31-1),1,""))</f>
        <v/>
      </c>
      <c r="CW31" s="69" t="str">
        <f ca="1">IF(AND($C31="Goal",CW$8&gt;=$G31,CW$8&lt;=$G31+$H31-1),2,IF(AND($C31="Milestone",CW$8&gt;=$G31,CW$8&lt;=$G31+$H31-1),1,""))</f>
        <v/>
      </c>
      <c r="CX31" s="69" t="str">
        <f ca="1">IF(AND($C31="Goal",CX$8&gt;=$G31,CX$8&lt;=$G31+$H31-1),2,IF(AND($C31="Milestone",CX$8&gt;=$G31,CX$8&lt;=$G31+$H31-1),1,""))</f>
        <v/>
      </c>
      <c r="CY31" s="69" t="str">
        <f ca="1">IF(AND($C31="Goal",CY$8&gt;=$G31,CY$8&lt;=$G31+$H31-1),2,IF(AND($C31="Milestone",CY$8&gt;=$G31,CY$8&lt;=$G31+$H31-1),1,""))</f>
        <v/>
      </c>
      <c r="CZ31" s="69" t="str">
        <f ca="1">IF(AND($C31="Goal",CZ$8&gt;=$G31,CZ$8&lt;=$G31+$H31-1),2,IF(AND($C31="Milestone",CZ$8&gt;=$G31,CZ$8&lt;=$G31+$H31-1),1,""))</f>
        <v/>
      </c>
      <c r="DA31" s="69" t="str">
        <f ca="1">IF(AND($C31="Goal",DA$8&gt;=$G31,DA$8&lt;=$G31+$H31-1),2,IF(AND($C31="Milestone",DA$8&gt;=$G31,DA$8&lt;=$G31+$H31-1),1,""))</f>
        <v/>
      </c>
      <c r="DB31" s="69" t="str">
        <f ca="1">IF(AND($C31="Goal",DB$8&gt;=$G31,DB$8&lt;=$G31+$H31-1),2,IF(AND($C31="Milestone",DB$8&gt;=$G31,DB$8&lt;=$G31+$H31-1),1,""))</f>
        <v/>
      </c>
      <c r="DC31" s="69" t="str">
        <f ca="1">IF(AND($C31="Goal",DC$8&gt;=$G31,DC$8&lt;=$G31+$H31-1),2,IF(AND($C31="Milestone",DC$8&gt;=$G31,DC$8&lt;=$G31+$H31-1),1,""))</f>
        <v/>
      </c>
      <c r="DD31" s="69" t="str">
        <f ca="1">IF(AND($C31="Goal",DD$8&gt;=$G31,DD$8&lt;=$G31+$H31-1),2,IF(AND($C31="Milestone",DD$8&gt;=$G31,DD$8&lt;=$G31+$H31-1),1,""))</f>
        <v/>
      </c>
      <c r="DE31" s="69" t="str">
        <f ca="1">IF(AND($C31="Goal",DE$8&gt;=$G31,DE$8&lt;=$G31+$H31-1),2,IF(AND($C31="Milestone",DE$8&gt;=$G31,DE$8&lt;=$G31+$H31-1),1,""))</f>
        <v/>
      </c>
      <c r="DF31" s="69" t="str">
        <f ca="1">IF(AND($C31="Goal",DF$8&gt;=$G31,DF$8&lt;=$G31+$H31-1),2,IF(AND($C31="Milestone",DF$8&gt;=$G31,DF$8&lt;=$G31+$H31-1),1,""))</f>
        <v/>
      </c>
      <c r="DG31" s="69" t="str">
        <f ca="1">IF(AND($C31="Goal",DG$8&gt;=$G31,DG$8&lt;=$G31+$H31-1),2,IF(AND($C31="Milestone",DG$8&gt;=$G31,DG$8&lt;=$G31+$H31-1),1,""))</f>
        <v/>
      </c>
      <c r="DH31" s="69" t="str">
        <f ca="1">IF(AND($C31="Goal",DH$8&gt;=$G31,DH$8&lt;=$G31+$H31-1),2,IF(AND($C31="Milestone",DH$8&gt;=$G31,DH$8&lt;=$G31+$H31-1),1,""))</f>
        <v/>
      </c>
      <c r="DI31" s="69" t="str">
        <f ca="1">IF(AND($C31="Goal",DI$8&gt;=$G31,DI$8&lt;=$G31+$H31-1),2,IF(AND($C31="Milestone",DI$8&gt;=$G31,DI$8&lt;=$G31+$H31-1),1,""))</f>
        <v/>
      </c>
      <c r="DJ31" s="69" t="str">
        <f ca="1">IF(AND($C31="Goal",DJ$8&gt;=$G31,DJ$8&lt;=$G31+$H31-1),2,IF(AND($C31="Milestone",DJ$8&gt;=$G31,DJ$8&lt;=$G31+$H31-1),1,""))</f>
        <v/>
      </c>
      <c r="DK31" s="69" t="str">
        <f ca="1">IF(AND($C31="Goal",DK$8&gt;=$G31,DK$8&lt;=$G31+$H31-1),2,IF(AND($C31="Milestone",DK$8&gt;=$G31,DK$8&lt;=$G31+$H31-1),1,""))</f>
        <v/>
      </c>
      <c r="DL31" s="69" t="str">
        <f ca="1">IF(AND($C31="Goal",DL$8&gt;=$G31,DL$8&lt;=$G31+$H31-1),2,IF(AND($C31="Milestone",DL$8&gt;=$G31,DL$8&lt;=$G31+$H31-1),1,""))</f>
        <v/>
      </c>
      <c r="DM31" s="69" t="str">
        <f ca="1">IF(AND($C31="Goal",DM$8&gt;=$G31,DM$8&lt;=$G31+$H31-1),2,IF(AND($C31="Milestone",DM$8&gt;=$G31,DM$8&lt;=$G31+$H31-1),1,""))</f>
        <v/>
      </c>
      <c r="DN31" s="69" t="str">
        <f ca="1">IF(AND($C31="Goal",DN$8&gt;=$G31,DN$8&lt;=$G31+$H31-1),2,IF(AND($C31="Milestone",DN$8&gt;=$G31,DN$8&lt;=$G31+$H31-1),1,""))</f>
        <v/>
      </c>
      <c r="DO31" s="69" t="str">
        <f ca="1">IF(AND($C31="Goal",DO$8&gt;=$G31,DO$8&lt;=$G31+$H31-1),2,IF(AND($C31="Milestone",DO$8&gt;=$G31,DO$8&lt;=$G31+$H31-1),1,""))</f>
        <v/>
      </c>
      <c r="DP31" s="69" t="str">
        <f ca="1">IF(AND($C31="Goal",DP$8&gt;=$G31,DP$8&lt;=$G31+$H31-1),2,IF(AND($C31="Milestone",DP$8&gt;=$G31,DP$8&lt;=$G31+$H31-1),1,""))</f>
        <v/>
      </c>
      <c r="DQ31" s="69" t="str">
        <f ca="1">IF(AND($C31="Goal",DQ$8&gt;=$G31,DQ$8&lt;=$G31+$H31-1),2,IF(AND($C31="Milestone",DQ$8&gt;=$G31,DQ$8&lt;=$G31+$H31-1),1,""))</f>
        <v/>
      </c>
      <c r="DR31" s="69" t="str">
        <f ca="1">IF(AND($C31="Goal",DR$8&gt;=$G31,DR$8&lt;=$G31+$H31-1),2,IF(AND($C31="Milestone",DR$8&gt;=$G31,DR$8&lt;=$G31+$H31-1),1,""))</f>
        <v/>
      </c>
      <c r="DS31" s="69" t="str">
        <f ca="1">IF(AND($C31="Goal",DS$8&gt;=$G31,DS$8&lt;=$G31+$H31-1),2,IF(AND($C31="Milestone",DS$8&gt;=$G31,DS$8&lt;=$G31+$H31-1),1,""))</f>
        <v/>
      </c>
      <c r="DT31" s="69" t="str">
        <f ca="1">IF(AND($C31="Goal",DT$8&gt;=$G31,DT$8&lt;=$G31+$H31-1),2,IF(AND($C31="Milestone",DT$8&gt;=$G31,DT$8&lt;=$G31+$H31-1),1,""))</f>
        <v/>
      </c>
      <c r="DU31" s="69" t="str">
        <f ca="1">IF(AND($C31="Goal",DU$8&gt;=$G31,DU$8&lt;=$G31+$H31-1),2,IF(AND($C31="Milestone",DU$8&gt;=$G31,DU$8&lt;=$G31+$H31-1),1,""))</f>
        <v/>
      </c>
      <c r="DV31" s="69" t="str">
        <f ca="1">IF(AND($C31="Goal",DV$8&gt;=$G31,DV$8&lt;=$G31+$H31-1),2,IF(AND($C31="Milestone",DV$8&gt;=$G31,DV$8&lt;=$G31+$H31-1),1,""))</f>
        <v/>
      </c>
      <c r="DW31" s="69" t="str">
        <f ca="1">IF(AND($C31="Goal",DW$8&gt;=$G31,DW$8&lt;=$G31+$H31-1),2,IF(AND($C31="Milestone",DW$8&gt;=$G31,DW$8&lt;=$G31+$H31-1),1,""))</f>
        <v/>
      </c>
      <c r="DX31" s="69" t="str">
        <f ca="1">IF(AND($C31="Goal",DX$8&gt;=$G31,DX$8&lt;=$G31+$H31-1),2,IF(AND($C31="Milestone",DX$8&gt;=$G31,DX$8&lt;=$G31+$H31-1),1,""))</f>
        <v/>
      </c>
      <c r="DY31" s="69" t="str">
        <f ca="1">IF(AND($C31="Goal",DY$8&gt;=$G31,DY$8&lt;=$G31+$H31-1),2,IF(AND($C31="Milestone",DY$8&gt;=$G31,DY$8&lt;=$G31+$H31-1),1,""))</f>
        <v/>
      </c>
      <c r="DZ31" s="69" t="str">
        <f ca="1">IF(AND($C31="Goal",DZ$8&gt;=$G31,DZ$8&lt;=$G31+$H31-1),2,IF(AND($C31="Milestone",DZ$8&gt;=$G31,DZ$8&lt;=$G31+$H31-1),1,""))</f>
        <v/>
      </c>
      <c r="EA31" s="69" t="str">
        <f ca="1">IF(AND($C31="Goal",EA$8&gt;=$G31,EA$8&lt;=$G31+$H31-1),2,IF(AND($C31="Milestone",EA$8&gt;=$G31,EA$8&lt;=$G31+$H31-1),1,""))</f>
        <v/>
      </c>
      <c r="EB31" s="69" t="str">
        <f ca="1">IF(AND($C31="Goal",EB$8&gt;=$G31,EB$8&lt;=$G31+$H31-1),2,IF(AND($C31="Milestone",EB$8&gt;=$G31,EB$8&lt;=$G31+$H31-1),1,""))</f>
        <v/>
      </c>
      <c r="EC31" s="69" t="str">
        <f ca="1">IF(AND($C31="Goal",EC$8&gt;=$G31,EC$8&lt;=$G31+$H31-1),2,IF(AND($C31="Milestone",EC$8&gt;=$G31,EC$8&lt;=$G31+$H31-1),1,""))</f>
        <v/>
      </c>
      <c r="ED31" s="69" t="str">
        <f ca="1">IF(AND($C31="Goal",ED$8&gt;=$G31,ED$8&lt;=$G31+$H31-1),2,IF(AND($C31="Milestone",ED$8&gt;=$G31,ED$8&lt;=$G31+$H31-1),1,""))</f>
        <v/>
      </c>
      <c r="EE31" s="69" t="str">
        <f ca="1">IF(AND($C31="Goal",EE$8&gt;=$G31,EE$8&lt;=$G31+$H31-1),2,IF(AND($C31="Milestone",EE$8&gt;=$G31,EE$8&lt;=$G31+$H31-1),1,""))</f>
        <v/>
      </c>
      <c r="EF31" s="69" t="str">
        <f ca="1">IF(AND($C31="Goal",EF$8&gt;=$G31,EF$8&lt;=$G31+$H31-1),2,IF(AND($C31="Milestone",EF$8&gt;=$G31,EF$8&lt;=$G31+$H31-1),1,""))</f>
        <v/>
      </c>
      <c r="EG31" s="69" t="str">
        <f ca="1">IF(AND($C31="Goal",EG$8&gt;=$G31,EG$8&lt;=$G31+$H31-1),2,IF(AND($C31="Milestone",EG$8&gt;=$G31,EG$8&lt;=$G31+$H31-1),1,""))</f>
        <v/>
      </c>
      <c r="EH31" s="69" t="str">
        <f ca="1">IF(AND($C31="Goal",EH$8&gt;=$G31,EH$8&lt;=$G31+$H31-1),2,IF(AND($C31="Milestone",EH$8&gt;=$G31,EH$8&lt;=$G31+$H31-1),1,""))</f>
        <v/>
      </c>
      <c r="EI31" s="69" t="str">
        <f ca="1">IF(AND($C31="Goal",EI$8&gt;=$G31,EI$8&lt;=$G31+$H31-1),2,IF(AND($C31="Milestone",EI$8&gt;=$G31,EI$8&lt;=$G31+$H31-1),1,""))</f>
        <v/>
      </c>
      <c r="EJ31" s="69" t="str">
        <f ca="1">IF(AND($C31="Goal",EJ$8&gt;=$G31,EJ$8&lt;=$G31+$H31-1),2,IF(AND($C31="Milestone",EJ$8&gt;=$G31,EJ$8&lt;=$G31+$H31-1),1,""))</f>
        <v/>
      </c>
      <c r="EK31" s="69" t="str">
        <f ca="1">IF(AND($C31="Goal",EK$8&gt;=$G31,EK$8&lt;=$G31+$H31-1),2,IF(AND($C31="Milestone",EK$8&gt;=$G31,EK$8&lt;=$G31+$H31-1),1,""))</f>
        <v/>
      </c>
      <c r="EL31" s="69" t="str">
        <f ca="1">IF(AND($C31="Goal",EL$8&gt;=$G31,EL$8&lt;=$G31+$H31-1),2,IF(AND($C31="Milestone",EL$8&gt;=$G31,EL$8&lt;=$G31+$H31-1),1,""))</f>
        <v/>
      </c>
      <c r="EM31" s="69" t="str">
        <f ca="1">IF(AND($C31="Goal",EM$8&gt;=$G31,EM$8&lt;=$G31+$H31-1),2,IF(AND($C31="Milestone",EM$8&gt;=$G31,EM$8&lt;=$G31+$H31-1),1,""))</f>
        <v/>
      </c>
      <c r="EN31" s="69" t="str">
        <f ca="1">IF(AND($C31="Goal",EN$8&gt;=$G31,EN$8&lt;=$G31+$H31-1),2,IF(AND($C31="Milestone",EN$8&gt;=$G31,EN$8&lt;=$G31+$H31-1),1,""))</f>
        <v/>
      </c>
      <c r="EO31" s="69" t="str">
        <f ca="1">IF(AND($C31="Goal",EO$8&gt;=$G31,EO$8&lt;=$G31+$H31-1),2,IF(AND($C31="Milestone",EO$8&gt;=$G31,EO$8&lt;=$G31+$H31-1),1,""))</f>
        <v/>
      </c>
      <c r="EP31" s="69" t="str">
        <f ca="1">IF(AND($C31="Goal",EP$8&gt;=$G31,EP$8&lt;=$G31+$H31-1),2,IF(AND($C31="Milestone",EP$8&gt;=$G31,EP$8&lt;=$G31+$H31-1),1,""))</f>
        <v/>
      </c>
      <c r="EQ31" s="69" t="str">
        <f ca="1">IF(AND($C31="Goal",EQ$8&gt;=$G31,EQ$8&lt;=$G31+$H31-1),2,IF(AND($C31="Milestone",EQ$8&gt;=$G31,EQ$8&lt;=$G31+$H31-1),1,""))</f>
        <v/>
      </c>
      <c r="ER31" s="69" t="str">
        <f ca="1">IF(AND($C31="Goal",ER$8&gt;=$G31,ER$8&lt;=$G31+$H31-1),2,IF(AND($C31="Milestone",ER$8&gt;=$G31,ER$8&lt;=$G31+$H31-1),1,""))</f>
        <v/>
      </c>
      <c r="ES31" s="69" t="str">
        <f ca="1">IF(AND($C31="Goal",ES$8&gt;=$G31,ES$8&lt;=$G31+$H31-1),2,IF(AND($C31="Milestone",ES$8&gt;=$G31,ES$8&lt;=$G31+$H31-1),1,""))</f>
        <v/>
      </c>
      <c r="ET31" s="69" t="str">
        <f ca="1">IF(AND($C31="Goal",ET$8&gt;=$G31,ET$8&lt;=$G31+$H31-1),2,IF(AND($C31="Milestone",ET$8&gt;=$G31,ET$8&lt;=$G31+$H31-1),1,""))</f>
        <v/>
      </c>
      <c r="EU31" s="69" t="str">
        <f ca="1">IF(AND($C31="Goal",EU$8&gt;=$G31,EU$8&lt;=$G31+$H31-1),2,IF(AND($C31="Milestone",EU$8&gt;=$G31,EU$8&lt;=$G31+$H31-1),1,""))</f>
        <v/>
      </c>
      <c r="EV31" s="69" t="str">
        <f ca="1">IF(AND($C31="Goal",EV$8&gt;=$G31,EV$8&lt;=$G31+$H31-1),2,IF(AND($C31="Milestone",EV$8&gt;=$G31,EV$8&lt;=$G31+$H31-1),1,""))</f>
        <v/>
      </c>
      <c r="EW31" s="69" t="str">
        <f ca="1">IF(AND($C31="Goal",EW$8&gt;=$G31,EW$8&lt;=$G31+$H31-1),2,IF(AND($C31="Milestone",EW$8&gt;=$G31,EW$8&lt;=$G31+$H31-1),1,""))</f>
        <v/>
      </c>
      <c r="EX31" s="69" t="str">
        <f ca="1">IF(AND($C31="Goal",EX$8&gt;=$G31,EX$8&lt;=$G31+$H31-1),2,IF(AND($C31="Milestone",EX$8&gt;=$G31,EX$8&lt;=$G31+$H31-1),1,""))</f>
        <v/>
      </c>
      <c r="EY31" s="69" t="str">
        <f ca="1">IF(AND($C31="Goal",EY$8&gt;=$G31,EY$8&lt;=$G31+$H31-1),2,IF(AND($C31="Milestone",EY$8&gt;=$G31,EY$8&lt;=$G31+$H31-1),1,""))</f>
        <v/>
      </c>
      <c r="EZ31" s="69" t="str">
        <f ca="1">IF(AND($C31="Goal",EZ$8&gt;=$G31,EZ$8&lt;=$G31+$H31-1),2,IF(AND($C31="Milestone",EZ$8&gt;=$G31,EZ$8&lt;=$G31+$H31-1),1,""))</f>
        <v/>
      </c>
      <c r="FA31" s="69" t="str">
        <f ca="1">IF(AND($C31="Goal",FA$8&gt;=$G31,FA$8&lt;=$G31+$H31-1),2,IF(AND($C31="Milestone",FA$8&gt;=$G31,FA$8&lt;=$G31+$H31-1),1,""))</f>
        <v/>
      </c>
      <c r="FB31" s="69" t="str">
        <f ca="1">IF(AND($C31="Goal",FB$8&gt;=$G31,FB$8&lt;=$G31+$H31-1),2,IF(AND($C31="Milestone",FB$8&gt;=$G31,FB$8&lt;=$G31+$H31-1),1,""))</f>
        <v/>
      </c>
      <c r="FC31" s="69" t="str">
        <f ca="1">IF(AND($C31="Goal",FC$8&gt;=$G31,FC$8&lt;=$G31+$H31-1),2,IF(AND($C31="Milestone",FC$8&gt;=$G31,FC$8&lt;=$G31+$H31-1),1,""))</f>
        <v/>
      </c>
      <c r="FD31" s="69" t="str">
        <f ca="1">IF(AND($C31="Goal",FD$8&gt;=$G31,FD$8&lt;=$G31+$H31-1),2,IF(AND($C31="Milestone",FD$8&gt;=$G31,FD$8&lt;=$G31+$H31-1),1,""))</f>
        <v/>
      </c>
      <c r="FE31" s="69" t="str">
        <f ca="1">IF(AND($C31="Goal",FE$8&gt;=$G31,FE$8&lt;=$G31+$H31-1),2,IF(AND($C31="Milestone",FE$8&gt;=$G31,FE$8&lt;=$G31+$H31-1),1,""))</f>
        <v/>
      </c>
      <c r="FF31" s="69" t="str">
        <f ca="1">IF(AND($C31="Goal",FF$8&gt;=$G31,FF$8&lt;=$G31+$H31-1),2,IF(AND($C31="Milestone",FF$8&gt;=$G31,FF$8&lt;=$G31+$H31-1),1,""))</f>
        <v/>
      </c>
      <c r="FG31" s="69" t="str">
        <f ca="1">IF(AND($C31="Goal",FG$8&gt;=$G31,FG$8&lt;=$G31+$H31-1),2,IF(AND($C31="Milestone",FG$8&gt;=$G31,FG$8&lt;=$G31+$H31-1),1,""))</f>
        <v/>
      </c>
      <c r="FH31" s="69" t="str">
        <f ca="1">IF(AND($C31="Goal",FH$8&gt;=$G31,FH$8&lt;=$G31+$H31-1),2,IF(AND($C31="Milestone",FH$8&gt;=$G31,FH$8&lt;=$G31+$H31-1),1,""))</f>
        <v/>
      </c>
      <c r="FI31" s="69" t="str">
        <f ca="1">IF(AND($C31="Goal",FI$8&gt;=$G31,FI$8&lt;=$G31+$H31-1),2,IF(AND($C31="Milestone",FI$8&gt;=$G31,FI$8&lt;=$G31+$H31-1),1,""))</f>
        <v/>
      </c>
      <c r="FJ31" s="69" t="str">
        <f ca="1">IF(AND($C31="Goal",FJ$8&gt;=$G31,FJ$8&lt;=$G31+$H31-1),2,IF(AND($C31="Milestone",FJ$8&gt;=$G31,FJ$8&lt;=$G31+$H31-1),1,""))</f>
        <v/>
      </c>
      <c r="FK31" s="69" t="str">
        <f ca="1">IF(AND($C31="Goal",FK$8&gt;=$G31,FK$8&lt;=$G31+$H31-1),2,IF(AND($C31="Milestone",FK$8&gt;=$G31,FK$8&lt;=$G31+$H31-1),1,""))</f>
        <v/>
      </c>
      <c r="FL31" s="69" t="str">
        <f ca="1">IF(AND($C31="Goal",FL$8&gt;=$G31,FL$8&lt;=$G31+$H31-1),2,IF(AND($C31="Milestone",FL$8&gt;=$G31,FL$8&lt;=$G31+$H31-1),1,""))</f>
        <v/>
      </c>
      <c r="FM31" s="69" t="str">
        <f ca="1">IF(AND($C31="Goal",FM$8&gt;=$G31,FM$8&lt;=$G31+$H31-1),2,IF(AND($C31="Milestone",FM$8&gt;=$G31,FM$8&lt;=$G31+$H31-1),1,""))</f>
        <v/>
      </c>
      <c r="FN31" s="69" t="str">
        <f ca="1">IF(AND($C31="Goal",FN$8&gt;=$G31,FN$8&lt;=$G31+$H31-1),2,IF(AND($C31="Milestone",FN$8&gt;=$G31,FN$8&lt;=$G31+$H31-1),1,""))</f>
        <v/>
      </c>
      <c r="FO31" s="69" t="str">
        <f ca="1">IF(AND($C31="Goal",FO$8&gt;=$G31,FO$8&lt;=$G31+$H31-1),2,IF(AND($C31="Milestone",FO$8&gt;=$G31,FO$8&lt;=$G31+$H31-1),1,""))</f>
        <v/>
      </c>
      <c r="FP31" s="69" t="str">
        <f ca="1">IF(AND($C31="Goal",FP$8&gt;=$G31,FP$8&lt;=$G31+$H31-1),2,IF(AND($C31="Milestone",FP$8&gt;=$G31,FP$8&lt;=$G31+$H31-1),1,""))</f>
        <v/>
      </c>
      <c r="FQ31" s="69" t="str">
        <f ca="1">IF(AND($C31="Goal",FQ$8&gt;=$G31,FQ$8&lt;=$G31+$H31-1),2,IF(AND($C31="Milestone",FQ$8&gt;=$G31,FQ$8&lt;=$G31+$H31-1),1,""))</f>
        <v/>
      </c>
      <c r="FR31" s="69" t="str">
        <f ca="1">IF(AND($C31="Goal",FR$8&gt;=$G31,FR$8&lt;=$G31+$H31-1),2,IF(AND($C31="Milestone",FR$8&gt;=$G31,FR$8&lt;=$G31+$H31-1),1,""))</f>
        <v/>
      </c>
      <c r="FS31" s="69" t="str">
        <f ca="1">IF(AND($C31="Goal",FS$8&gt;=$G31,FS$8&lt;=$G31+$H31-1),2,IF(AND($C31="Milestone",FS$8&gt;=$G31,FS$8&lt;=$G31+$H31-1),1,""))</f>
        <v/>
      </c>
      <c r="FT31" s="69" t="str">
        <f ca="1">IF(AND($C31="Goal",FT$8&gt;=$G31,FT$8&lt;=$G31+$H31-1),2,IF(AND($C31="Milestone",FT$8&gt;=$G31,FT$8&lt;=$G31+$H31-1),1,""))</f>
        <v/>
      </c>
      <c r="FU31" s="69" t="str">
        <f ca="1">IF(AND($C31="Goal",FU$8&gt;=$G31,FU$8&lt;=$G31+$H31-1),2,IF(AND($C31="Milestone",FU$8&gt;=$G31,FU$8&lt;=$G31+$H31-1),1,""))</f>
        <v/>
      </c>
      <c r="FV31" s="69" t="str">
        <f ca="1">IF(AND($C31="Goal",FV$8&gt;=$G31,FV$8&lt;=$G31+$H31-1),2,IF(AND($C31="Milestone",FV$8&gt;=$G31,FV$8&lt;=$G31+$H31-1),1,""))</f>
        <v/>
      </c>
      <c r="FW31" s="69" t="str">
        <f ca="1">IF(AND($C31="Goal",FW$8&gt;=$G31,FW$8&lt;=$G31+$H31-1),2,IF(AND($C31="Milestone",FW$8&gt;=$G31,FW$8&lt;=$G31+$H31-1),1,""))</f>
        <v/>
      </c>
      <c r="FX31" s="69" t="str">
        <f ca="1">IF(AND($C31="Goal",FX$8&gt;=$G31,FX$8&lt;=$G31+$H31-1),2,IF(AND($C31="Milestone",FX$8&gt;=$G31,FX$8&lt;=$G31+$H31-1),1,""))</f>
        <v/>
      </c>
      <c r="FY31" s="69" t="str">
        <f ca="1">IF(AND($C31="Goal",FY$8&gt;=$G31,FY$8&lt;=$G31+$H31-1),2,IF(AND($C31="Milestone",FY$8&gt;=$G31,FY$8&lt;=$G31+$H31-1),1,""))</f>
        <v/>
      </c>
      <c r="FZ31" s="69" t="str">
        <f ca="1">IF(AND($C31="Goal",FZ$8&gt;=$G31,FZ$8&lt;=$G31+$H31-1),2,IF(AND($C31="Milestone",FZ$8&gt;=$G31,FZ$8&lt;=$G31+$H31-1),1,""))</f>
        <v/>
      </c>
      <c r="GA31" s="69" t="str">
        <f ca="1">IF(AND($C31="Goal",GA$8&gt;=$G31,GA$8&lt;=$G31+$H31-1),2,IF(AND($C31="Milestone",GA$8&gt;=$G31,GA$8&lt;=$G31+$H31-1),1,""))</f>
        <v/>
      </c>
      <c r="GB31" s="69" t="str">
        <f ca="1">IF(AND($C31="Goal",GB$8&gt;=$G31,GB$8&lt;=$G31+$H31-1),2,IF(AND($C31="Milestone",GB$8&gt;=$G31,GB$8&lt;=$G31+$H31-1),1,""))</f>
        <v/>
      </c>
      <c r="GC31" s="69" t="str">
        <f ca="1">IF(AND($C31="Goal",GC$8&gt;=$G31,GC$8&lt;=$G31+$H31-1),2,IF(AND($C31="Milestone",GC$8&gt;=$G31,GC$8&lt;=$G31+$H31-1),1,""))</f>
        <v/>
      </c>
      <c r="GD31" s="69" t="str">
        <f ca="1">IF(AND($C31="Goal",GD$8&gt;=$G31,GD$8&lt;=$G31+$H31-1),2,IF(AND($C31="Milestone",GD$8&gt;=$G31,GD$8&lt;=$G31+$H31-1),1,""))</f>
        <v/>
      </c>
      <c r="GE31" s="69" t="str">
        <f ca="1">IF(AND($C31="Goal",GE$8&gt;=$G31,GE$8&lt;=$G31+$H31-1),2,IF(AND($C31="Milestone",GE$8&gt;=$G31,GE$8&lt;=$G31+$H31-1),1,""))</f>
        <v/>
      </c>
      <c r="GF31" s="69" t="str">
        <f ca="1">IF(AND($C31="Goal",GF$8&gt;=$G31,GF$8&lt;=$G31+$H31-1),2,IF(AND($C31="Milestone",GF$8&gt;=$G31,GF$8&lt;=$G31+$H31-1),1,""))</f>
        <v/>
      </c>
      <c r="GG31" s="69" t="str">
        <f ca="1">IF(AND($C31="Goal",GG$8&gt;=$G31,GG$8&lt;=$G31+$H31-1),2,IF(AND($C31="Milestone",GG$8&gt;=$G31,GG$8&lt;=$G31+$H31-1),1,""))</f>
        <v/>
      </c>
      <c r="GH31" s="69" t="str">
        <f ca="1">IF(AND($C31="Goal",GH$8&gt;=$G31,GH$8&lt;=$G31+$H31-1),2,IF(AND($C31="Milestone",GH$8&gt;=$G31,GH$8&lt;=$G31+$H31-1),1,""))</f>
        <v/>
      </c>
      <c r="GI31" s="69" t="str">
        <f ca="1">IF(AND($C31="Goal",GI$8&gt;=$G31,GI$8&lt;=$G31+$H31-1),2,IF(AND($C31="Milestone",GI$8&gt;=$G31,GI$8&lt;=$G31+$H31-1),1,""))</f>
        <v/>
      </c>
      <c r="GJ31" s="69" t="str">
        <f ca="1">IF(AND($C31="Goal",GJ$8&gt;=$G31,GJ$8&lt;=$G31+$H31-1),2,IF(AND($C31="Milestone",GJ$8&gt;=$G31,GJ$8&lt;=$G31+$H31-1),1,""))</f>
        <v/>
      </c>
      <c r="GK31" s="69" t="str">
        <f ca="1">IF(AND($C31="Goal",GK$8&gt;=$G31,GK$8&lt;=$G31+$H31-1),2,IF(AND($C31="Milestone",GK$8&gt;=$G31,GK$8&lt;=$G31+$H31-1),1,""))</f>
        <v/>
      </c>
      <c r="GL31" s="69" t="str">
        <f ca="1">IF(AND($C31="Goal",GL$8&gt;=$G31,GL$8&lt;=$G31+$H31-1),2,IF(AND($C31="Milestone",GL$8&gt;=$G31,GL$8&lt;=$G31+$H31-1),1,""))</f>
        <v/>
      </c>
      <c r="GM31" s="69" t="str">
        <f ca="1">IF(AND($C31="Goal",GM$8&gt;=$G31,GM$8&lt;=$G31+$H31-1),2,IF(AND($C31="Milestone",GM$8&gt;=$G31,GM$8&lt;=$G31+$H31-1),1,""))</f>
        <v/>
      </c>
      <c r="GN31" s="69" t="str">
        <f ca="1">IF(AND($C31="Goal",GN$8&gt;=$G31,GN$8&lt;=$G31+$H31-1),2,IF(AND($C31="Milestone",GN$8&gt;=$G31,GN$8&lt;=$G31+$H31-1),1,""))</f>
        <v/>
      </c>
      <c r="GO31" s="69" t="str">
        <f ca="1">IF(AND($C31="Goal",GO$8&gt;=$G31,GO$8&lt;=$G31+$H31-1),2,IF(AND($C31="Milestone",GO$8&gt;=$G31,GO$8&lt;=$G31+$H31-1),1,""))</f>
        <v/>
      </c>
      <c r="GP31" s="69" t="str">
        <f ca="1">IF(AND($C31="Goal",GP$8&gt;=$G31,GP$8&lt;=$G31+$H31-1),2,IF(AND($C31="Milestone",GP$8&gt;=$G31,GP$8&lt;=$G31+$H31-1),1,""))</f>
        <v/>
      </c>
      <c r="GQ31" s="69" t="str">
        <f ca="1">IF(AND($C31="Goal",GQ$8&gt;=$G31,GQ$8&lt;=$G31+$H31-1),2,IF(AND($C31="Milestone",GQ$8&gt;=$G31,GQ$8&lt;=$G31+$H31-1),1,""))</f>
        <v/>
      </c>
      <c r="GR31" s="69" t="str">
        <f ca="1">IF(AND($C31="Goal",GR$8&gt;=$G31,GR$8&lt;=$G31+$H31-1),2,IF(AND($C31="Milestone",GR$8&gt;=$G31,GR$8&lt;=$G31+$H31-1),1,""))</f>
        <v/>
      </c>
      <c r="GS31" s="69" t="str">
        <f ca="1">IF(AND($C31="Goal",GS$8&gt;=$G31,GS$8&lt;=$G31+$H31-1),2,IF(AND($C31="Milestone",GS$8&gt;=$G31,GS$8&lt;=$G31+$H31-1),1,""))</f>
        <v/>
      </c>
      <c r="GT31" s="69" t="str">
        <f ca="1">IF(AND($C31="Goal",GT$8&gt;=$G31,GT$8&lt;=$G31+$H31-1),2,IF(AND($C31="Milestone",GT$8&gt;=$G31,GT$8&lt;=$G31+$H31-1),1,""))</f>
        <v/>
      </c>
      <c r="GU31" s="69" t="str">
        <f ca="1">IF(AND($C31="Goal",GU$8&gt;=$G31,GU$8&lt;=$G31+$H31-1),2,IF(AND($C31="Milestone",GU$8&gt;=$G31,GU$8&lt;=$G31+$H31-1),1,""))</f>
        <v/>
      </c>
      <c r="GV31" s="69" t="str">
        <f ca="1">IF(AND($C31="Goal",GV$8&gt;=$G31,GV$8&lt;=$G31+$H31-1),2,IF(AND($C31="Milestone",GV$8&gt;=$G31,GV$8&lt;=$G31+$H31-1),1,""))</f>
        <v/>
      </c>
      <c r="GW31" s="69" t="str">
        <f ca="1">IF(AND($C31="Goal",GW$8&gt;=$G31,GW$8&lt;=$G31+$H31-1),2,IF(AND($C31="Milestone",GW$8&gt;=$G31,GW$8&lt;=$G31+$H31-1),1,""))</f>
        <v/>
      </c>
      <c r="GX31" s="69" t="str">
        <f ca="1">IF(AND($C31="Goal",GX$8&gt;=$G31,GX$8&lt;=$G31+$H31-1),2,IF(AND($C31="Milestone",GX$8&gt;=$G31,GX$8&lt;=$G31+$H31-1),1,""))</f>
        <v/>
      </c>
      <c r="GY31" s="69" t="str">
        <f ca="1">IF(AND($C31="Goal",GY$8&gt;=$G31,GY$8&lt;=$G31+$H31-1),2,IF(AND($C31="Milestone",GY$8&gt;=$G31,GY$8&lt;=$G31+$H31-1),1,""))</f>
        <v/>
      </c>
      <c r="GZ31" s="69" t="str">
        <f ca="1">IF(AND($C31="Goal",GZ$8&gt;=$G31,GZ$8&lt;=$G31+$H31-1),2,IF(AND($C31="Milestone",GZ$8&gt;=$G31,GZ$8&lt;=$G31+$H31-1),1,""))</f>
        <v/>
      </c>
      <c r="HA31" s="69" t="str">
        <f ca="1">IF(AND($C31="Goal",HA$8&gt;=$G31,HA$8&lt;=$G31+$H31-1),2,IF(AND($C31="Milestone",HA$8&gt;=$G31,HA$8&lt;=$G31+$H31-1),1,""))</f>
        <v/>
      </c>
      <c r="HB31" s="69" t="str">
        <f ca="1">IF(AND($C31="Goal",HB$8&gt;=$G31,HB$8&lt;=$G31+$H31-1),2,IF(AND($C31="Milestone",HB$8&gt;=$G31,HB$8&lt;=$G31+$H31-1),1,""))</f>
        <v/>
      </c>
      <c r="HC31" s="69" t="str">
        <f ca="1">IF(AND($C31="Goal",HC$8&gt;=$G31,HC$8&lt;=$G31+$H31-1),2,IF(AND($C31="Milestone",HC$8&gt;=$G31,HC$8&lt;=$G31+$H31-1),1,""))</f>
        <v/>
      </c>
      <c r="HD31" s="69" t="str">
        <f ca="1">IF(AND($C31="Goal",HD$8&gt;=$G31,HD$8&lt;=$G31+$H31-1),2,IF(AND($C31="Milestone",HD$8&gt;=$G31,HD$8&lt;=$G31+$H31-1),1,""))</f>
        <v/>
      </c>
      <c r="HE31" s="69" t="str">
        <f ca="1">IF(AND($C31="Goal",HE$8&gt;=$G31,HE$8&lt;=$G31+$H31-1),2,IF(AND($C31="Milestone",HE$8&gt;=$G31,HE$8&lt;=$G31+$H31-1),1,""))</f>
        <v/>
      </c>
      <c r="HF31" s="69" t="str">
        <f ca="1">IF(AND($C31="Goal",HF$8&gt;=$G31,HF$8&lt;=$G31+$H31-1),2,IF(AND($C31="Milestone",HF$8&gt;=$G31,HF$8&lt;=$G31+$H31-1),1,""))</f>
        <v/>
      </c>
      <c r="HG31" s="69" t="str">
        <f ca="1">IF(AND($C31="Goal",HG$8&gt;=$G31,HG$8&lt;=$G31+$H31-1),2,IF(AND($C31="Milestone",HG$8&gt;=$G31,HG$8&lt;=$G31+$H31-1),1,""))</f>
        <v/>
      </c>
      <c r="HH31" s="69" t="str">
        <f ca="1">IF(AND($C31="Goal",HH$8&gt;=$G31,HH$8&lt;=$G31+$H31-1),2,IF(AND($C31="Milestone",HH$8&gt;=$G31,HH$8&lt;=$G31+$H31-1),1,""))</f>
        <v/>
      </c>
      <c r="HI31" s="69" t="str">
        <f ca="1">IF(AND($C31="Goal",HI$8&gt;=$G31,HI$8&lt;=$G31+$H31-1),2,IF(AND($C31="Milestone",HI$8&gt;=$G31,HI$8&lt;=$G31+$H31-1),1,""))</f>
        <v/>
      </c>
      <c r="HJ31" s="69" t="str">
        <f ca="1">IF(AND($C31="Goal",HJ$8&gt;=$G31,HJ$8&lt;=$G31+$H31-1),2,IF(AND($C31="Milestone",HJ$8&gt;=$G31,HJ$8&lt;=$G31+$H31-1),1,""))</f>
        <v/>
      </c>
      <c r="HK31" s="69" t="str">
        <f ca="1">IF(AND($C31="Goal",HK$8&gt;=$G31,HK$8&lt;=$G31+$H31-1),2,IF(AND($C31="Milestone",HK$8&gt;=$G31,HK$8&lt;=$G31+$H31-1),1,""))</f>
        <v/>
      </c>
      <c r="HL31" s="69" t="str">
        <f ca="1">IF(AND($C31="Goal",HL$8&gt;=$G31,HL$8&lt;=$G31+$H31-1),2,IF(AND($C31="Milestone",HL$8&gt;=$G31,HL$8&lt;=$G31+$H31-1),1,""))</f>
        <v/>
      </c>
      <c r="HM31" s="69" t="str">
        <f ca="1">IF(AND($C31="Goal",HM$8&gt;=$G31,HM$8&lt;=$G31+$H31-1),2,IF(AND($C31="Milestone",HM$8&gt;=$G31,HM$8&lt;=$G31+$H31-1),1,""))</f>
        <v/>
      </c>
      <c r="HN31" s="69" t="str">
        <f ca="1">IF(AND($C31="Goal",HN$8&gt;=$G31,HN$8&lt;=$G31+$H31-1),2,IF(AND($C31="Milestone",HN$8&gt;=$G31,HN$8&lt;=$G31+$H31-1),1,""))</f>
        <v/>
      </c>
      <c r="HO31" s="69" t="str">
        <f ca="1">IF(AND($C31="Goal",HO$8&gt;=$G31,HO$8&lt;=$G31+$H31-1),2,IF(AND($C31="Milestone",HO$8&gt;=$G31,HO$8&lt;=$G31+$H31-1),1,""))</f>
        <v/>
      </c>
      <c r="HP31" s="69" t="str">
        <f ca="1">IF(AND($C31="Goal",HP$8&gt;=$G31,HP$8&lt;=$G31+$H31-1),2,IF(AND($C31="Milestone",HP$8&gt;=$G31,HP$8&lt;=$G31+$H31-1),1,""))</f>
        <v/>
      </c>
      <c r="HQ31" s="69" t="str">
        <f ca="1">IF(AND($C31="Goal",HQ$8&gt;=$G31,HQ$8&lt;=$G31+$H31-1),2,IF(AND($C31="Milestone",HQ$8&gt;=$G31,HQ$8&lt;=$G31+$H31-1),1,""))</f>
        <v/>
      </c>
      <c r="HR31" s="69" t="str">
        <f ca="1">IF(AND($C31="Goal",HR$8&gt;=$G31,HR$8&lt;=$G31+$H31-1),2,IF(AND($C31="Milestone",HR$8&gt;=$G31,HR$8&lt;=$G31+$H31-1),1,""))</f>
        <v/>
      </c>
      <c r="HS31" s="69" t="str">
        <f ca="1">IF(AND($C31="Goal",HS$8&gt;=$G31,HS$8&lt;=$G31+$H31-1),2,IF(AND($C31="Milestone",HS$8&gt;=$G31,HS$8&lt;=$G31+$H31-1),1,""))</f>
        <v/>
      </c>
      <c r="HT31" s="69" t="str">
        <f ca="1">IF(AND($C31="Goal",HT$8&gt;=$G31,HT$8&lt;=$G31+$H31-1),2,IF(AND($C31="Milestone",HT$8&gt;=$G31,HT$8&lt;=$G31+$H31-1),1,""))</f>
        <v/>
      </c>
      <c r="HU31" s="69" t="str">
        <f ca="1">IF(AND($C31="Goal",HU$8&gt;=$G31,HU$8&lt;=$G31+$H31-1),2,IF(AND($C31="Milestone",HU$8&gt;=$G31,HU$8&lt;=$G31+$H31-1),1,""))</f>
        <v/>
      </c>
      <c r="HV31" s="69" t="str">
        <f ca="1">IF(AND($C31="Goal",HV$8&gt;=$G31,HV$8&lt;=$G31+$H31-1),2,IF(AND($C31="Milestone",HV$8&gt;=$G31,HV$8&lt;=$G31+$H31-1),1,""))</f>
        <v/>
      </c>
      <c r="HW31" s="69" t="str">
        <f ca="1">IF(AND($C31="Goal",HW$8&gt;=$G31,HW$8&lt;=$G31+$H31-1),2,IF(AND($C31="Milestone",HW$8&gt;=$G31,HW$8&lt;=$G31+$H31-1),1,""))</f>
        <v/>
      </c>
      <c r="HX31" s="69" t="str">
        <f ca="1">IF(AND($C31="Goal",HX$8&gt;=$G31,HX$8&lt;=$G31+$H31-1),2,IF(AND($C31="Milestone",HX$8&gt;=$G31,HX$8&lt;=$G31+$H31-1),1,""))</f>
        <v/>
      </c>
      <c r="HY31" s="69" t="str">
        <f ca="1">IF(AND($C31="Goal",HY$8&gt;=$G31,HY$8&lt;=$G31+$H31-1),2,IF(AND($C31="Milestone",HY$8&gt;=$G31,HY$8&lt;=$G31+$H31-1),1,""))</f>
        <v/>
      </c>
      <c r="HZ31" s="69" t="str">
        <f ca="1">IF(AND($C31="Goal",HZ$8&gt;=$G31,HZ$8&lt;=$G31+$H31-1),2,IF(AND($C31="Milestone",HZ$8&gt;=$G31,HZ$8&lt;=$G31+$H31-1),1,""))</f>
        <v/>
      </c>
      <c r="IA31" s="69" t="str">
        <f ca="1">IF(AND($C31="Goal",IA$8&gt;=$G31,IA$8&lt;=$G31+$H31-1),2,IF(AND($C31="Milestone",IA$8&gt;=$G31,IA$8&lt;=$G31+$H31-1),1,""))</f>
        <v/>
      </c>
      <c r="IB31" s="69" t="str">
        <f ca="1">IF(AND($C31="Goal",IB$8&gt;=$G31,IB$8&lt;=$G31+$H31-1),2,IF(AND($C31="Milestone",IB$8&gt;=$G31,IB$8&lt;=$G31+$H31-1),1,""))</f>
        <v/>
      </c>
      <c r="IC31" s="69" t="str">
        <f ca="1">IF(AND($C31="Goal",IC$8&gt;=$G31,IC$8&lt;=$G31+$H31-1),2,IF(AND($C31="Milestone",IC$8&gt;=$G31,IC$8&lt;=$G31+$H31-1),1,""))</f>
        <v/>
      </c>
      <c r="ID31" s="69" t="str">
        <f ca="1">IF(AND($C31="Goal",ID$8&gt;=$G31,ID$8&lt;=$G31+$H31-1),2,IF(AND($C31="Milestone",ID$8&gt;=$G31,ID$8&lt;=$G31+$H31-1),1,""))</f>
        <v/>
      </c>
      <c r="IE31" s="69" t="str">
        <f ca="1">IF(AND($C31="Goal",IE$8&gt;=$G31,IE$8&lt;=$G31+$H31-1),2,IF(AND($C31="Milestone",IE$8&gt;=$G31,IE$8&lt;=$G31+$H31-1),1,""))</f>
        <v/>
      </c>
      <c r="IF31" s="69" t="str">
        <f ca="1">IF(AND($C31="Goal",IF$8&gt;=$G31,IF$8&lt;=$G31+$H31-1),2,IF(AND($C31="Milestone",IF$8&gt;=$G31,IF$8&lt;=$G31+$H31-1),1,""))</f>
        <v/>
      </c>
      <c r="IG31" s="69" t="str">
        <f ca="1">IF(AND($C31="Goal",IG$8&gt;=$G31,IG$8&lt;=$G31+$H31-1),2,IF(AND($C31="Milestone",IG$8&gt;=$G31,IG$8&lt;=$G31+$H31-1),1,""))</f>
        <v/>
      </c>
      <c r="IH31" s="69" t="str">
        <f ca="1">IF(AND($C31="Goal",IH$8&gt;=$G31,IH$8&lt;=$G31+$H31-1),2,IF(AND($C31="Milestone",IH$8&gt;=$G31,IH$8&lt;=$G31+$H31-1),1,""))</f>
        <v/>
      </c>
      <c r="II31" s="69" t="str">
        <f ca="1">IF(AND($C31="Goal",II$8&gt;=$G31,II$8&lt;=$G31+$H31-1),2,IF(AND($C31="Milestone",II$8&gt;=$G31,II$8&lt;=$G31+$H31-1),1,""))</f>
        <v/>
      </c>
      <c r="IJ31" s="69" t="str">
        <f ca="1">IF(AND($C31="Goal",IJ$8&gt;=$G31,IJ$8&lt;=$G31+$H31-1),2,IF(AND($C31="Milestone",IJ$8&gt;=$G31,IJ$8&lt;=$G31+$H31-1),1,""))</f>
        <v/>
      </c>
      <c r="IK31" s="69" t="str">
        <f ca="1">IF(AND($C31="Goal",IK$8&gt;=$G31,IK$8&lt;=$G31+$H31-1),2,IF(AND($C31="Milestone",IK$8&gt;=$G31,IK$8&lt;=$G31+$H31-1),1,""))</f>
        <v/>
      </c>
      <c r="IL31" s="69" t="str">
        <f ca="1">IF(AND($C31="Goal",IL$8&gt;=$G31,IL$8&lt;=$G31+$H31-1),2,IF(AND($C31="Milestone",IL$8&gt;=$G31,IL$8&lt;=$G31+$H31-1),1,""))</f>
        <v/>
      </c>
      <c r="IM31" s="69" t="str">
        <f ca="1">IF(AND($C31="Goal",IM$8&gt;=$G31,IM$8&lt;=$G31+$H31-1),2,IF(AND($C31="Milestone",IM$8&gt;=$G31,IM$8&lt;=$G31+$H31-1),1,""))</f>
        <v/>
      </c>
      <c r="IN31" s="69" t="str">
        <f ca="1">IF(AND($C31="Goal",IN$8&gt;=$G31,IN$8&lt;=$G31+$H31-1),2,IF(AND($C31="Milestone",IN$8&gt;=$G31,IN$8&lt;=$G31+$H31-1),1,""))</f>
        <v/>
      </c>
      <c r="IO31" s="69" t="str">
        <f ca="1">IF(AND($C31="Goal",IO$8&gt;=$G31,IO$8&lt;=$G31+$H31-1),2,IF(AND($C31="Milestone",IO$8&gt;=$G31,IO$8&lt;=$G31+$H31-1),1,""))</f>
        <v/>
      </c>
      <c r="IP31" s="69" t="str">
        <f ca="1">IF(AND($C31="Goal",IP$8&gt;=$G31,IP$8&lt;=$G31+$H31-1),2,IF(AND($C31="Milestone",IP$8&gt;=$G31,IP$8&lt;=$G31+$H31-1),1,""))</f>
        <v/>
      </c>
      <c r="IQ31" s="69" t="str">
        <f ca="1">IF(AND($C31="Goal",IQ$8&gt;=$G31,IQ$8&lt;=$G31+$H31-1),2,IF(AND($C31="Milestone",IQ$8&gt;=$G31,IQ$8&lt;=$G31+$H31-1),1,""))</f>
        <v/>
      </c>
      <c r="IR31" s="69" t="str">
        <f ca="1">IF(AND($C31="Goal",IR$8&gt;=$G31,IR$8&lt;=$G31+$H31-1),2,IF(AND($C31="Milestone",IR$8&gt;=$G31,IR$8&lt;=$G31+$H31-1),1,""))</f>
        <v/>
      </c>
      <c r="IS31" s="69" t="str">
        <f ca="1">IF(AND($C31="Goal",IS$8&gt;=$G31,IS$8&lt;=$G31+$H31-1),2,IF(AND($C31="Milestone",IS$8&gt;=$G31,IS$8&lt;=$G31+$H31-1),1,""))</f>
        <v/>
      </c>
      <c r="IT31" s="69" t="str">
        <f ca="1">IF(AND($C31="Goal",IT$8&gt;=$G31,IT$8&lt;=$G31+$H31-1),2,IF(AND($C31="Milestone",IT$8&gt;=$G31,IT$8&lt;=$G31+$H31-1),1,""))</f>
        <v/>
      </c>
      <c r="IU31" s="69" t="str">
        <f ca="1">IF(AND($C31="Goal",IU$8&gt;=$G31,IU$8&lt;=$G31+$H31-1),2,IF(AND($C31="Milestone",IU$8&gt;=$G31,IU$8&lt;=$G31+$H31-1),1,""))</f>
        <v/>
      </c>
      <c r="IV31" s="69" t="str">
        <f ca="1">IF(AND($C31="Goal",IV$8&gt;=$G31,IV$8&lt;=$G31+$H31-1),2,IF(AND($C31="Milestone",IV$8&gt;=$G31,IV$8&lt;=$G31+$H31-1),1,""))</f>
        <v/>
      </c>
      <c r="IW31" s="69" t="str">
        <f ca="1">IF(AND($C31="Goal",IW$8&gt;=$G31,IW$8&lt;=$G31+$H31-1),2,IF(AND($C31="Milestone",IW$8&gt;=$G31,IW$8&lt;=$G31+$H31-1),1,""))</f>
        <v/>
      </c>
      <c r="IX31" s="69" t="str">
        <f ca="1">IF(AND($C31="Goal",IX$8&gt;=$G31,IX$8&lt;=$G31+$H31-1),2,IF(AND($C31="Milestone",IX$8&gt;=$G31,IX$8&lt;=$G31+$H31-1),1,""))</f>
        <v/>
      </c>
      <c r="IY31" s="69" t="str">
        <f ca="1">IF(AND($C31="Goal",IY$8&gt;=$G31,IY$8&lt;=$G31+$H31-1),2,IF(AND($C31="Milestone",IY$8&gt;=$G31,IY$8&lt;=$G31+$H31-1),1,""))</f>
        <v/>
      </c>
      <c r="IZ31" s="69" t="str">
        <f ca="1">IF(AND($C31="Goal",IZ$8&gt;=$G31,IZ$8&lt;=$G31+$H31-1),2,IF(AND($C31="Milestone",IZ$8&gt;=$G31,IZ$8&lt;=$G31+$H31-1),1,""))</f>
        <v/>
      </c>
      <c r="JA31" s="69" t="str">
        <f ca="1">IF(AND($C31="Goal",JA$8&gt;=$G31,JA$8&lt;=$G31+$H31-1),2,IF(AND($C31="Milestone",JA$8&gt;=$G31,JA$8&lt;=$G31+$H31-1),1,""))</f>
        <v/>
      </c>
      <c r="JB31" s="69" t="str">
        <f ca="1">IF(AND($C31="Goal",JB$8&gt;=$G31,JB$8&lt;=$G31+$H31-1),2,IF(AND($C31="Milestone",JB$8&gt;=$G31,JB$8&lt;=$G31+$H31-1),1,""))</f>
        <v/>
      </c>
      <c r="JC31" s="69" t="str">
        <f ca="1">IF(AND($C31="Goal",JC$8&gt;=$G31,JC$8&lt;=$G31+$H31-1),2,IF(AND($C31="Milestone",JC$8&gt;=$G31,JC$8&lt;=$G31+$H31-1),1,""))</f>
        <v/>
      </c>
      <c r="JD31" s="69" t="str">
        <f ca="1">IF(AND($C31="Goal",JD$8&gt;=$G31,JD$8&lt;=$G31+$H31-1),2,IF(AND($C31="Milestone",JD$8&gt;=$G31,JD$8&lt;=$G31+$H31-1),1,""))</f>
        <v/>
      </c>
      <c r="JE31" s="69" t="str">
        <f ca="1">IF(AND($C31="Goal",JE$8&gt;=$G31,JE$8&lt;=$G31+$H31-1),2,IF(AND($C31="Milestone",JE$8&gt;=$G31,JE$8&lt;=$G31+$H31-1),1,""))</f>
        <v/>
      </c>
      <c r="JF31" s="69" t="str">
        <f ca="1">IF(AND($C31="Goal",JF$8&gt;=$G31,JF$8&lt;=$G31+$H31-1),2,IF(AND($C31="Milestone",JF$8&gt;=$G31,JF$8&lt;=$G31+$H31-1),1,""))</f>
        <v/>
      </c>
      <c r="JG31" s="69" t="str">
        <f ca="1">IF(AND($C31="Goal",JG$8&gt;=$G31,JG$8&lt;=$G31+$H31-1),2,IF(AND($C31="Milestone",JG$8&gt;=$G31,JG$8&lt;=$G31+$H31-1),1,""))</f>
        <v/>
      </c>
      <c r="JH31" s="69" t="str">
        <f ca="1">IF(AND($C31="Goal",JH$8&gt;=$G31,JH$8&lt;=$G31+$H31-1),2,IF(AND($C31="Milestone",JH$8&gt;=$G31,JH$8&lt;=$G31+$H31-1),1,""))</f>
        <v/>
      </c>
      <c r="JI31" s="69" t="str">
        <f ca="1">IF(AND($C31="Goal",JI$8&gt;=$G31,JI$8&lt;=$G31+$H31-1),2,IF(AND($C31="Milestone",JI$8&gt;=$G31,JI$8&lt;=$G31+$H31-1),1,""))</f>
        <v/>
      </c>
      <c r="JJ31" s="69" t="str">
        <f ca="1">IF(AND($C31="Goal",JJ$8&gt;=$G31,JJ$8&lt;=$G31+$H31-1),2,IF(AND($C31="Milestone",JJ$8&gt;=$G31,JJ$8&lt;=$G31+$H31-1),1,""))</f>
        <v/>
      </c>
      <c r="JK31" s="69" t="str">
        <f ca="1">IF(AND($C31="Goal",JK$8&gt;=$G31,JK$8&lt;=$G31+$H31-1),2,IF(AND($C31="Milestone",JK$8&gt;=$G31,JK$8&lt;=$G31+$H31-1),1,""))</f>
        <v/>
      </c>
      <c r="JL31" s="69" t="str">
        <f ca="1">IF(AND($C31="Goal",JL$8&gt;=$G31,JL$8&lt;=$G31+$H31-1),2,IF(AND($C31="Milestone",JL$8&gt;=$G31,JL$8&lt;=$G31+$H31-1),1,""))</f>
        <v/>
      </c>
      <c r="JM31" s="69" t="str">
        <f ca="1">IF(AND($C31="Goal",JM$8&gt;=$G31,JM$8&lt;=$G31+$H31-1),2,IF(AND($C31="Milestone",JM$8&gt;=$G31,JM$8&lt;=$G31+$H31-1),1,""))</f>
        <v/>
      </c>
      <c r="JN31" s="69" t="str">
        <f ca="1">IF(AND($C31="Goal",JN$8&gt;=$G31,JN$8&lt;=$G31+$H31-1),2,IF(AND($C31="Milestone",JN$8&gt;=$G31,JN$8&lt;=$G31+$H31-1),1,""))</f>
        <v/>
      </c>
      <c r="JO31" s="69" t="str">
        <f ca="1">IF(AND($C31="Goal",JO$8&gt;=$G31,JO$8&lt;=$G31+$H31-1),2,IF(AND($C31="Milestone",JO$8&gt;=$G31,JO$8&lt;=$G31+$H31-1),1,""))</f>
        <v/>
      </c>
      <c r="JP31" s="69" t="str">
        <f ca="1">IF(AND($C31="Goal",JP$8&gt;=$G31,JP$8&lt;=$G31+$H31-1),2,IF(AND($C31="Milestone",JP$8&gt;=$G31,JP$8&lt;=$G31+$H31-1),1,""))</f>
        <v/>
      </c>
      <c r="JQ31" s="69" t="str">
        <f ca="1">IF(AND($C31="Goal",JQ$8&gt;=$G31,JQ$8&lt;=$G31+$H31-1),2,IF(AND($C31="Milestone",JQ$8&gt;=$G31,JQ$8&lt;=$G31+$H31-1),1,""))</f>
        <v/>
      </c>
      <c r="JR31" s="69" t="str">
        <f ca="1">IF(AND($C31="Goal",JR$8&gt;=$G31,JR$8&lt;=$G31+$H31-1),2,IF(AND($C31="Milestone",JR$8&gt;=$G31,JR$8&lt;=$G31+$H31-1),1,""))</f>
        <v/>
      </c>
      <c r="JS31" s="69" t="str">
        <f ca="1">IF(AND($C31="Goal",JS$8&gt;=$G31,JS$8&lt;=$G31+$H31-1),2,IF(AND($C31="Milestone",JS$8&gt;=$G31,JS$8&lt;=$G31+$H31-1),1,""))</f>
        <v/>
      </c>
      <c r="JT31" s="69" t="str">
        <f ca="1">IF(AND($C31="Goal",JT$8&gt;=$G31,JT$8&lt;=$G31+$H31-1),2,IF(AND($C31="Milestone",JT$8&gt;=$G31,JT$8&lt;=$G31+$H31-1),1,""))</f>
        <v/>
      </c>
      <c r="JU31" s="69" t="str">
        <f ca="1">IF(AND($C31="Goal",JU$8&gt;=$G31,JU$8&lt;=$G31+$H31-1),2,IF(AND($C31="Milestone",JU$8&gt;=$G31,JU$8&lt;=$G31+$H31-1),1,""))</f>
        <v/>
      </c>
      <c r="JV31" s="69" t="str">
        <f ca="1">IF(AND($C31="Goal",JV$8&gt;=$G31,JV$8&lt;=$G31+$H31-1),2,IF(AND($C31="Milestone",JV$8&gt;=$G31,JV$8&lt;=$G31+$H31-1),1,""))</f>
        <v/>
      </c>
      <c r="JW31" s="69" t="str">
        <f ca="1">IF(AND($C31="Goal",JW$8&gt;=$G31,JW$8&lt;=$G31+$H31-1),2,IF(AND($C31="Milestone",JW$8&gt;=$G31,JW$8&lt;=$G31+$H31-1),1,""))</f>
        <v/>
      </c>
      <c r="JX31" s="69" t="str">
        <f ca="1">IF(AND($C31="Goal",JX$8&gt;=$G31,JX$8&lt;=$G31+$H31-1),2,IF(AND($C31="Milestone",JX$8&gt;=$G31,JX$8&lt;=$G31+$H31-1),1,""))</f>
        <v/>
      </c>
      <c r="JY31" s="69" t="str">
        <f ca="1">IF(AND($C31="Goal",JY$8&gt;=$G31,JY$8&lt;=$G31+$H31-1),2,IF(AND($C31="Milestone",JY$8&gt;=$G31,JY$8&lt;=$G31+$H31-1),1,""))</f>
        <v/>
      </c>
      <c r="JZ31" s="69" t="str">
        <f ca="1">IF(AND($C31="Goal",JZ$8&gt;=$G31,JZ$8&lt;=$G31+$H31-1),2,IF(AND($C31="Milestone",JZ$8&gt;=$G31,JZ$8&lt;=$G31+$H31-1),1,""))</f>
        <v/>
      </c>
      <c r="KA31" s="69" t="str">
        <f ca="1">IF(AND($C31="Goal",KA$8&gt;=$G31,KA$8&lt;=$G31+$H31-1),2,IF(AND($C31="Milestone",KA$8&gt;=$G31,KA$8&lt;=$G31+$H31-1),1,""))</f>
        <v/>
      </c>
      <c r="KB31" s="69" t="str">
        <f ca="1">IF(AND($C31="Goal",KB$8&gt;=$G31,KB$8&lt;=$G31+$H31-1),2,IF(AND($C31="Milestone",KB$8&gt;=$G31,KB$8&lt;=$G31+$H31-1),1,""))</f>
        <v/>
      </c>
      <c r="KC31" s="69" t="str">
        <f ca="1">IF(AND($C31="Goal",KC$8&gt;=$G31,KC$8&lt;=$G31+$H31-1),2,IF(AND($C31="Milestone",KC$8&gt;=$G31,KC$8&lt;=$G31+$H31-1),1,""))</f>
        <v/>
      </c>
      <c r="KD31" s="69" t="str">
        <f ca="1">IF(AND($C31="Goal",KD$8&gt;=$G31,KD$8&lt;=$G31+$H31-1),2,IF(AND($C31="Milestone",KD$8&gt;=$G31,KD$8&lt;=$G31+$H31-1),1,""))</f>
        <v/>
      </c>
      <c r="KE31" s="69" t="str">
        <f ca="1">IF(AND($C31="Goal",KE$8&gt;=$G31,KE$8&lt;=$G31+$H31-1),2,IF(AND($C31="Milestone",KE$8&gt;=$G31,KE$8&lt;=$G31+$H31-1),1,""))</f>
        <v/>
      </c>
      <c r="KF31" s="69" t="str">
        <f ca="1">IF(AND($C31="Goal",KF$8&gt;=$G31,KF$8&lt;=$G31+$H31-1),2,IF(AND($C31="Milestone",KF$8&gt;=$G31,KF$8&lt;=$G31+$H31-1),1,""))</f>
        <v/>
      </c>
      <c r="KG31" s="69" t="str">
        <f ca="1">IF(AND($C31="Goal",KG$8&gt;=$G31,KG$8&lt;=$G31+$H31-1),2,IF(AND($C31="Milestone",KG$8&gt;=$G31,KG$8&lt;=$G31+$H31-1),1,""))</f>
        <v/>
      </c>
      <c r="KH31" s="69" t="str">
        <f ca="1">IF(AND($C31="Goal",KH$8&gt;=$G31,KH$8&lt;=$G31+$H31-1),2,IF(AND($C31="Milestone",KH$8&gt;=$G31,KH$8&lt;=$G31+$H31-1),1,""))</f>
        <v/>
      </c>
      <c r="KI31" s="69" t="str">
        <f ca="1">IF(AND($C31="Goal",KI$8&gt;=$G31,KI$8&lt;=$G31+$H31-1),2,IF(AND($C31="Milestone",KI$8&gt;=$G31,KI$8&lt;=$G31+$H31-1),1,""))</f>
        <v/>
      </c>
      <c r="KJ31" s="69" t="str">
        <f ca="1">IF(AND($C31="Goal",KJ$8&gt;=$G31,KJ$8&lt;=$G31+$H31-1),2,IF(AND($C31="Milestone",KJ$8&gt;=$G31,KJ$8&lt;=$G31+$H31-1),1,""))</f>
        <v/>
      </c>
      <c r="KK31" s="69" t="str">
        <f ca="1">IF(AND($C31="Goal",KK$8&gt;=$G31,KK$8&lt;=$G31+$H31-1),2,IF(AND($C31="Milestone",KK$8&gt;=$G31,KK$8&lt;=$G31+$H31-1),1,""))</f>
        <v/>
      </c>
      <c r="KL31" s="69" t="str">
        <f ca="1">IF(AND($C31="Goal",KL$8&gt;=$G31,KL$8&lt;=$G31+$H31-1),2,IF(AND($C31="Milestone",KL$8&gt;=$G31,KL$8&lt;=$G31+$H31-1),1,""))</f>
        <v/>
      </c>
      <c r="KM31" s="69" t="str">
        <f ca="1">IF(AND($C31="Goal",KM$8&gt;=$G31,KM$8&lt;=$G31+$H31-1),2,IF(AND($C31="Milestone",KM$8&gt;=$G31,KM$8&lt;=$G31+$H31-1),1,""))</f>
        <v/>
      </c>
      <c r="KN31" s="69" t="str">
        <f ca="1">IF(AND($C31="Goal",KN$8&gt;=$G31,KN$8&lt;=$G31+$H31-1),2,IF(AND($C31="Milestone",KN$8&gt;=$G31,KN$8&lt;=$G31+$H31-1),1,""))</f>
        <v/>
      </c>
      <c r="KO31" s="69" t="str">
        <f ca="1">IF(AND($C31="Goal",KO$8&gt;=$G31,KO$8&lt;=$G31+$H31-1),2,IF(AND($C31="Milestone",KO$8&gt;=$G31,KO$8&lt;=$G31+$H31-1),1,""))</f>
        <v/>
      </c>
      <c r="KP31" s="69" t="str">
        <f ca="1">IF(AND($C31="Goal",KP$8&gt;=$G31,KP$8&lt;=$G31+$H31-1),2,IF(AND($C31="Milestone",KP$8&gt;=$G31,KP$8&lt;=$G31+$H31-1),1,""))</f>
        <v/>
      </c>
      <c r="KQ31" s="69" t="str">
        <f ca="1">IF(AND($C31="Goal",KQ$8&gt;=$G31,KQ$8&lt;=$G31+$H31-1),2,IF(AND($C31="Milestone",KQ$8&gt;=$G31,KQ$8&lt;=$G31+$H31-1),1,""))</f>
        <v/>
      </c>
      <c r="KR31" s="69" t="str">
        <f ca="1">IF(AND($C31="Goal",KR$8&gt;=$G31,KR$8&lt;=$G31+$H31-1),2,IF(AND($C31="Milestone",KR$8&gt;=$G31,KR$8&lt;=$G31+$H31-1),1,""))</f>
        <v/>
      </c>
      <c r="KS31" s="69" t="str">
        <f ca="1">IF(AND($C31="Goal",KS$8&gt;=$G31,KS$8&lt;=$G31+$H31-1),2,IF(AND($C31="Milestone",KS$8&gt;=$G31,KS$8&lt;=$G31+$H31-1),1,""))</f>
        <v/>
      </c>
      <c r="KT31" s="69" t="str">
        <f ca="1">IF(AND($C31="Goal",KT$8&gt;=$G31,KT$8&lt;=$G31+$H31-1),2,IF(AND($C31="Milestone",KT$8&gt;=$G31,KT$8&lt;=$G31+$H31-1),1,""))</f>
        <v/>
      </c>
      <c r="KU31" s="69" t="str">
        <f ca="1">IF(AND($C31="Goal",KU$8&gt;=$G31,KU$8&lt;=$G31+$H31-1),2,IF(AND($C31="Milestone",KU$8&gt;=$G31,KU$8&lt;=$G31+$H31-1),1,""))</f>
        <v/>
      </c>
      <c r="KV31" s="69" t="str">
        <f ca="1">IF(AND($C31="Goal",KV$8&gt;=$G31,KV$8&lt;=$G31+$H31-1),2,IF(AND($C31="Milestone",KV$8&gt;=$G31,KV$8&lt;=$G31+$H31-1),1,""))</f>
        <v/>
      </c>
      <c r="KW31" s="69" t="str">
        <f ca="1">IF(AND($C31="Goal",KW$8&gt;=$G31,KW$8&lt;=$G31+$H31-1),2,IF(AND($C31="Milestone",KW$8&gt;=$G31,KW$8&lt;=$G31+$H31-1),1,""))</f>
        <v/>
      </c>
      <c r="KX31" s="69" t="str">
        <f ca="1">IF(AND($C31="Goal",KX$8&gt;=$G31,KX$8&lt;=$G31+$H31-1),2,IF(AND($C31="Milestone",KX$8&gt;=$G31,KX$8&lt;=$G31+$H31-1),1,""))</f>
        <v/>
      </c>
      <c r="KY31" s="69" t="str">
        <f ca="1">IF(AND($C31="Goal",KY$8&gt;=$G31,KY$8&lt;=$G31+$H31-1),2,IF(AND($C31="Milestone",KY$8&gt;=$G31,KY$8&lt;=$G31+$H31-1),1,""))</f>
        <v/>
      </c>
      <c r="KZ31" s="69" t="str">
        <f ca="1">IF(AND($C31="Goal",KZ$8&gt;=$G31,KZ$8&lt;=$G31+$H31-1),2,IF(AND($C31="Milestone",KZ$8&gt;=$G31,KZ$8&lt;=$G31+$H31-1),1,""))</f>
        <v/>
      </c>
      <c r="LA31" s="69" t="str">
        <f ca="1">IF(AND($C31="Goal",LA$8&gt;=$G31,LA$8&lt;=$G31+$H31-1),2,IF(AND($C31="Milestone",LA$8&gt;=$G31,LA$8&lt;=$G31+$H31-1),1,""))</f>
        <v/>
      </c>
      <c r="LB31" s="69" t="str">
        <f ca="1">IF(AND($C31="Goal",LB$8&gt;=$G31,LB$8&lt;=$G31+$H31-1),2,IF(AND($C31="Milestone",LB$8&gt;=$G31,LB$8&lt;=$G31+$H31-1),1,""))</f>
        <v/>
      </c>
      <c r="LC31" s="69" t="str">
        <f ca="1">IF(AND($C31="Goal",LC$8&gt;=$G31,LC$8&lt;=$G31+$H31-1),2,IF(AND($C31="Milestone",LC$8&gt;=$G31,LC$8&lt;=$G31+$H31-1),1,""))</f>
        <v/>
      </c>
      <c r="LD31" s="69" t="str">
        <f ca="1">IF(AND($C31="Goal",LD$8&gt;=$G31,LD$8&lt;=$G31+$H31-1),2,IF(AND($C31="Milestone",LD$8&gt;=$G31,LD$8&lt;=$G31+$H31-1),1,""))</f>
        <v/>
      </c>
      <c r="LE31" s="69" t="str">
        <f ca="1">IF(AND($C31="Goal",LE$8&gt;=$G31,LE$8&lt;=$G31+$H31-1),2,IF(AND($C31="Milestone",LE$8&gt;=$G31,LE$8&lt;=$G31+$H31-1),1,""))</f>
        <v/>
      </c>
      <c r="LF31" s="69" t="str">
        <f ca="1">IF(AND($C31="Goal",LF$8&gt;=$G31,LF$8&lt;=$G31+$H31-1),2,IF(AND($C31="Milestone",LF$8&gt;=$G31,LF$8&lt;=$G31+$H31-1),1,""))</f>
        <v/>
      </c>
      <c r="LG31" s="69" t="str">
        <f ca="1">IF(AND($C31="Goal",LG$8&gt;=$G31,LG$8&lt;=$G31+$H31-1),2,IF(AND($C31="Milestone",LG$8&gt;=$G31,LG$8&lt;=$G31+$H31-1),1,""))</f>
        <v/>
      </c>
      <c r="LH31" s="69" t="str">
        <f ca="1">IF(AND($C31="Goal",LH$8&gt;=$G31,LH$8&lt;=$G31+$H31-1),2,IF(AND($C31="Milestone",LH$8&gt;=$G31,LH$8&lt;=$G31+$H31-1),1,""))</f>
        <v/>
      </c>
      <c r="LI31" s="69" t="str">
        <f ca="1">IF(AND($C31="Goal",LI$8&gt;=$G31,LI$8&lt;=$G31+$H31-1),2,IF(AND($C31="Milestone",LI$8&gt;=$G31,LI$8&lt;=$G31+$H31-1),1,""))</f>
        <v/>
      </c>
      <c r="LJ31" s="69" t="str">
        <f ca="1">IF(AND($C31="Goal",LJ$8&gt;=$G31,LJ$8&lt;=$G31+$H31-1),2,IF(AND($C31="Milestone",LJ$8&gt;=$G31,LJ$8&lt;=$G31+$H31-1),1,""))</f>
        <v/>
      </c>
      <c r="LK31" s="69" t="str">
        <f ca="1">IF(AND($C31="Goal",LK$8&gt;=$G31,LK$8&lt;=$G31+$H31-1),2,IF(AND($C31="Milestone",LK$8&gt;=$G31,LK$8&lt;=$G31+$H31-1),1,""))</f>
        <v/>
      </c>
      <c r="LL31" s="69" t="str">
        <f ca="1">IF(AND($C31="Goal",LL$8&gt;=$G31,LL$8&lt;=$G31+$H31-1),2,IF(AND($C31="Milestone",LL$8&gt;=$G31,LL$8&lt;=$G31+$H31-1),1,""))</f>
        <v/>
      </c>
      <c r="LM31" s="69" t="str">
        <f ca="1">IF(AND($C31="Goal",LM$8&gt;=$G31,LM$8&lt;=$G31+$H31-1),2,IF(AND($C31="Milestone",LM$8&gt;=$G31,LM$8&lt;=$G31+$H31-1),1,""))</f>
        <v/>
      </c>
      <c r="LN31" s="69" t="str">
        <f ca="1">IF(AND($C31="Goal",LN$8&gt;=$G31,LN$8&lt;=$G31+$H31-1),2,IF(AND($C31="Milestone",LN$8&gt;=$G31,LN$8&lt;=$G31+$H31-1),1,""))</f>
        <v/>
      </c>
      <c r="LO31" s="69" t="str">
        <f ca="1">IF(AND($C31="Goal",LO$8&gt;=$G31,LO$8&lt;=$G31+$H31-1),2,IF(AND($C31="Milestone",LO$8&gt;=$G31,LO$8&lt;=$G31+$H31-1),1,""))</f>
        <v/>
      </c>
      <c r="LP31" s="69" t="str">
        <f ca="1">IF(AND($C31="Goal",LP$8&gt;=$G31,LP$8&lt;=$G31+$H31-1),2,IF(AND($C31="Milestone",LP$8&gt;=$G31,LP$8&lt;=$G31+$H31-1),1,""))</f>
        <v/>
      </c>
      <c r="LQ31" s="69" t="str">
        <f ca="1">IF(AND($C31="Goal",LQ$8&gt;=$G31,LQ$8&lt;=$G31+$H31-1),2,IF(AND($C31="Milestone",LQ$8&gt;=$G31,LQ$8&lt;=$G31+$H31-1),1,""))</f>
        <v/>
      </c>
      <c r="LR31" s="69" t="str">
        <f ca="1">IF(AND($C31="Goal",LR$8&gt;=$G31,LR$8&lt;=$G31+$H31-1),2,IF(AND($C31="Milestone",LR$8&gt;=$G31,LR$8&lt;=$G31+$H31-1),1,""))</f>
        <v/>
      </c>
      <c r="LS31" s="69" t="str">
        <f ca="1">IF(AND($C31="Goal",LS$8&gt;=$G31,LS$8&lt;=$G31+$H31-1),2,IF(AND($C31="Milestone",LS$8&gt;=$G31,LS$8&lt;=$G31+$H31-1),1,""))</f>
        <v/>
      </c>
      <c r="LT31" s="69" t="str">
        <f ca="1">IF(AND($C31="Goal",LT$8&gt;=$G31,LT$8&lt;=$G31+$H31-1),2,IF(AND($C31="Milestone",LT$8&gt;=$G31,LT$8&lt;=$G31+$H31-1),1,""))</f>
        <v/>
      </c>
      <c r="LU31" s="69" t="str">
        <f ca="1">IF(AND($C31="Goal",LU$8&gt;=$G31,LU$8&lt;=$G31+$H31-1),2,IF(AND($C31="Milestone",LU$8&gt;=$G31,LU$8&lt;=$G31+$H31-1),1,""))</f>
        <v/>
      </c>
      <c r="LV31" s="69" t="str">
        <f ca="1">IF(AND($C31="Goal",LV$8&gt;=$G31,LV$8&lt;=$G31+$H31-1),2,IF(AND($C31="Milestone",LV$8&gt;=$G31,LV$8&lt;=$G31+$H31-1),1,""))</f>
        <v/>
      </c>
      <c r="LW31" s="69" t="str">
        <f ca="1">IF(AND($C31="Goal",LW$8&gt;=$G31,LW$8&lt;=$G31+$H31-1),2,IF(AND($C31="Milestone",LW$8&gt;=$G31,LW$8&lt;=$G31+$H31-1),1,""))</f>
        <v/>
      </c>
      <c r="LX31" s="69" t="str">
        <f ca="1">IF(AND($C31="Goal",LX$8&gt;=$G31,LX$8&lt;=$G31+$H31-1),2,IF(AND($C31="Milestone",LX$8&gt;=$G31,LX$8&lt;=$G31+$H31-1),1,""))</f>
        <v/>
      </c>
    </row>
    <row r="32" spans="1:336" s="1" customFormat="1" ht="25.25" customHeight="1" x14ac:dyDescent="0.25">
      <c r="A32" s="6"/>
      <c r="B32" s="47" t="s">
        <v>33</v>
      </c>
      <c r="C32" s="58"/>
      <c r="D32" s="58" t="str">
        <f ca="1">IF(G32="","",
IF(G32+Milestones4352[[#This Row],[Days]]="","",
IF(OR(F32=1,F32=100%),"Complete",
CHOOSE(
  1
  + --(((1-IF(F32&gt;1,F32/100,F32))*POWER(2.718281828,(60-MAX(0,G32+Milestones4352[[#This Row],[Days]]-TODAY()))/12))&gt;=0.6)
  + --(((1-IF(F32&gt;1,F32/100,F32))*POWER(2.718281828,(60-MAX(0,G32+Milestones4352[[#This Row],[Days]]-TODAY()))/12))&gt;=1.2)
  + --(((1-IF(F32&gt;1,F32/100,F32))*POWER(2.718281828,(60-MAX(0,G32+Milestones4352[[#This Row],[Days]]-TODAY()))/12))&gt;=2),
  "On track","Low risk","Medium risk","High risk"
))))</f>
        <v>On track</v>
      </c>
      <c r="E32" s="58"/>
      <c r="F32" s="56">
        <v>0</v>
      </c>
      <c r="G32" s="70">
        <f t="shared" si="211"/>
        <v>46085</v>
      </c>
      <c r="H32" s="57">
        <v>7</v>
      </c>
      <c r="I32" s="57">
        <f t="shared" si="207"/>
        <v>6</v>
      </c>
      <c r="J32" s="12">
        <f ca="1">IF(OR(Milestones4352[[#This Row],[Start]]="",Milestones4352[[#This Row],[Days]]=""),"",(Milestones4352[[#This Row],[Start]]+Milestones4352[[#This Row],[Days]])-TODAY())</f>
        <v>143</v>
      </c>
      <c r="K32" s="9"/>
      <c r="L32" s="69" t="str">
        <f ca="1">IF(AND($C32="Goal",L$8&gt;=$G32,L$8&lt;=$G32+$H32-1),2,IF(AND($C32="Milestone",L$8&gt;=$G32,L$8&lt;=$G32+$H32-1),1,""))</f>
        <v/>
      </c>
      <c r="M32" s="69" t="str">
        <f ca="1">IF(AND($C32="Goal",M$8&gt;=$G32,M$8&lt;=$G32+$H32-1),2,IF(AND($C32="Milestone",M$8&gt;=$G32,M$8&lt;=$G32+$H32-1),1,""))</f>
        <v/>
      </c>
      <c r="N32" s="69" t="str">
        <f ca="1">IF(AND($C32="Goal",N$8&gt;=$G32,N$8&lt;=$G32+$H32-1),2,IF(AND($C32="Milestone",N$8&gt;=$G32,N$8&lt;=$G32+$H32-1),1,""))</f>
        <v/>
      </c>
      <c r="O32" s="69" t="str">
        <f ca="1">IF(AND($C32="Goal",O$8&gt;=$G32,O$8&lt;=$G32+$H32-1),2,IF(AND($C32="Milestone",O$8&gt;=$G32,O$8&lt;=$G32+$H32-1),1,""))</f>
        <v/>
      </c>
      <c r="P32" s="69" t="str">
        <f ca="1">IF(AND($C32="Goal",P$8&gt;=$G32,P$8&lt;=$G32+$H32-1),2,IF(AND($C32="Milestone",P$8&gt;=$G32,P$8&lt;=$G32+$H32-1),1,""))</f>
        <v/>
      </c>
      <c r="Q32" s="69" t="str">
        <f ca="1">IF(AND($C32="Goal",Q$8&gt;=$G32,Q$8&lt;=$G32+$H32-1),2,IF(AND($C32="Milestone",Q$8&gt;=$G32,Q$8&lt;=$G32+$H32-1),1,""))</f>
        <v/>
      </c>
      <c r="R32" s="69" t="str">
        <f ca="1">IF(AND($C32="Goal",R$8&gt;=$G32,R$8&lt;=$G32+$H32-1),2,IF(AND($C32="Milestone",R$8&gt;=$G32,R$8&lt;=$G32+$H32-1),1,""))</f>
        <v/>
      </c>
      <c r="S32" s="69" t="str">
        <f ca="1">IF(AND($C32="Goal",S$8&gt;=$G32,S$8&lt;=$G32+$H32-1),2,IF(AND($C32="Milestone",S$8&gt;=$G32,S$8&lt;=$G32+$H32-1),1,""))</f>
        <v/>
      </c>
      <c r="T32" s="69" t="str">
        <f ca="1">IF(AND($C32="Goal",T$8&gt;=$G32,T$8&lt;=$G32+$H32-1),2,IF(AND($C32="Milestone",T$8&gt;=$G32,T$8&lt;=$G32+$H32-1),1,""))</f>
        <v/>
      </c>
      <c r="U32" s="69" t="str">
        <f ca="1">IF(AND($C32="Goal",U$8&gt;=$G32,U$8&lt;=$G32+$H32-1),2,IF(AND($C32="Milestone",U$8&gt;=$G32,U$8&lt;=$G32+$H32-1),1,""))</f>
        <v/>
      </c>
      <c r="V32" s="69" t="str">
        <f ca="1">IF(AND($C32="Goal",V$8&gt;=$G32,V$8&lt;=$G32+$H32-1),2,IF(AND($C32="Milestone",V$8&gt;=$G32,V$8&lt;=$G32+$H32-1),1,""))</f>
        <v/>
      </c>
      <c r="W32" s="69" t="str">
        <f ca="1">IF(AND($C32="Goal",W$8&gt;=$G32,W$8&lt;=$G32+$H32-1),2,IF(AND($C32="Milestone",W$8&gt;=$G32,W$8&lt;=$G32+$H32-1),1,""))</f>
        <v/>
      </c>
      <c r="X32" s="69" t="str">
        <f ca="1">IF(AND($C32="Goal",X$8&gt;=$G32,X$8&lt;=$G32+$H32-1),2,IF(AND($C32="Milestone",X$8&gt;=$G32,X$8&lt;=$G32+$H32-1),1,""))</f>
        <v/>
      </c>
      <c r="Y32" s="69" t="str">
        <f ca="1">IF(AND($C32="Goal",Y$8&gt;=$G32,Y$8&lt;=$G32+$H32-1),2,IF(AND($C32="Milestone",Y$8&gt;=$G32,Y$8&lt;=$G32+$H32-1),1,""))</f>
        <v/>
      </c>
      <c r="Z32" s="69" t="str">
        <f ca="1">IF(AND($C32="Goal",Z$8&gt;=$G32,Z$8&lt;=$G32+$H32-1),2,IF(AND($C32="Milestone",Z$8&gt;=$G32,Z$8&lt;=$G32+$H32-1),1,""))</f>
        <v/>
      </c>
      <c r="AA32" s="69" t="str">
        <f ca="1">IF(AND($C32="Goal",AA$8&gt;=$G32,AA$8&lt;=$G32+$H32-1),2,IF(AND($C32="Milestone",AA$8&gt;=$G32,AA$8&lt;=$G32+$H32-1),1,""))</f>
        <v/>
      </c>
      <c r="AB32" s="69" t="str">
        <f ca="1">IF(AND($C32="Goal",AB$8&gt;=$G32,AB$8&lt;=$G32+$H32-1),2,IF(AND($C32="Milestone",AB$8&gt;=$G32,AB$8&lt;=$G32+$H32-1),1,""))</f>
        <v/>
      </c>
      <c r="AC32" s="69" t="str">
        <f ca="1">IF(AND($C32="Goal",AC$8&gt;=$G32,AC$8&lt;=$G32+$H32-1),2,IF(AND($C32="Milestone",AC$8&gt;=$G32,AC$8&lt;=$G32+$H32-1),1,""))</f>
        <v/>
      </c>
      <c r="AD32" s="69" t="str">
        <f ca="1">IF(AND($C32="Goal",AD$8&gt;=$G32,AD$8&lt;=$G32+$H32-1),2,IF(AND($C32="Milestone",AD$8&gt;=$G32,AD$8&lt;=$G32+$H32-1),1,""))</f>
        <v/>
      </c>
      <c r="AE32" s="69" t="str">
        <f ca="1">IF(AND($C32="Goal",AE$8&gt;=$G32,AE$8&lt;=$G32+$H32-1),2,IF(AND($C32="Milestone",AE$8&gt;=$G32,AE$8&lt;=$G32+$H32-1),1,""))</f>
        <v/>
      </c>
      <c r="AF32" s="69" t="str">
        <f ca="1">IF(AND($C32="Goal",AF$8&gt;=$G32,AF$8&lt;=$G32+$H32-1),2,IF(AND($C32="Milestone",AF$8&gt;=$G32,AF$8&lt;=$G32+$H32-1),1,""))</f>
        <v/>
      </c>
      <c r="AG32" s="69" t="str">
        <f ca="1">IF(AND($C32="Goal",AG$8&gt;=$G32,AG$8&lt;=$G32+$H32-1),2,IF(AND($C32="Milestone",AG$8&gt;=$G32,AG$8&lt;=$G32+$H32-1),1,""))</f>
        <v/>
      </c>
      <c r="AH32" s="69" t="str">
        <f ca="1">IF(AND($C32="Goal",AH$8&gt;=$G32,AH$8&lt;=$G32+$H32-1),2,IF(AND($C32="Milestone",AH$8&gt;=$G32,AH$8&lt;=$G32+$H32-1),1,""))</f>
        <v/>
      </c>
      <c r="AI32" s="69" t="str">
        <f ca="1">IF(AND($C32="Goal",AI$8&gt;=$G32,AI$8&lt;=$G32+$H32-1),2,IF(AND($C32="Milestone",AI$8&gt;=$G32,AI$8&lt;=$G32+$H32-1),1,""))</f>
        <v/>
      </c>
      <c r="AJ32" s="69" t="str">
        <f ca="1">IF(AND($C32="Goal",AJ$8&gt;=$G32,AJ$8&lt;=$G32+$H32-1),2,IF(AND($C32="Milestone",AJ$8&gt;=$G32,AJ$8&lt;=$G32+$H32-1),1,""))</f>
        <v/>
      </c>
      <c r="AK32" s="69" t="str">
        <f ca="1">IF(AND($C32="Goal",AK$8&gt;=$G32,AK$8&lt;=$G32+$H32-1),2,IF(AND($C32="Milestone",AK$8&gt;=$G32,AK$8&lt;=$G32+$H32-1),1,""))</f>
        <v/>
      </c>
      <c r="AL32" s="69" t="str">
        <f ca="1">IF(AND($C32="Goal",AL$8&gt;=$G32,AL$8&lt;=$G32+$H32-1),2,IF(AND($C32="Milestone",AL$8&gt;=$G32,AL$8&lt;=$G32+$H32-1),1,""))</f>
        <v/>
      </c>
      <c r="AM32" s="69" t="str">
        <f ca="1">IF(AND($C32="Goal",AM$8&gt;=$G32,AM$8&lt;=$G32+$H32-1),2,IF(AND($C32="Milestone",AM$8&gt;=$G32,AM$8&lt;=$G32+$H32-1),1,""))</f>
        <v/>
      </c>
      <c r="AN32" s="69" t="str">
        <f ca="1">IF(AND($C32="Goal",AN$8&gt;=$G32,AN$8&lt;=$G32+$H32-1),2,IF(AND($C32="Milestone",AN$8&gt;=$G32,AN$8&lt;=$G32+$H32-1),1,""))</f>
        <v/>
      </c>
      <c r="AO32" s="69" t="str">
        <f ca="1">IF(AND($C32="Goal",AO$8&gt;=$G32,AO$8&lt;=$G32+$H32-1),2,IF(AND($C32="Milestone",AO$8&gt;=$G32,AO$8&lt;=$G32+$H32-1),1,""))</f>
        <v/>
      </c>
      <c r="AP32" s="69" t="str">
        <f ca="1">IF(AND($C32="Goal",AP$8&gt;=$G32,AP$8&lt;=$G32+$H32-1),2,IF(AND($C32="Milestone",AP$8&gt;=$G32,AP$8&lt;=$G32+$H32-1),1,""))</f>
        <v/>
      </c>
      <c r="AQ32" s="69" t="str">
        <f ca="1">IF(AND($C32="Goal",AQ$8&gt;=$G32,AQ$8&lt;=$G32+$H32-1),2,IF(AND($C32="Milestone",AQ$8&gt;=$G32,AQ$8&lt;=$G32+$H32-1),1,""))</f>
        <v/>
      </c>
      <c r="AR32" s="69" t="str">
        <f ca="1">IF(AND($C32="Goal",AR$8&gt;=$G32,AR$8&lt;=$G32+$H32-1),2,IF(AND($C32="Milestone",AR$8&gt;=$G32,AR$8&lt;=$G32+$H32-1),1,""))</f>
        <v/>
      </c>
      <c r="AS32" s="69" t="str">
        <f ca="1">IF(AND($C32="Goal",AS$8&gt;=$G32,AS$8&lt;=$G32+$H32-1),2,IF(AND($C32="Milestone",AS$8&gt;=$G32,AS$8&lt;=$G32+$H32-1),1,""))</f>
        <v/>
      </c>
      <c r="AT32" s="69" t="str">
        <f ca="1">IF(AND($C32="Goal",AT$8&gt;=$G32,AT$8&lt;=$G32+$H32-1),2,IF(AND($C32="Milestone",AT$8&gt;=$G32,AT$8&lt;=$G32+$H32-1),1,""))</f>
        <v/>
      </c>
      <c r="AU32" s="69" t="str">
        <f ca="1">IF(AND($C32="Goal",AU$8&gt;=$G32,AU$8&lt;=$G32+$H32-1),2,IF(AND($C32="Milestone",AU$8&gt;=$G32,AU$8&lt;=$G32+$H32-1),1,""))</f>
        <v/>
      </c>
      <c r="AV32" s="69" t="str">
        <f ca="1">IF(AND($C32="Goal",AV$8&gt;=$G32,AV$8&lt;=$G32+$H32-1),2,IF(AND($C32="Milestone",AV$8&gt;=$G32,AV$8&lt;=$G32+$H32-1),1,""))</f>
        <v/>
      </c>
      <c r="AW32" s="69" t="str">
        <f ca="1">IF(AND($C32="Goal",AW$8&gt;=$G32,AW$8&lt;=$G32+$H32-1),2,IF(AND($C32="Milestone",AW$8&gt;=$G32,AW$8&lt;=$G32+$H32-1),1,""))</f>
        <v/>
      </c>
      <c r="AX32" s="69" t="str">
        <f ca="1">IF(AND($C32="Goal",AX$8&gt;=$G32,AX$8&lt;=$G32+$H32-1),2,IF(AND($C32="Milestone",AX$8&gt;=$G32,AX$8&lt;=$G32+$H32-1),1,""))</f>
        <v/>
      </c>
      <c r="AY32" s="69" t="str">
        <f ca="1">IF(AND($C32="Goal",AY$8&gt;=$G32,AY$8&lt;=$G32+$H32-1),2,IF(AND($C32="Milestone",AY$8&gt;=$G32,AY$8&lt;=$G32+$H32-1),1,""))</f>
        <v/>
      </c>
      <c r="AZ32" s="69" t="str">
        <f ca="1">IF(AND($C32="Goal",AZ$8&gt;=$G32,AZ$8&lt;=$G32+$H32-1),2,IF(AND($C32="Milestone",AZ$8&gt;=$G32,AZ$8&lt;=$G32+$H32-1),1,""))</f>
        <v/>
      </c>
      <c r="BA32" s="69" t="str">
        <f ca="1">IF(AND($C32="Goal",BA$8&gt;=$G32,BA$8&lt;=$G32+$H32-1),2,IF(AND($C32="Milestone",BA$8&gt;=$G32,BA$8&lt;=$G32+$H32-1),1,""))</f>
        <v/>
      </c>
      <c r="BB32" s="69" t="str">
        <f ca="1">IF(AND($C32="Goal",BB$8&gt;=$G32,BB$8&lt;=$G32+$H32-1),2,IF(AND($C32="Milestone",BB$8&gt;=$G32,BB$8&lt;=$G32+$H32-1),1,""))</f>
        <v/>
      </c>
      <c r="BC32" s="69" t="str">
        <f ca="1">IF(AND($C32="Goal",BC$8&gt;=$G32,BC$8&lt;=$G32+$H32-1),2,IF(AND($C32="Milestone",BC$8&gt;=$G32,BC$8&lt;=$G32+$H32-1),1,""))</f>
        <v/>
      </c>
      <c r="BD32" s="69" t="str">
        <f ca="1">IF(AND($C32="Goal",BD$8&gt;=$G32,BD$8&lt;=$G32+$H32-1),2,IF(AND($C32="Milestone",BD$8&gt;=$G32,BD$8&lt;=$G32+$H32-1),1,""))</f>
        <v/>
      </c>
      <c r="BE32" s="69" t="str">
        <f ca="1">IF(AND($C32="Goal",BE$8&gt;=$G32,BE$8&lt;=$G32+$H32-1),2,IF(AND($C32="Milestone",BE$8&gt;=$G32,BE$8&lt;=$G32+$H32-1),1,""))</f>
        <v/>
      </c>
      <c r="BF32" s="69" t="str">
        <f ca="1">IF(AND($C32="Goal",BF$8&gt;=$G32,BF$8&lt;=$G32+$H32-1),2,IF(AND($C32="Milestone",BF$8&gt;=$G32,BF$8&lt;=$G32+$H32-1),1,""))</f>
        <v/>
      </c>
      <c r="BG32" s="69" t="str">
        <f ca="1">IF(AND($C32="Goal",BG$8&gt;=$G32,BG$8&lt;=$G32+$H32-1),2,IF(AND($C32="Milestone",BG$8&gt;=$G32,BG$8&lt;=$G32+$H32-1),1,""))</f>
        <v/>
      </c>
      <c r="BH32" s="69" t="str">
        <f ca="1">IF(AND($C32="Goal",BH$8&gt;=$G32,BH$8&lt;=$G32+$H32-1),2,IF(AND($C32="Milestone",BH$8&gt;=$G32,BH$8&lt;=$G32+$H32-1),1,""))</f>
        <v/>
      </c>
      <c r="BI32" s="69" t="str">
        <f ca="1">IF(AND($C32="Goal",BI$8&gt;=$G32,BI$8&lt;=$G32+$H32-1),2,IF(AND($C32="Milestone",BI$8&gt;=$G32,BI$8&lt;=$G32+$H32-1),1,""))</f>
        <v/>
      </c>
      <c r="BJ32" s="69" t="str">
        <f ca="1">IF(AND($C32="Goal",BJ$8&gt;=$G32,BJ$8&lt;=$G32+$H32-1),2,IF(AND($C32="Milestone",BJ$8&gt;=$G32,BJ$8&lt;=$G32+$H32-1),1,""))</f>
        <v/>
      </c>
      <c r="BK32" s="69" t="str">
        <f ca="1">IF(AND($C32="Goal",BK$8&gt;=$G32,BK$8&lt;=$G32+$H32-1),2,IF(AND($C32="Milestone",BK$8&gt;=$G32,BK$8&lt;=$G32+$H32-1),1,""))</f>
        <v/>
      </c>
      <c r="BL32" s="69" t="str">
        <f ca="1">IF(AND($C32="Goal",BL$8&gt;=$G32,BL$8&lt;=$G32+$H32-1),2,IF(AND($C32="Milestone",BL$8&gt;=$G32,BL$8&lt;=$G32+$H32-1),1,""))</f>
        <v/>
      </c>
      <c r="BM32" s="69" t="str">
        <f ca="1">IF(AND($C32="Goal",BM$8&gt;=$G32,BM$8&lt;=$G32+$H32-1),2,IF(AND($C32="Milestone",BM$8&gt;=$G32,BM$8&lt;=$G32+$H32-1),1,""))</f>
        <v/>
      </c>
      <c r="BN32" s="69" t="str">
        <f ca="1">IF(AND($C32="Goal",BN$8&gt;=$G32,BN$8&lt;=$G32+$H32-1),2,IF(AND($C32="Milestone",BN$8&gt;=$G32,BN$8&lt;=$G32+$H32-1),1,""))</f>
        <v/>
      </c>
      <c r="BO32" s="69" t="str">
        <f ca="1">IF(AND($C32="Goal",BO$8&gt;=$G32,BO$8&lt;=$G32+$H32-1),2,IF(AND($C32="Milestone",BO$8&gt;=$G32,BO$8&lt;=$G32+$H32-1),1,""))</f>
        <v/>
      </c>
      <c r="BP32" s="69" t="str">
        <f ca="1">IF(AND($C32="Goal",BP$8&gt;=$G32,BP$8&lt;=$G32+$H32-1),2,IF(AND($C32="Milestone",BP$8&gt;=$G32,BP$8&lt;=$G32+$H32-1),1,""))</f>
        <v/>
      </c>
      <c r="BQ32" s="69" t="str">
        <f ca="1">IF(AND($C32="Goal",BQ$8&gt;=$G32,BQ$8&lt;=$G32+$H32-1),2,IF(AND($C32="Milestone",BQ$8&gt;=$G32,BQ$8&lt;=$G32+$H32-1),1,""))</f>
        <v/>
      </c>
      <c r="BR32" s="69" t="str">
        <f ca="1">IF(AND($C32="Goal",BR$8&gt;=$G32,BR$8&lt;=$G32+$H32-1),2,IF(AND($C32="Milestone",BR$8&gt;=$G32,BR$8&lt;=$G32+$H32-1),1,""))</f>
        <v/>
      </c>
      <c r="BS32" s="69" t="str">
        <f ca="1">IF(AND($C32="Goal",BS$8&gt;=$G32,BS$8&lt;=$G32+$H32-1),2,IF(AND($C32="Milestone",BS$8&gt;=$G32,BS$8&lt;=$G32+$H32-1),1,""))</f>
        <v/>
      </c>
      <c r="BT32" s="69" t="str">
        <f ca="1">IF(AND($C32="Goal",BT$8&gt;=$G32,BT$8&lt;=$G32+$H32-1),2,IF(AND($C32="Milestone",BT$8&gt;=$G32,BT$8&lt;=$G32+$H32-1),1,""))</f>
        <v/>
      </c>
      <c r="BU32" s="69" t="str">
        <f ca="1">IF(AND($C32="Goal",BU$8&gt;=$G32,BU$8&lt;=$G32+$H32-1),2,IF(AND($C32="Milestone",BU$8&gt;=$G32,BU$8&lt;=$G32+$H32-1),1,""))</f>
        <v/>
      </c>
      <c r="BV32" s="69" t="str">
        <f ca="1">IF(AND($C32="Goal",BV$8&gt;=$G32,BV$8&lt;=$G32+$H32-1),2,IF(AND($C32="Milestone",BV$8&gt;=$G32,BV$8&lt;=$G32+$H32-1),1,""))</f>
        <v/>
      </c>
      <c r="BW32" s="69" t="str">
        <f ca="1">IF(AND($C32="Goal",BW$8&gt;=$G32,BW$8&lt;=$G32+$H32-1),2,IF(AND($C32="Milestone",BW$8&gt;=$G32,BW$8&lt;=$G32+$H32-1),1,""))</f>
        <v/>
      </c>
      <c r="BX32" s="69" t="str">
        <f ca="1">IF(AND($C32="Goal",BX$8&gt;=$G32,BX$8&lt;=$G32+$H32-1),2,IF(AND($C32="Milestone",BX$8&gt;=$G32,BX$8&lt;=$G32+$H32-1),1,""))</f>
        <v/>
      </c>
      <c r="BY32" s="69" t="str">
        <f ca="1">IF(AND($C32="Goal",BY$8&gt;=$G32,BY$8&lt;=$G32+$H32-1),2,IF(AND($C32="Milestone",BY$8&gt;=$G32,BY$8&lt;=$G32+$H32-1),1,""))</f>
        <v/>
      </c>
      <c r="BZ32" s="69" t="str">
        <f ca="1">IF(AND($C32="Goal",BZ$8&gt;=$G32,BZ$8&lt;=$G32+$H32-1),2,IF(AND($C32="Milestone",BZ$8&gt;=$G32,BZ$8&lt;=$G32+$H32-1),1,""))</f>
        <v/>
      </c>
      <c r="CA32" s="69" t="str">
        <f ca="1">IF(AND($C32="Goal",CA$8&gt;=$G32,CA$8&lt;=$G32+$H32-1),2,IF(AND($C32="Milestone",CA$8&gt;=$G32,CA$8&lt;=$G32+$H32-1),1,""))</f>
        <v/>
      </c>
      <c r="CB32" s="69" t="str">
        <f ca="1">IF(AND($C32="Goal",CB$8&gt;=$G32,CB$8&lt;=$G32+$H32-1),2,IF(AND($C32="Milestone",CB$8&gt;=$G32,CB$8&lt;=$G32+$H32-1),1,""))</f>
        <v/>
      </c>
      <c r="CC32" s="69" t="str">
        <f ca="1">IF(AND($C32="Goal",CC$8&gt;=$G32,CC$8&lt;=$G32+$H32-1),2,IF(AND($C32="Milestone",CC$8&gt;=$G32,CC$8&lt;=$G32+$H32-1),1,""))</f>
        <v/>
      </c>
      <c r="CD32" s="69" t="str">
        <f ca="1">IF(AND($C32="Goal",CD$8&gt;=$G32,CD$8&lt;=$G32+$H32-1),2,IF(AND($C32="Milestone",CD$8&gt;=$G32,CD$8&lt;=$G32+$H32-1),1,""))</f>
        <v/>
      </c>
      <c r="CE32" s="69" t="str">
        <f ca="1">IF(AND($C32="Goal",CE$8&gt;=$G32,CE$8&lt;=$G32+$H32-1),2,IF(AND($C32="Milestone",CE$8&gt;=$G32,CE$8&lt;=$G32+$H32-1),1,""))</f>
        <v/>
      </c>
      <c r="CF32" s="69" t="str">
        <f ca="1">IF(AND($C32="Goal",CF$8&gt;=$G32,CF$8&lt;=$G32+$H32-1),2,IF(AND($C32="Milestone",CF$8&gt;=$G32,CF$8&lt;=$G32+$H32-1),1,""))</f>
        <v/>
      </c>
      <c r="CG32" s="69" t="str">
        <f ca="1">IF(AND($C32="Goal",CG$8&gt;=$G32,CG$8&lt;=$G32+$H32-1),2,IF(AND($C32="Milestone",CG$8&gt;=$G32,CG$8&lt;=$G32+$H32-1),1,""))</f>
        <v/>
      </c>
      <c r="CH32" s="69" t="str">
        <f ca="1">IF(AND($C32="Goal",CH$8&gt;=$G32,CH$8&lt;=$G32+$H32-1),2,IF(AND($C32="Milestone",CH$8&gt;=$G32,CH$8&lt;=$G32+$H32-1),1,""))</f>
        <v/>
      </c>
      <c r="CI32" s="69" t="str">
        <f ca="1">IF(AND($C32="Goal",CI$8&gt;=$G32,CI$8&lt;=$G32+$H32-1),2,IF(AND($C32="Milestone",CI$8&gt;=$G32,CI$8&lt;=$G32+$H32-1),1,""))</f>
        <v/>
      </c>
      <c r="CJ32" s="69" t="str">
        <f ca="1">IF(AND($C32="Goal",CJ$8&gt;=$G32,CJ$8&lt;=$G32+$H32-1),2,IF(AND($C32="Milestone",CJ$8&gt;=$G32,CJ$8&lt;=$G32+$H32-1),1,""))</f>
        <v/>
      </c>
      <c r="CK32" s="69" t="str">
        <f ca="1">IF(AND($C32="Goal",CK$8&gt;=$G32,CK$8&lt;=$G32+$H32-1),2,IF(AND($C32="Milestone",CK$8&gt;=$G32,CK$8&lt;=$G32+$H32-1),1,""))</f>
        <v/>
      </c>
      <c r="CL32" s="69" t="str">
        <f ca="1">IF(AND($C32="Goal",CL$8&gt;=$G32,CL$8&lt;=$G32+$H32-1),2,IF(AND($C32="Milestone",CL$8&gt;=$G32,CL$8&lt;=$G32+$H32-1),1,""))</f>
        <v/>
      </c>
      <c r="CM32" s="69" t="str">
        <f ca="1">IF(AND($C32="Goal",CM$8&gt;=$G32,CM$8&lt;=$G32+$H32-1),2,IF(AND($C32="Milestone",CM$8&gt;=$G32,CM$8&lt;=$G32+$H32-1),1,""))</f>
        <v/>
      </c>
      <c r="CN32" s="69" t="str">
        <f ca="1">IF(AND($C32="Goal",CN$8&gt;=$G32,CN$8&lt;=$G32+$H32-1),2,IF(AND($C32="Milestone",CN$8&gt;=$G32,CN$8&lt;=$G32+$H32-1),1,""))</f>
        <v/>
      </c>
      <c r="CO32" s="69" t="str">
        <f ca="1">IF(AND($C32="Goal",CO$8&gt;=$G32,CO$8&lt;=$G32+$H32-1),2,IF(AND($C32="Milestone",CO$8&gt;=$G32,CO$8&lt;=$G32+$H32-1),1,""))</f>
        <v/>
      </c>
      <c r="CP32" s="69" t="str">
        <f ca="1">IF(AND($C32="Goal",CP$8&gt;=$G32,CP$8&lt;=$G32+$H32-1),2,IF(AND($C32="Milestone",CP$8&gt;=$G32,CP$8&lt;=$G32+$H32-1),1,""))</f>
        <v/>
      </c>
      <c r="CQ32" s="69" t="str">
        <f ca="1">IF(AND($C32="Goal",CQ$8&gt;=$G32,CQ$8&lt;=$G32+$H32-1),2,IF(AND($C32="Milestone",CQ$8&gt;=$G32,CQ$8&lt;=$G32+$H32-1),1,""))</f>
        <v/>
      </c>
      <c r="CR32" s="69" t="str">
        <f ca="1">IF(AND($C32="Goal",CR$8&gt;=$G32,CR$8&lt;=$G32+$H32-1),2,IF(AND($C32="Milestone",CR$8&gt;=$G32,CR$8&lt;=$G32+$H32-1),1,""))</f>
        <v/>
      </c>
      <c r="CS32" s="69" t="str">
        <f ca="1">IF(AND($C32="Goal",CS$8&gt;=$G32,CS$8&lt;=$G32+$H32-1),2,IF(AND($C32="Milestone",CS$8&gt;=$G32,CS$8&lt;=$G32+$H32-1),1,""))</f>
        <v/>
      </c>
      <c r="CT32" s="69" t="str">
        <f ca="1">IF(AND($C32="Goal",CT$8&gt;=$G32,CT$8&lt;=$G32+$H32-1),2,IF(AND($C32="Milestone",CT$8&gt;=$G32,CT$8&lt;=$G32+$H32-1),1,""))</f>
        <v/>
      </c>
      <c r="CU32" s="69" t="str">
        <f ca="1">IF(AND($C32="Goal",CU$8&gt;=$G32,CU$8&lt;=$G32+$H32-1),2,IF(AND($C32="Milestone",CU$8&gt;=$G32,CU$8&lt;=$G32+$H32-1),1,""))</f>
        <v/>
      </c>
      <c r="CV32" s="69" t="str">
        <f ca="1">IF(AND($C32="Goal",CV$8&gt;=$G32,CV$8&lt;=$G32+$H32-1),2,IF(AND($C32="Milestone",CV$8&gt;=$G32,CV$8&lt;=$G32+$H32-1),1,""))</f>
        <v/>
      </c>
      <c r="CW32" s="69" t="str">
        <f ca="1">IF(AND($C32="Goal",CW$8&gt;=$G32,CW$8&lt;=$G32+$H32-1),2,IF(AND($C32="Milestone",CW$8&gt;=$G32,CW$8&lt;=$G32+$H32-1),1,""))</f>
        <v/>
      </c>
      <c r="CX32" s="69" t="str">
        <f ca="1">IF(AND($C32="Goal",CX$8&gt;=$G32,CX$8&lt;=$G32+$H32-1),2,IF(AND($C32="Milestone",CX$8&gt;=$G32,CX$8&lt;=$G32+$H32-1),1,""))</f>
        <v/>
      </c>
      <c r="CY32" s="69" t="str">
        <f ca="1">IF(AND($C32="Goal",CY$8&gt;=$G32,CY$8&lt;=$G32+$H32-1),2,IF(AND($C32="Milestone",CY$8&gt;=$G32,CY$8&lt;=$G32+$H32-1),1,""))</f>
        <v/>
      </c>
      <c r="CZ32" s="69" t="str">
        <f ca="1">IF(AND($C32="Goal",CZ$8&gt;=$G32,CZ$8&lt;=$G32+$H32-1),2,IF(AND($C32="Milestone",CZ$8&gt;=$G32,CZ$8&lt;=$G32+$H32-1),1,""))</f>
        <v/>
      </c>
      <c r="DA32" s="69" t="str">
        <f ca="1">IF(AND($C32="Goal",DA$8&gt;=$G32,DA$8&lt;=$G32+$H32-1),2,IF(AND($C32="Milestone",DA$8&gt;=$G32,DA$8&lt;=$G32+$H32-1),1,""))</f>
        <v/>
      </c>
      <c r="DB32" s="69" t="str">
        <f ca="1">IF(AND($C32="Goal",DB$8&gt;=$G32,DB$8&lt;=$G32+$H32-1),2,IF(AND($C32="Milestone",DB$8&gt;=$G32,DB$8&lt;=$G32+$H32-1),1,""))</f>
        <v/>
      </c>
      <c r="DC32" s="69" t="str">
        <f ca="1">IF(AND($C32="Goal",DC$8&gt;=$G32,DC$8&lt;=$G32+$H32-1),2,IF(AND($C32="Milestone",DC$8&gt;=$G32,DC$8&lt;=$G32+$H32-1),1,""))</f>
        <v/>
      </c>
      <c r="DD32" s="69" t="str">
        <f ca="1">IF(AND($C32="Goal",DD$8&gt;=$G32,DD$8&lt;=$G32+$H32-1),2,IF(AND($C32="Milestone",DD$8&gt;=$G32,DD$8&lt;=$G32+$H32-1),1,""))</f>
        <v/>
      </c>
      <c r="DE32" s="69" t="str">
        <f ca="1">IF(AND($C32="Goal",DE$8&gt;=$G32,DE$8&lt;=$G32+$H32-1),2,IF(AND($C32="Milestone",DE$8&gt;=$G32,DE$8&lt;=$G32+$H32-1),1,""))</f>
        <v/>
      </c>
      <c r="DF32" s="69" t="str">
        <f ca="1">IF(AND($C32="Goal",DF$8&gt;=$G32,DF$8&lt;=$G32+$H32-1),2,IF(AND($C32="Milestone",DF$8&gt;=$G32,DF$8&lt;=$G32+$H32-1),1,""))</f>
        <v/>
      </c>
      <c r="DG32" s="69" t="str">
        <f ca="1">IF(AND($C32="Goal",DG$8&gt;=$G32,DG$8&lt;=$G32+$H32-1),2,IF(AND($C32="Milestone",DG$8&gt;=$G32,DG$8&lt;=$G32+$H32-1),1,""))</f>
        <v/>
      </c>
      <c r="DH32" s="69" t="str">
        <f ca="1">IF(AND($C32="Goal",DH$8&gt;=$G32,DH$8&lt;=$G32+$H32-1),2,IF(AND($C32="Milestone",DH$8&gt;=$G32,DH$8&lt;=$G32+$H32-1),1,""))</f>
        <v/>
      </c>
      <c r="DI32" s="69" t="str">
        <f ca="1">IF(AND($C32="Goal",DI$8&gt;=$G32,DI$8&lt;=$G32+$H32-1),2,IF(AND($C32="Milestone",DI$8&gt;=$G32,DI$8&lt;=$G32+$H32-1),1,""))</f>
        <v/>
      </c>
      <c r="DJ32" s="69" t="str">
        <f ca="1">IF(AND($C32="Goal",DJ$8&gt;=$G32,DJ$8&lt;=$G32+$H32-1),2,IF(AND($C32="Milestone",DJ$8&gt;=$G32,DJ$8&lt;=$G32+$H32-1),1,""))</f>
        <v/>
      </c>
      <c r="DK32" s="69" t="str">
        <f ca="1">IF(AND($C32="Goal",DK$8&gt;=$G32,DK$8&lt;=$G32+$H32-1),2,IF(AND($C32="Milestone",DK$8&gt;=$G32,DK$8&lt;=$G32+$H32-1),1,""))</f>
        <v/>
      </c>
      <c r="DL32" s="69" t="str">
        <f ca="1">IF(AND($C32="Goal",DL$8&gt;=$G32,DL$8&lt;=$G32+$H32-1),2,IF(AND($C32="Milestone",DL$8&gt;=$G32,DL$8&lt;=$G32+$H32-1),1,""))</f>
        <v/>
      </c>
      <c r="DM32" s="69" t="str">
        <f ca="1">IF(AND($C32="Goal",DM$8&gt;=$G32,DM$8&lt;=$G32+$H32-1),2,IF(AND($C32="Milestone",DM$8&gt;=$G32,DM$8&lt;=$G32+$H32-1),1,""))</f>
        <v/>
      </c>
      <c r="DN32" s="69" t="str">
        <f ca="1">IF(AND($C32="Goal",DN$8&gt;=$G32,DN$8&lt;=$G32+$H32-1),2,IF(AND($C32="Milestone",DN$8&gt;=$G32,DN$8&lt;=$G32+$H32-1),1,""))</f>
        <v/>
      </c>
      <c r="DO32" s="69" t="str">
        <f ca="1">IF(AND($C32="Goal",DO$8&gt;=$G32,DO$8&lt;=$G32+$H32-1),2,IF(AND($C32="Milestone",DO$8&gt;=$G32,DO$8&lt;=$G32+$H32-1),1,""))</f>
        <v/>
      </c>
      <c r="DP32" s="69" t="str">
        <f ca="1">IF(AND($C32="Goal",DP$8&gt;=$G32,DP$8&lt;=$G32+$H32-1),2,IF(AND($C32="Milestone",DP$8&gt;=$G32,DP$8&lt;=$G32+$H32-1),1,""))</f>
        <v/>
      </c>
      <c r="DQ32" s="69" t="str">
        <f ca="1">IF(AND($C32="Goal",DQ$8&gt;=$G32,DQ$8&lt;=$G32+$H32-1),2,IF(AND($C32="Milestone",DQ$8&gt;=$G32,DQ$8&lt;=$G32+$H32-1),1,""))</f>
        <v/>
      </c>
      <c r="DR32" s="69" t="str">
        <f ca="1">IF(AND($C32="Goal",DR$8&gt;=$G32,DR$8&lt;=$G32+$H32-1),2,IF(AND($C32="Milestone",DR$8&gt;=$G32,DR$8&lt;=$G32+$H32-1),1,""))</f>
        <v/>
      </c>
      <c r="DS32" s="69" t="str">
        <f ca="1">IF(AND($C32="Goal",DS$8&gt;=$G32,DS$8&lt;=$G32+$H32-1),2,IF(AND($C32="Milestone",DS$8&gt;=$G32,DS$8&lt;=$G32+$H32-1),1,""))</f>
        <v/>
      </c>
      <c r="DT32" s="69" t="str">
        <f ca="1">IF(AND($C32="Goal",DT$8&gt;=$G32,DT$8&lt;=$G32+$H32-1),2,IF(AND($C32="Milestone",DT$8&gt;=$G32,DT$8&lt;=$G32+$H32-1),1,""))</f>
        <v/>
      </c>
      <c r="DU32" s="69" t="str">
        <f ca="1">IF(AND($C32="Goal",DU$8&gt;=$G32,DU$8&lt;=$G32+$H32-1),2,IF(AND($C32="Milestone",DU$8&gt;=$G32,DU$8&lt;=$G32+$H32-1),1,""))</f>
        <v/>
      </c>
      <c r="DV32" s="69" t="str">
        <f ca="1">IF(AND($C32="Goal",DV$8&gt;=$G32,DV$8&lt;=$G32+$H32-1),2,IF(AND($C32="Milestone",DV$8&gt;=$G32,DV$8&lt;=$G32+$H32-1),1,""))</f>
        <v/>
      </c>
      <c r="DW32" s="69" t="str">
        <f ca="1">IF(AND($C32="Goal",DW$8&gt;=$G32,DW$8&lt;=$G32+$H32-1),2,IF(AND($C32="Milestone",DW$8&gt;=$G32,DW$8&lt;=$G32+$H32-1),1,""))</f>
        <v/>
      </c>
      <c r="DX32" s="69" t="str">
        <f ca="1">IF(AND($C32="Goal",DX$8&gt;=$G32,DX$8&lt;=$G32+$H32-1),2,IF(AND($C32="Milestone",DX$8&gt;=$G32,DX$8&lt;=$G32+$H32-1),1,""))</f>
        <v/>
      </c>
      <c r="DY32" s="69" t="str">
        <f ca="1">IF(AND($C32="Goal",DY$8&gt;=$G32,DY$8&lt;=$G32+$H32-1),2,IF(AND($C32="Milestone",DY$8&gt;=$G32,DY$8&lt;=$G32+$H32-1),1,""))</f>
        <v/>
      </c>
      <c r="DZ32" s="69" t="str">
        <f ca="1">IF(AND($C32="Goal",DZ$8&gt;=$G32,DZ$8&lt;=$G32+$H32-1),2,IF(AND($C32="Milestone",DZ$8&gt;=$G32,DZ$8&lt;=$G32+$H32-1),1,""))</f>
        <v/>
      </c>
      <c r="EA32" s="69" t="str">
        <f ca="1">IF(AND($C32="Goal",EA$8&gt;=$G32,EA$8&lt;=$G32+$H32-1),2,IF(AND($C32="Milestone",EA$8&gt;=$G32,EA$8&lt;=$G32+$H32-1),1,""))</f>
        <v/>
      </c>
      <c r="EB32" s="69" t="str">
        <f ca="1">IF(AND($C32="Goal",EB$8&gt;=$G32,EB$8&lt;=$G32+$H32-1),2,IF(AND($C32="Milestone",EB$8&gt;=$G32,EB$8&lt;=$G32+$H32-1),1,""))</f>
        <v/>
      </c>
      <c r="EC32" s="69" t="str">
        <f ca="1">IF(AND($C32="Goal",EC$8&gt;=$G32,EC$8&lt;=$G32+$H32-1),2,IF(AND($C32="Milestone",EC$8&gt;=$G32,EC$8&lt;=$G32+$H32-1),1,""))</f>
        <v/>
      </c>
      <c r="ED32" s="69" t="str">
        <f ca="1">IF(AND($C32="Goal",ED$8&gt;=$G32,ED$8&lt;=$G32+$H32-1),2,IF(AND($C32="Milestone",ED$8&gt;=$G32,ED$8&lt;=$G32+$H32-1),1,""))</f>
        <v/>
      </c>
      <c r="EE32" s="69" t="str">
        <f ca="1">IF(AND($C32="Goal",EE$8&gt;=$G32,EE$8&lt;=$G32+$H32-1),2,IF(AND($C32="Milestone",EE$8&gt;=$G32,EE$8&lt;=$G32+$H32-1),1,""))</f>
        <v/>
      </c>
      <c r="EF32" s="69" t="str">
        <f ca="1">IF(AND($C32="Goal",EF$8&gt;=$G32,EF$8&lt;=$G32+$H32-1),2,IF(AND($C32="Milestone",EF$8&gt;=$G32,EF$8&lt;=$G32+$H32-1),1,""))</f>
        <v/>
      </c>
      <c r="EG32" s="69" t="str">
        <f ca="1">IF(AND($C32="Goal",EG$8&gt;=$G32,EG$8&lt;=$G32+$H32-1),2,IF(AND($C32="Milestone",EG$8&gt;=$G32,EG$8&lt;=$G32+$H32-1),1,""))</f>
        <v/>
      </c>
      <c r="EH32" s="69" t="str">
        <f ca="1">IF(AND($C32="Goal",EH$8&gt;=$G32,EH$8&lt;=$G32+$H32-1),2,IF(AND($C32="Milestone",EH$8&gt;=$G32,EH$8&lt;=$G32+$H32-1),1,""))</f>
        <v/>
      </c>
      <c r="EI32" s="69" t="str">
        <f ca="1">IF(AND($C32="Goal",EI$8&gt;=$G32,EI$8&lt;=$G32+$H32-1),2,IF(AND($C32="Milestone",EI$8&gt;=$G32,EI$8&lt;=$G32+$H32-1),1,""))</f>
        <v/>
      </c>
      <c r="EJ32" s="69" t="str">
        <f ca="1">IF(AND($C32="Goal",EJ$8&gt;=$G32,EJ$8&lt;=$G32+$H32-1),2,IF(AND($C32="Milestone",EJ$8&gt;=$G32,EJ$8&lt;=$G32+$H32-1),1,""))</f>
        <v/>
      </c>
      <c r="EK32" s="69" t="str">
        <f ca="1">IF(AND($C32="Goal",EK$8&gt;=$G32,EK$8&lt;=$G32+$H32-1),2,IF(AND($C32="Milestone",EK$8&gt;=$G32,EK$8&lt;=$G32+$H32-1),1,""))</f>
        <v/>
      </c>
      <c r="EL32" s="69" t="str">
        <f ca="1">IF(AND($C32="Goal",EL$8&gt;=$G32,EL$8&lt;=$G32+$H32-1),2,IF(AND($C32="Milestone",EL$8&gt;=$G32,EL$8&lt;=$G32+$H32-1),1,""))</f>
        <v/>
      </c>
      <c r="EM32" s="69" t="str">
        <f ca="1">IF(AND($C32="Goal",EM$8&gt;=$G32,EM$8&lt;=$G32+$H32-1),2,IF(AND($C32="Milestone",EM$8&gt;=$G32,EM$8&lt;=$G32+$H32-1),1,""))</f>
        <v/>
      </c>
      <c r="EN32" s="69" t="str">
        <f ca="1">IF(AND($C32="Goal",EN$8&gt;=$G32,EN$8&lt;=$G32+$H32-1),2,IF(AND($C32="Milestone",EN$8&gt;=$G32,EN$8&lt;=$G32+$H32-1),1,""))</f>
        <v/>
      </c>
      <c r="EO32" s="69" t="str">
        <f ca="1">IF(AND($C32="Goal",EO$8&gt;=$G32,EO$8&lt;=$G32+$H32-1),2,IF(AND($C32="Milestone",EO$8&gt;=$G32,EO$8&lt;=$G32+$H32-1),1,""))</f>
        <v/>
      </c>
      <c r="EP32" s="69" t="str">
        <f ca="1">IF(AND($C32="Goal",EP$8&gt;=$G32,EP$8&lt;=$G32+$H32-1),2,IF(AND($C32="Milestone",EP$8&gt;=$G32,EP$8&lt;=$G32+$H32-1),1,""))</f>
        <v/>
      </c>
      <c r="EQ32" s="69" t="str">
        <f ca="1">IF(AND($C32="Goal",EQ$8&gt;=$G32,EQ$8&lt;=$G32+$H32-1),2,IF(AND($C32="Milestone",EQ$8&gt;=$G32,EQ$8&lt;=$G32+$H32-1),1,""))</f>
        <v/>
      </c>
      <c r="ER32" s="69" t="str">
        <f ca="1">IF(AND($C32="Goal",ER$8&gt;=$G32,ER$8&lt;=$G32+$H32-1),2,IF(AND($C32="Milestone",ER$8&gt;=$G32,ER$8&lt;=$G32+$H32-1),1,""))</f>
        <v/>
      </c>
      <c r="ES32" s="69" t="str">
        <f ca="1">IF(AND($C32="Goal",ES$8&gt;=$G32,ES$8&lt;=$G32+$H32-1),2,IF(AND($C32="Milestone",ES$8&gt;=$G32,ES$8&lt;=$G32+$H32-1),1,""))</f>
        <v/>
      </c>
      <c r="ET32" s="69" t="str">
        <f ca="1">IF(AND($C32="Goal",ET$8&gt;=$G32,ET$8&lt;=$G32+$H32-1),2,IF(AND($C32="Milestone",ET$8&gt;=$G32,ET$8&lt;=$G32+$H32-1),1,""))</f>
        <v/>
      </c>
      <c r="EU32" s="69" t="str">
        <f ca="1">IF(AND($C32="Goal",EU$8&gt;=$G32,EU$8&lt;=$G32+$H32-1),2,IF(AND($C32="Milestone",EU$8&gt;=$G32,EU$8&lt;=$G32+$H32-1),1,""))</f>
        <v/>
      </c>
      <c r="EV32" s="69" t="str">
        <f ca="1">IF(AND($C32="Goal",EV$8&gt;=$G32,EV$8&lt;=$G32+$H32-1),2,IF(AND($C32="Milestone",EV$8&gt;=$G32,EV$8&lt;=$G32+$H32-1),1,""))</f>
        <v/>
      </c>
      <c r="EW32" s="69" t="str">
        <f ca="1">IF(AND($C32="Goal",EW$8&gt;=$G32,EW$8&lt;=$G32+$H32-1),2,IF(AND($C32="Milestone",EW$8&gt;=$G32,EW$8&lt;=$G32+$H32-1),1,""))</f>
        <v/>
      </c>
      <c r="EX32" s="69" t="str">
        <f ca="1">IF(AND($C32="Goal",EX$8&gt;=$G32,EX$8&lt;=$G32+$H32-1),2,IF(AND($C32="Milestone",EX$8&gt;=$G32,EX$8&lt;=$G32+$H32-1),1,""))</f>
        <v/>
      </c>
      <c r="EY32" s="69" t="str">
        <f ca="1">IF(AND($C32="Goal",EY$8&gt;=$G32,EY$8&lt;=$G32+$H32-1),2,IF(AND($C32="Milestone",EY$8&gt;=$G32,EY$8&lt;=$G32+$H32-1),1,""))</f>
        <v/>
      </c>
      <c r="EZ32" s="69" t="str">
        <f ca="1">IF(AND($C32="Goal",EZ$8&gt;=$G32,EZ$8&lt;=$G32+$H32-1),2,IF(AND($C32="Milestone",EZ$8&gt;=$G32,EZ$8&lt;=$G32+$H32-1),1,""))</f>
        <v/>
      </c>
      <c r="FA32" s="69" t="str">
        <f ca="1">IF(AND($C32="Goal",FA$8&gt;=$G32,FA$8&lt;=$G32+$H32-1),2,IF(AND($C32="Milestone",FA$8&gt;=$G32,FA$8&lt;=$G32+$H32-1),1,""))</f>
        <v/>
      </c>
      <c r="FB32" s="69" t="str">
        <f ca="1">IF(AND($C32="Goal",FB$8&gt;=$G32,FB$8&lt;=$G32+$H32-1),2,IF(AND($C32="Milestone",FB$8&gt;=$G32,FB$8&lt;=$G32+$H32-1),1,""))</f>
        <v/>
      </c>
      <c r="FC32" s="69" t="str">
        <f ca="1">IF(AND($C32="Goal",FC$8&gt;=$G32,FC$8&lt;=$G32+$H32-1),2,IF(AND($C32="Milestone",FC$8&gt;=$G32,FC$8&lt;=$G32+$H32-1),1,""))</f>
        <v/>
      </c>
      <c r="FD32" s="69" t="str">
        <f ca="1">IF(AND($C32="Goal",FD$8&gt;=$G32,FD$8&lt;=$G32+$H32-1),2,IF(AND($C32="Milestone",FD$8&gt;=$G32,FD$8&lt;=$G32+$H32-1),1,""))</f>
        <v/>
      </c>
      <c r="FE32" s="69" t="str">
        <f ca="1">IF(AND($C32="Goal",FE$8&gt;=$G32,FE$8&lt;=$G32+$H32-1),2,IF(AND($C32="Milestone",FE$8&gt;=$G32,FE$8&lt;=$G32+$H32-1),1,""))</f>
        <v/>
      </c>
      <c r="FF32" s="69" t="str">
        <f ca="1">IF(AND($C32="Goal",FF$8&gt;=$G32,FF$8&lt;=$G32+$H32-1),2,IF(AND($C32="Milestone",FF$8&gt;=$G32,FF$8&lt;=$G32+$H32-1),1,""))</f>
        <v/>
      </c>
      <c r="FG32" s="69" t="str">
        <f ca="1">IF(AND($C32="Goal",FG$8&gt;=$G32,FG$8&lt;=$G32+$H32-1),2,IF(AND($C32="Milestone",FG$8&gt;=$G32,FG$8&lt;=$G32+$H32-1),1,""))</f>
        <v/>
      </c>
      <c r="FH32" s="69" t="str">
        <f ca="1">IF(AND($C32="Goal",FH$8&gt;=$G32,FH$8&lt;=$G32+$H32-1),2,IF(AND($C32="Milestone",FH$8&gt;=$G32,FH$8&lt;=$G32+$H32-1),1,""))</f>
        <v/>
      </c>
      <c r="FI32" s="69" t="str">
        <f ca="1">IF(AND($C32="Goal",FI$8&gt;=$G32,FI$8&lt;=$G32+$H32-1),2,IF(AND($C32="Milestone",FI$8&gt;=$G32,FI$8&lt;=$G32+$H32-1),1,""))</f>
        <v/>
      </c>
      <c r="FJ32" s="69" t="str">
        <f ca="1">IF(AND($C32="Goal",FJ$8&gt;=$G32,FJ$8&lt;=$G32+$H32-1),2,IF(AND($C32="Milestone",FJ$8&gt;=$G32,FJ$8&lt;=$G32+$H32-1),1,""))</f>
        <v/>
      </c>
      <c r="FK32" s="69" t="str">
        <f ca="1">IF(AND($C32="Goal",FK$8&gt;=$G32,FK$8&lt;=$G32+$H32-1),2,IF(AND($C32="Milestone",FK$8&gt;=$G32,FK$8&lt;=$G32+$H32-1),1,""))</f>
        <v/>
      </c>
      <c r="FL32" s="69" t="str">
        <f ca="1">IF(AND($C32="Goal",FL$8&gt;=$G32,FL$8&lt;=$G32+$H32-1),2,IF(AND($C32="Milestone",FL$8&gt;=$G32,FL$8&lt;=$G32+$H32-1),1,""))</f>
        <v/>
      </c>
      <c r="FM32" s="69" t="str">
        <f ca="1">IF(AND($C32="Goal",FM$8&gt;=$G32,FM$8&lt;=$G32+$H32-1),2,IF(AND($C32="Milestone",FM$8&gt;=$G32,FM$8&lt;=$G32+$H32-1),1,""))</f>
        <v/>
      </c>
      <c r="FN32" s="69" t="str">
        <f ca="1">IF(AND($C32="Goal",FN$8&gt;=$G32,FN$8&lt;=$G32+$H32-1),2,IF(AND($C32="Milestone",FN$8&gt;=$G32,FN$8&lt;=$G32+$H32-1),1,""))</f>
        <v/>
      </c>
      <c r="FO32" s="69" t="str">
        <f ca="1">IF(AND($C32="Goal",FO$8&gt;=$G32,FO$8&lt;=$G32+$H32-1),2,IF(AND($C32="Milestone",FO$8&gt;=$G32,FO$8&lt;=$G32+$H32-1),1,""))</f>
        <v/>
      </c>
      <c r="FP32" s="69" t="str">
        <f ca="1">IF(AND($C32="Goal",FP$8&gt;=$G32,FP$8&lt;=$G32+$H32-1),2,IF(AND($C32="Milestone",FP$8&gt;=$G32,FP$8&lt;=$G32+$H32-1),1,""))</f>
        <v/>
      </c>
      <c r="FQ32" s="69" t="str">
        <f ca="1">IF(AND($C32="Goal",FQ$8&gt;=$G32,FQ$8&lt;=$G32+$H32-1),2,IF(AND($C32="Milestone",FQ$8&gt;=$G32,FQ$8&lt;=$G32+$H32-1),1,""))</f>
        <v/>
      </c>
      <c r="FR32" s="69" t="str">
        <f ca="1">IF(AND($C32="Goal",FR$8&gt;=$G32,FR$8&lt;=$G32+$H32-1),2,IF(AND($C32="Milestone",FR$8&gt;=$G32,FR$8&lt;=$G32+$H32-1),1,""))</f>
        <v/>
      </c>
      <c r="FS32" s="69" t="str">
        <f ca="1">IF(AND($C32="Goal",FS$8&gt;=$G32,FS$8&lt;=$G32+$H32-1),2,IF(AND($C32="Milestone",FS$8&gt;=$G32,FS$8&lt;=$G32+$H32-1),1,""))</f>
        <v/>
      </c>
      <c r="FT32" s="69" t="str">
        <f ca="1">IF(AND($C32="Goal",FT$8&gt;=$G32,FT$8&lt;=$G32+$H32-1),2,IF(AND($C32="Milestone",FT$8&gt;=$G32,FT$8&lt;=$G32+$H32-1),1,""))</f>
        <v/>
      </c>
      <c r="FU32" s="69" t="str">
        <f ca="1">IF(AND($C32="Goal",FU$8&gt;=$G32,FU$8&lt;=$G32+$H32-1),2,IF(AND($C32="Milestone",FU$8&gt;=$G32,FU$8&lt;=$G32+$H32-1),1,""))</f>
        <v/>
      </c>
      <c r="FV32" s="69" t="str">
        <f ca="1">IF(AND($C32="Goal",FV$8&gt;=$G32,FV$8&lt;=$G32+$H32-1),2,IF(AND($C32="Milestone",FV$8&gt;=$G32,FV$8&lt;=$G32+$H32-1),1,""))</f>
        <v/>
      </c>
      <c r="FW32" s="69" t="str">
        <f ca="1">IF(AND($C32="Goal",FW$8&gt;=$G32,FW$8&lt;=$G32+$H32-1),2,IF(AND($C32="Milestone",FW$8&gt;=$G32,FW$8&lt;=$G32+$H32-1),1,""))</f>
        <v/>
      </c>
      <c r="FX32" s="69" t="str">
        <f ca="1">IF(AND($C32="Goal",FX$8&gt;=$G32,FX$8&lt;=$G32+$H32-1),2,IF(AND($C32="Milestone",FX$8&gt;=$G32,FX$8&lt;=$G32+$H32-1),1,""))</f>
        <v/>
      </c>
      <c r="FY32" s="69" t="str">
        <f ca="1">IF(AND($C32="Goal",FY$8&gt;=$G32,FY$8&lt;=$G32+$H32-1),2,IF(AND($C32="Milestone",FY$8&gt;=$G32,FY$8&lt;=$G32+$H32-1),1,""))</f>
        <v/>
      </c>
      <c r="FZ32" s="69" t="str">
        <f ca="1">IF(AND($C32="Goal",FZ$8&gt;=$G32,FZ$8&lt;=$G32+$H32-1),2,IF(AND($C32="Milestone",FZ$8&gt;=$G32,FZ$8&lt;=$G32+$H32-1),1,""))</f>
        <v/>
      </c>
      <c r="GA32" s="69" t="str">
        <f ca="1">IF(AND($C32="Goal",GA$8&gt;=$G32,GA$8&lt;=$G32+$H32-1),2,IF(AND($C32="Milestone",GA$8&gt;=$G32,GA$8&lt;=$G32+$H32-1),1,""))</f>
        <v/>
      </c>
      <c r="GB32" s="69" t="str">
        <f ca="1">IF(AND($C32="Goal",GB$8&gt;=$G32,GB$8&lt;=$G32+$H32-1),2,IF(AND($C32="Milestone",GB$8&gt;=$G32,GB$8&lt;=$G32+$H32-1),1,""))</f>
        <v/>
      </c>
      <c r="GC32" s="69" t="str">
        <f ca="1">IF(AND($C32="Goal",GC$8&gt;=$G32,GC$8&lt;=$G32+$H32-1),2,IF(AND($C32="Milestone",GC$8&gt;=$G32,GC$8&lt;=$G32+$H32-1),1,""))</f>
        <v/>
      </c>
      <c r="GD32" s="69" t="str">
        <f ca="1">IF(AND($C32="Goal",GD$8&gt;=$G32,GD$8&lt;=$G32+$H32-1),2,IF(AND($C32="Milestone",GD$8&gt;=$G32,GD$8&lt;=$G32+$H32-1),1,""))</f>
        <v/>
      </c>
      <c r="GE32" s="69" t="str">
        <f ca="1">IF(AND($C32="Goal",GE$8&gt;=$G32,GE$8&lt;=$G32+$H32-1),2,IF(AND($C32="Milestone",GE$8&gt;=$G32,GE$8&lt;=$G32+$H32-1),1,""))</f>
        <v/>
      </c>
      <c r="GF32" s="69" t="str">
        <f ca="1">IF(AND($C32="Goal",GF$8&gt;=$G32,GF$8&lt;=$G32+$H32-1),2,IF(AND($C32="Milestone",GF$8&gt;=$G32,GF$8&lt;=$G32+$H32-1),1,""))</f>
        <v/>
      </c>
      <c r="GG32" s="69" t="str">
        <f ca="1">IF(AND($C32="Goal",GG$8&gt;=$G32,GG$8&lt;=$G32+$H32-1),2,IF(AND($C32="Milestone",GG$8&gt;=$G32,GG$8&lt;=$G32+$H32-1),1,""))</f>
        <v/>
      </c>
      <c r="GH32" s="69" t="str">
        <f ca="1">IF(AND($C32="Goal",GH$8&gt;=$G32,GH$8&lt;=$G32+$H32-1),2,IF(AND($C32="Milestone",GH$8&gt;=$G32,GH$8&lt;=$G32+$H32-1),1,""))</f>
        <v/>
      </c>
      <c r="GI32" s="69" t="str">
        <f ca="1">IF(AND($C32="Goal",GI$8&gt;=$G32,GI$8&lt;=$G32+$H32-1),2,IF(AND($C32="Milestone",GI$8&gt;=$G32,GI$8&lt;=$G32+$H32-1),1,""))</f>
        <v/>
      </c>
      <c r="GJ32" s="69" t="str">
        <f ca="1">IF(AND($C32="Goal",GJ$8&gt;=$G32,GJ$8&lt;=$G32+$H32-1),2,IF(AND($C32="Milestone",GJ$8&gt;=$G32,GJ$8&lt;=$G32+$H32-1),1,""))</f>
        <v/>
      </c>
      <c r="GK32" s="69" t="str">
        <f ca="1">IF(AND($C32="Goal",GK$8&gt;=$G32,GK$8&lt;=$G32+$H32-1),2,IF(AND($C32="Milestone",GK$8&gt;=$G32,GK$8&lt;=$G32+$H32-1),1,""))</f>
        <v/>
      </c>
      <c r="GL32" s="69" t="str">
        <f ca="1">IF(AND($C32="Goal",GL$8&gt;=$G32,GL$8&lt;=$G32+$H32-1),2,IF(AND($C32="Milestone",GL$8&gt;=$G32,GL$8&lt;=$G32+$H32-1),1,""))</f>
        <v/>
      </c>
      <c r="GM32" s="69" t="str">
        <f ca="1">IF(AND($C32="Goal",GM$8&gt;=$G32,GM$8&lt;=$G32+$H32-1),2,IF(AND($C32="Milestone",GM$8&gt;=$G32,GM$8&lt;=$G32+$H32-1),1,""))</f>
        <v/>
      </c>
      <c r="GN32" s="69" t="str">
        <f ca="1">IF(AND($C32="Goal",GN$8&gt;=$G32,GN$8&lt;=$G32+$H32-1),2,IF(AND($C32="Milestone",GN$8&gt;=$G32,GN$8&lt;=$G32+$H32-1),1,""))</f>
        <v/>
      </c>
      <c r="GO32" s="69" t="str">
        <f ca="1">IF(AND($C32="Goal",GO$8&gt;=$G32,GO$8&lt;=$G32+$H32-1),2,IF(AND($C32="Milestone",GO$8&gt;=$G32,GO$8&lt;=$G32+$H32-1),1,""))</f>
        <v/>
      </c>
      <c r="GP32" s="69" t="str">
        <f ca="1">IF(AND($C32="Goal",GP$8&gt;=$G32,GP$8&lt;=$G32+$H32-1),2,IF(AND($C32="Milestone",GP$8&gt;=$G32,GP$8&lt;=$G32+$H32-1),1,""))</f>
        <v/>
      </c>
      <c r="GQ32" s="69" t="str">
        <f ca="1">IF(AND($C32="Goal",GQ$8&gt;=$G32,GQ$8&lt;=$G32+$H32-1),2,IF(AND($C32="Milestone",GQ$8&gt;=$G32,GQ$8&lt;=$G32+$H32-1),1,""))</f>
        <v/>
      </c>
      <c r="GR32" s="69" t="str">
        <f ca="1">IF(AND($C32="Goal",GR$8&gt;=$G32,GR$8&lt;=$G32+$H32-1),2,IF(AND($C32="Milestone",GR$8&gt;=$G32,GR$8&lt;=$G32+$H32-1),1,""))</f>
        <v/>
      </c>
      <c r="GS32" s="69" t="str">
        <f ca="1">IF(AND($C32="Goal",GS$8&gt;=$G32,GS$8&lt;=$G32+$H32-1),2,IF(AND($C32="Milestone",GS$8&gt;=$G32,GS$8&lt;=$G32+$H32-1),1,""))</f>
        <v/>
      </c>
      <c r="GT32" s="69" t="str">
        <f ca="1">IF(AND($C32="Goal",GT$8&gt;=$G32,GT$8&lt;=$G32+$H32-1),2,IF(AND($C32="Milestone",GT$8&gt;=$G32,GT$8&lt;=$G32+$H32-1),1,""))</f>
        <v/>
      </c>
      <c r="GU32" s="69" t="str">
        <f ca="1">IF(AND($C32="Goal",GU$8&gt;=$G32,GU$8&lt;=$G32+$H32-1),2,IF(AND($C32="Milestone",GU$8&gt;=$G32,GU$8&lt;=$G32+$H32-1),1,""))</f>
        <v/>
      </c>
      <c r="GV32" s="69" t="str">
        <f ca="1">IF(AND($C32="Goal",GV$8&gt;=$G32,GV$8&lt;=$G32+$H32-1),2,IF(AND($C32="Milestone",GV$8&gt;=$G32,GV$8&lt;=$G32+$H32-1),1,""))</f>
        <v/>
      </c>
      <c r="GW32" s="69" t="str">
        <f ca="1">IF(AND($C32="Goal",GW$8&gt;=$G32,GW$8&lt;=$G32+$H32-1),2,IF(AND($C32="Milestone",GW$8&gt;=$G32,GW$8&lt;=$G32+$H32-1),1,""))</f>
        <v/>
      </c>
      <c r="GX32" s="69" t="str">
        <f ca="1">IF(AND($C32="Goal",GX$8&gt;=$G32,GX$8&lt;=$G32+$H32-1),2,IF(AND($C32="Milestone",GX$8&gt;=$G32,GX$8&lt;=$G32+$H32-1),1,""))</f>
        <v/>
      </c>
      <c r="GY32" s="69" t="str">
        <f ca="1">IF(AND($C32="Goal",GY$8&gt;=$G32,GY$8&lt;=$G32+$H32-1),2,IF(AND($C32="Milestone",GY$8&gt;=$G32,GY$8&lt;=$G32+$H32-1),1,""))</f>
        <v/>
      </c>
      <c r="GZ32" s="69" t="str">
        <f ca="1">IF(AND($C32="Goal",GZ$8&gt;=$G32,GZ$8&lt;=$G32+$H32-1),2,IF(AND($C32="Milestone",GZ$8&gt;=$G32,GZ$8&lt;=$G32+$H32-1),1,""))</f>
        <v/>
      </c>
      <c r="HA32" s="69" t="str">
        <f ca="1">IF(AND($C32="Goal",HA$8&gt;=$G32,HA$8&lt;=$G32+$H32-1),2,IF(AND($C32="Milestone",HA$8&gt;=$G32,HA$8&lt;=$G32+$H32-1),1,""))</f>
        <v/>
      </c>
      <c r="HB32" s="69" t="str">
        <f ca="1">IF(AND($C32="Goal",HB$8&gt;=$G32,HB$8&lt;=$G32+$H32-1),2,IF(AND($C32="Milestone",HB$8&gt;=$G32,HB$8&lt;=$G32+$H32-1),1,""))</f>
        <v/>
      </c>
      <c r="HC32" s="69" t="str">
        <f ca="1">IF(AND($C32="Goal",HC$8&gt;=$G32,HC$8&lt;=$G32+$H32-1),2,IF(AND($C32="Milestone",HC$8&gt;=$G32,HC$8&lt;=$G32+$H32-1),1,""))</f>
        <v/>
      </c>
      <c r="HD32" s="69" t="str">
        <f ca="1">IF(AND($C32="Goal",HD$8&gt;=$G32,HD$8&lt;=$G32+$H32-1),2,IF(AND($C32="Milestone",HD$8&gt;=$G32,HD$8&lt;=$G32+$H32-1),1,""))</f>
        <v/>
      </c>
      <c r="HE32" s="69" t="str">
        <f ca="1">IF(AND($C32="Goal",HE$8&gt;=$G32,HE$8&lt;=$G32+$H32-1),2,IF(AND($C32="Milestone",HE$8&gt;=$G32,HE$8&lt;=$G32+$H32-1),1,""))</f>
        <v/>
      </c>
      <c r="HF32" s="69" t="str">
        <f ca="1">IF(AND($C32="Goal",HF$8&gt;=$G32,HF$8&lt;=$G32+$H32-1),2,IF(AND($C32="Milestone",HF$8&gt;=$G32,HF$8&lt;=$G32+$H32-1),1,""))</f>
        <v/>
      </c>
      <c r="HG32" s="69" t="str">
        <f ca="1">IF(AND($C32="Goal",HG$8&gt;=$G32,HG$8&lt;=$G32+$H32-1),2,IF(AND($C32="Milestone",HG$8&gt;=$G32,HG$8&lt;=$G32+$H32-1),1,""))</f>
        <v/>
      </c>
      <c r="HH32" s="69" t="str">
        <f ca="1">IF(AND($C32="Goal",HH$8&gt;=$G32,HH$8&lt;=$G32+$H32-1),2,IF(AND($C32="Milestone",HH$8&gt;=$G32,HH$8&lt;=$G32+$H32-1),1,""))</f>
        <v/>
      </c>
      <c r="HI32" s="69" t="str">
        <f ca="1">IF(AND($C32="Goal",HI$8&gt;=$G32,HI$8&lt;=$G32+$H32-1),2,IF(AND($C32="Milestone",HI$8&gt;=$G32,HI$8&lt;=$G32+$H32-1),1,""))</f>
        <v/>
      </c>
      <c r="HJ32" s="69" t="str">
        <f ca="1">IF(AND($C32="Goal",HJ$8&gt;=$G32,HJ$8&lt;=$G32+$H32-1),2,IF(AND($C32="Milestone",HJ$8&gt;=$G32,HJ$8&lt;=$G32+$H32-1),1,""))</f>
        <v/>
      </c>
      <c r="HK32" s="69" t="str">
        <f ca="1">IF(AND($C32="Goal",HK$8&gt;=$G32,HK$8&lt;=$G32+$H32-1),2,IF(AND($C32="Milestone",HK$8&gt;=$G32,HK$8&lt;=$G32+$H32-1),1,""))</f>
        <v/>
      </c>
      <c r="HL32" s="69" t="str">
        <f ca="1">IF(AND($C32="Goal",HL$8&gt;=$G32,HL$8&lt;=$G32+$H32-1),2,IF(AND($C32="Milestone",HL$8&gt;=$G32,HL$8&lt;=$G32+$H32-1),1,""))</f>
        <v/>
      </c>
      <c r="HM32" s="69" t="str">
        <f ca="1">IF(AND($C32="Goal",HM$8&gt;=$G32,HM$8&lt;=$G32+$H32-1),2,IF(AND($C32="Milestone",HM$8&gt;=$G32,HM$8&lt;=$G32+$H32-1),1,""))</f>
        <v/>
      </c>
      <c r="HN32" s="69" t="str">
        <f ca="1">IF(AND($C32="Goal",HN$8&gt;=$G32,HN$8&lt;=$G32+$H32-1),2,IF(AND($C32="Milestone",HN$8&gt;=$G32,HN$8&lt;=$G32+$H32-1),1,""))</f>
        <v/>
      </c>
      <c r="HO32" s="69" t="str">
        <f ca="1">IF(AND($C32="Goal",HO$8&gt;=$G32,HO$8&lt;=$G32+$H32-1),2,IF(AND($C32="Milestone",HO$8&gt;=$G32,HO$8&lt;=$G32+$H32-1),1,""))</f>
        <v/>
      </c>
      <c r="HP32" s="69" t="str">
        <f ca="1">IF(AND($C32="Goal",HP$8&gt;=$G32,HP$8&lt;=$G32+$H32-1),2,IF(AND($C32="Milestone",HP$8&gt;=$G32,HP$8&lt;=$G32+$H32-1),1,""))</f>
        <v/>
      </c>
      <c r="HQ32" s="69" t="str">
        <f ca="1">IF(AND($C32="Goal",HQ$8&gt;=$G32,HQ$8&lt;=$G32+$H32-1),2,IF(AND($C32="Milestone",HQ$8&gt;=$G32,HQ$8&lt;=$G32+$H32-1),1,""))</f>
        <v/>
      </c>
      <c r="HR32" s="69" t="str">
        <f ca="1">IF(AND($C32="Goal",HR$8&gt;=$G32,HR$8&lt;=$G32+$H32-1),2,IF(AND($C32="Milestone",HR$8&gt;=$G32,HR$8&lt;=$G32+$H32-1),1,""))</f>
        <v/>
      </c>
      <c r="HS32" s="69" t="str">
        <f ca="1">IF(AND($C32="Goal",HS$8&gt;=$G32,HS$8&lt;=$G32+$H32-1),2,IF(AND($C32="Milestone",HS$8&gt;=$G32,HS$8&lt;=$G32+$H32-1),1,""))</f>
        <v/>
      </c>
      <c r="HT32" s="69" t="str">
        <f ca="1">IF(AND($C32="Goal",HT$8&gt;=$G32,HT$8&lt;=$G32+$H32-1),2,IF(AND($C32="Milestone",HT$8&gt;=$G32,HT$8&lt;=$G32+$H32-1),1,""))</f>
        <v/>
      </c>
      <c r="HU32" s="69" t="str">
        <f ca="1">IF(AND($C32="Goal",HU$8&gt;=$G32,HU$8&lt;=$G32+$H32-1),2,IF(AND($C32="Milestone",HU$8&gt;=$G32,HU$8&lt;=$G32+$H32-1),1,""))</f>
        <v/>
      </c>
      <c r="HV32" s="69" t="str">
        <f ca="1">IF(AND($C32="Goal",HV$8&gt;=$G32,HV$8&lt;=$G32+$H32-1),2,IF(AND($C32="Milestone",HV$8&gt;=$G32,HV$8&lt;=$G32+$H32-1),1,""))</f>
        <v/>
      </c>
      <c r="HW32" s="69" t="str">
        <f ca="1">IF(AND($C32="Goal",HW$8&gt;=$G32,HW$8&lt;=$G32+$H32-1),2,IF(AND($C32="Milestone",HW$8&gt;=$G32,HW$8&lt;=$G32+$H32-1),1,""))</f>
        <v/>
      </c>
      <c r="HX32" s="69" t="str">
        <f ca="1">IF(AND($C32="Goal",HX$8&gt;=$G32,HX$8&lt;=$G32+$H32-1),2,IF(AND($C32="Milestone",HX$8&gt;=$G32,HX$8&lt;=$G32+$H32-1),1,""))</f>
        <v/>
      </c>
      <c r="HY32" s="69" t="str">
        <f ca="1">IF(AND($C32="Goal",HY$8&gt;=$G32,HY$8&lt;=$G32+$H32-1),2,IF(AND($C32="Milestone",HY$8&gt;=$G32,HY$8&lt;=$G32+$H32-1),1,""))</f>
        <v/>
      </c>
      <c r="HZ32" s="69" t="str">
        <f ca="1">IF(AND($C32="Goal",HZ$8&gt;=$G32,HZ$8&lt;=$G32+$H32-1),2,IF(AND($C32="Milestone",HZ$8&gt;=$G32,HZ$8&lt;=$G32+$H32-1),1,""))</f>
        <v/>
      </c>
      <c r="IA32" s="69" t="str">
        <f ca="1">IF(AND($C32="Goal",IA$8&gt;=$G32,IA$8&lt;=$G32+$H32-1),2,IF(AND($C32="Milestone",IA$8&gt;=$G32,IA$8&lt;=$G32+$H32-1),1,""))</f>
        <v/>
      </c>
      <c r="IB32" s="69" t="str">
        <f ca="1">IF(AND($C32="Goal",IB$8&gt;=$G32,IB$8&lt;=$G32+$H32-1),2,IF(AND($C32="Milestone",IB$8&gt;=$G32,IB$8&lt;=$G32+$H32-1),1,""))</f>
        <v/>
      </c>
      <c r="IC32" s="69" t="str">
        <f ca="1">IF(AND($C32="Goal",IC$8&gt;=$G32,IC$8&lt;=$G32+$H32-1),2,IF(AND($C32="Milestone",IC$8&gt;=$G32,IC$8&lt;=$G32+$H32-1),1,""))</f>
        <v/>
      </c>
      <c r="ID32" s="69" t="str">
        <f ca="1">IF(AND($C32="Goal",ID$8&gt;=$G32,ID$8&lt;=$G32+$H32-1),2,IF(AND($C32="Milestone",ID$8&gt;=$G32,ID$8&lt;=$G32+$H32-1),1,""))</f>
        <v/>
      </c>
      <c r="IE32" s="69" t="str">
        <f ca="1">IF(AND($C32="Goal",IE$8&gt;=$G32,IE$8&lt;=$G32+$H32-1),2,IF(AND($C32="Milestone",IE$8&gt;=$G32,IE$8&lt;=$G32+$H32-1),1,""))</f>
        <v/>
      </c>
      <c r="IF32" s="69" t="str">
        <f ca="1">IF(AND($C32="Goal",IF$8&gt;=$G32,IF$8&lt;=$G32+$H32-1),2,IF(AND($C32="Milestone",IF$8&gt;=$G32,IF$8&lt;=$G32+$H32-1),1,""))</f>
        <v/>
      </c>
      <c r="IG32" s="69" t="str">
        <f ca="1">IF(AND($C32="Goal",IG$8&gt;=$G32,IG$8&lt;=$G32+$H32-1),2,IF(AND($C32="Milestone",IG$8&gt;=$G32,IG$8&lt;=$G32+$H32-1),1,""))</f>
        <v/>
      </c>
      <c r="IH32" s="69" t="str">
        <f ca="1">IF(AND($C32="Goal",IH$8&gt;=$G32,IH$8&lt;=$G32+$H32-1),2,IF(AND($C32="Milestone",IH$8&gt;=$G32,IH$8&lt;=$G32+$H32-1),1,""))</f>
        <v/>
      </c>
      <c r="II32" s="69" t="str">
        <f ca="1">IF(AND($C32="Goal",II$8&gt;=$G32,II$8&lt;=$G32+$H32-1),2,IF(AND($C32="Milestone",II$8&gt;=$G32,II$8&lt;=$G32+$H32-1),1,""))</f>
        <v/>
      </c>
      <c r="IJ32" s="69" t="str">
        <f ca="1">IF(AND($C32="Goal",IJ$8&gt;=$G32,IJ$8&lt;=$G32+$H32-1),2,IF(AND($C32="Milestone",IJ$8&gt;=$G32,IJ$8&lt;=$G32+$H32-1),1,""))</f>
        <v/>
      </c>
      <c r="IK32" s="69" t="str">
        <f ca="1">IF(AND($C32="Goal",IK$8&gt;=$G32,IK$8&lt;=$G32+$H32-1),2,IF(AND($C32="Milestone",IK$8&gt;=$G32,IK$8&lt;=$G32+$H32-1),1,""))</f>
        <v/>
      </c>
      <c r="IL32" s="69" t="str">
        <f ca="1">IF(AND($C32="Goal",IL$8&gt;=$G32,IL$8&lt;=$G32+$H32-1),2,IF(AND($C32="Milestone",IL$8&gt;=$G32,IL$8&lt;=$G32+$H32-1),1,""))</f>
        <v/>
      </c>
      <c r="IM32" s="69" t="str">
        <f ca="1">IF(AND($C32="Goal",IM$8&gt;=$G32,IM$8&lt;=$G32+$H32-1),2,IF(AND($C32="Milestone",IM$8&gt;=$G32,IM$8&lt;=$G32+$H32-1),1,""))</f>
        <v/>
      </c>
      <c r="IN32" s="69" t="str">
        <f ca="1">IF(AND($C32="Goal",IN$8&gt;=$G32,IN$8&lt;=$G32+$H32-1),2,IF(AND($C32="Milestone",IN$8&gt;=$G32,IN$8&lt;=$G32+$H32-1),1,""))</f>
        <v/>
      </c>
      <c r="IO32" s="69" t="str">
        <f ca="1">IF(AND($C32="Goal",IO$8&gt;=$G32,IO$8&lt;=$G32+$H32-1),2,IF(AND($C32="Milestone",IO$8&gt;=$G32,IO$8&lt;=$G32+$H32-1),1,""))</f>
        <v/>
      </c>
      <c r="IP32" s="69" t="str">
        <f ca="1">IF(AND($C32="Goal",IP$8&gt;=$G32,IP$8&lt;=$G32+$H32-1),2,IF(AND($C32="Milestone",IP$8&gt;=$G32,IP$8&lt;=$G32+$H32-1),1,""))</f>
        <v/>
      </c>
      <c r="IQ32" s="69" t="str">
        <f ca="1">IF(AND($C32="Goal",IQ$8&gt;=$G32,IQ$8&lt;=$G32+$H32-1),2,IF(AND($C32="Milestone",IQ$8&gt;=$G32,IQ$8&lt;=$G32+$H32-1),1,""))</f>
        <v/>
      </c>
      <c r="IR32" s="69" t="str">
        <f ca="1">IF(AND($C32="Goal",IR$8&gt;=$G32,IR$8&lt;=$G32+$H32-1),2,IF(AND($C32="Milestone",IR$8&gt;=$G32,IR$8&lt;=$G32+$H32-1),1,""))</f>
        <v/>
      </c>
      <c r="IS32" s="69" t="str">
        <f ca="1">IF(AND($C32="Goal",IS$8&gt;=$G32,IS$8&lt;=$G32+$H32-1),2,IF(AND($C32="Milestone",IS$8&gt;=$G32,IS$8&lt;=$G32+$H32-1),1,""))</f>
        <v/>
      </c>
      <c r="IT32" s="69" t="str">
        <f ca="1">IF(AND($C32="Goal",IT$8&gt;=$G32,IT$8&lt;=$G32+$H32-1),2,IF(AND($C32="Milestone",IT$8&gt;=$G32,IT$8&lt;=$G32+$H32-1),1,""))</f>
        <v/>
      </c>
      <c r="IU32" s="69" t="str">
        <f ca="1">IF(AND($C32="Goal",IU$8&gt;=$G32,IU$8&lt;=$G32+$H32-1),2,IF(AND($C32="Milestone",IU$8&gt;=$G32,IU$8&lt;=$G32+$H32-1),1,""))</f>
        <v/>
      </c>
      <c r="IV32" s="69" t="str">
        <f ca="1">IF(AND($C32="Goal",IV$8&gt;=$G32,IV$8&lt;=$G32+$H32-1),2,IF(AND($C32="Milestone",IV$8&gt;=$G32,IV$8&lt;=$G32+$H32-1),1,""))</f>
        <v/>
      </c>
      <c r="IW32" s="69" t="str">
        <f ca="1">IF(AND($C32="Goal",IW$8&gt;=$G32,IW$8&lt;=$G32+$H32-1),2,IF(AND($C32="Milestone",IW$8&gt;=$G32,IW$8&lt;=$G32+$H32-1),1,""))</f>
        <v/>
      </c>
      <c r="IX32" s="69" t="str">
        <f ca="1">IF(AND($C32="Goal",IX$8&gt;=$G32,IX$8&lt;=$G32+$H32-1),2,IF(AND($C32="Milestone",IX$8&gt;=$G32,IX$8&lt;=$G32+$H32-1),1,""))</f>
        <v/>
      </c>
      <c r="IY32" s="69" t="str">
        <f ca="1">IF(AND($C32="Goal",IY$8&gt;=$G32,IY$8&lt;=$G32+$H32-1),2,IF(AND($C32="Milestone",IY$8&gt;=$G32,IY$8&lt;=$G32+$H32-1),1,""))</f>
        <v/>
      </c>
      <c r="IZ32" s="69" t="str">
        <f ca="1">IF(AND($C32="Goal",IZ$8&gt;=$G32,IZ$8&lt;=$G32+$H32-1),2,IF(AND($C32="Milestone",IZ$8&gt;=$G32,IZ$8&lt;=$G32+$H32-1),1,""))</f>
        <v/>
      </c>
      <c r="JA32" s="69" t="str">
        <f ca="1">IF(AND($C32="Goal",JA$8&gt;=$G32,JA$8&lt;=$G32+$H32-1),2,IF(AND($C32="Milestone",JA$8&gt;=$G32,JA$8&lt;=$G32+$H32-1),1,""))</f>
        <v/>
      </c>
      <c r="JB32" s="69" t="str">
        <f ca="1">IF(AND($C32="Goal",JB$8&gt;=$G32,JB$8&lt;=$G32+$H32-1),2,IF(AND($C32="Milestone",JB$8&gt;=$G32,JB$8&lt;=$G32+$H32-1),1,""))</f>
        <v/>
      </c>
      <c r="JC32" s="69" t="str">
        <f ca="1">IF(AND($C32="Goal",JC$8&gt;=$G32,JC$8&lt;=$G32+$H32-1),2,IF(AND($C32="Milestone",JC$8&gt;=$G32,JC$8&lt;=$G32+$H32-1),1,""))</f>
        <v/>
      </c>
      <c r="JD32" s="69" t="str">
        <f ca="1">IF(AND($C32="Goal",JD$8&gt;=$G32,JD$8&lt;=$G32+$H32-1),2,IF(AND($C32="Milestone",JD$8&gt;=$G32,JD$8&lt;=$G32+$H32-1),1,""))</f>
        <v/>
      </c>
      <c r="JE32" s="69" t="str">
        <f ca="1">IF(AND($C32="Goal",JE$8&gt;=$G32,JE$8&lt;=$G32+$H32-1),2,IF(AND($C32="Milestone",JE$8&gt;=$G32,JE$8&lt;=$G32+$H32-1),1,""))</f>
        <v/>
      </c>
      <c r="JF32" s="69" t="str">
        <f ca="1">IF(AND($C32="Goal",JF$8&gt;=$G32,JF$8&lt;=$G32+$H32-1),2,IF(AND($C32="Milestone",JF$8&gt;=$G32,JF$8&lt;=$G32+$H32-1),1,""))</f>
        <v/>
      </c>
      <c r="JG32" s="69" t="str">
        <f ca="1">IF(AND($C32="Goal",JG$8&gt;=$G32,JG$8&lt;=$G32+$H32-1),2,IF(AND($C32="Milestone",JG$8&gt;=$G32,JG$8&lt;=$G32+$H32-1),1,""))</f>
        <v/>
      </c>
      <c r="JH32" s="69" t="str">
        <f ca="1">IF(AND($C32="Goal",JH$8&gt;=$G32,JH$8&lt;=$G32+$H32-1),2,IF(AND($C32="Milestone",JH$8&gt;=$G32,JH$8&lt;=$G32+$H32-1),1,""))</f>
        <v/>
      </c>
      <c r="JI32" s="69" t="str">
        <f ca="1">IF(AND($C32="Goal",JI$8&gt;=$G32,JI$8&lt;=$G32+$H32-1),2,IF(AND($C32="Milestone",JI$8&gt;=$G32,JI$8&lt;=$G32+$H32-1),1,""))</f>
        <v/>
      </c>
      <c r="JJ32" s="69" t="str">
        <f ca="1">IF(AND($C32="Goal",JJ$8&gt;=$G32,JJ$8&lt;=$G32+$H32-1),2,IF(AND($C32="Milestone",JJ$8&gt;=$G32,JJ$8&lt;=$G32+$H32-1),1,""))</f>
        <v/>
      </c>
      <c r="JK32" s="69" t="str">
        <f ca="1">IF(AND($C32="Goal",JK$8&gt;=$G32,JK$8&lt;=$G32+$H32-1),2,IF(AND($C32="Milestone",JK$8&gt;=$G32,JK$8&lt;=$G32+$H32-1),1,""))</f>
        <v/>
      </c>
      <c r="JL32" s="69" t="str">
        <f ca="1">IF(AND($C32="Goal",JL$8&gt;=$G32,JL$8&lt;=$G32+$H32-1),2,IF(AND($C32="Milestone",JL$8&gt;=$G32,JL$8&lt;=$G32+$H32-1),1,""))</f>
        <v/>
      </c>
      <c r="JM32" s="69" t="str">
        <f ca="1">IF(AND($C32="Goal",JM$8&gt;=$G32,JM$8&lt;=$G32+$H32-1),2,IF(AND($C32="Milestone",JM$8&gt;=$G32,JM$8&lt;=$G32+$H32-1),1,""))</f>
        <v/>
      </c>
      <c r="JN32" s="69" t="str">
        <f ca="1">IF(AND($C32="Goal",JN$8&gt;=$G32,JN$8&lt;=$G32+$H32-1),2,IF(AND($C32="Milestone",JN$8&gt;=$G32,JN$8&lt;=$G32+$H32-1),1,""))</f>
        <v/>
      </c>
      <c r="JO32" s="69" t="str">
        <f ca="1">IF(AND($C32="Goal",JO$8&gt;=$G32,JO$8&lt;=$G32+$H32-1),2,IF(AND($C32="Milestone",JO$8&gt;=$G32,JO$8&lt;=$G32+$H32-1),1,""))</f>
        <v/>
      </c>
      <c r="JP32" s="69" t="str">
        <f ca="1">IF(AND($C32="Goal",JP$8&gt;=$G32,JP$8&lt;=$G32+$H32-1),2,IF(AND($C32="Milestone",JP$8&gt;=$G32,JP$8&lt;=$G32+$H32-1),1,""))</f>
        <v/>
      </c>
      <c r="JQ32" s="69" t="str">
        <f ca="1">IF(AND($C32="Goal",JQ$8&gt;=$G32,JQ$8&lt;=$G32+$H32-1),2,IF(AND($C32="Milestone",JQ$8&gt;=$G32,JQ$8&lt;=$G32+$H32-1),1,""))</f>
        <v/>
      </c>
      <c r="JR32" s="69" t="str">
        <f ca="1">IF(AND($C32="Goal",JR$8&gt;=$G32,JR$8&lt;=$G32+$H32-1),2,IF(AND($C32="Milestone",JR$8&gt;=$G32,JR$8&lt;=$G32+$H32-1),1,""))</f>
        <v/>
      </c>
      <c r="JS32" s="69" t="str">
        <f ca="1">IF(AND($C32="Goal",JS$8&gt;=$G32,JS$8&lt;=$G32+$H32-1),2,IF(AND($C32="Milestone",JS$8&gt;=$G32,JS$8&lt;=$G32+$H32-1),1,""))</f>
        <v/>
      </c>
      <c r="JT32" s="69" t="str">
        <f ca="1">IF(AND($C32="Goal",JT$8&gt;=$G32,JT$8&lt;=$G32+$H32-1),2,IF(AND($C32="Milestone",JT$8&gt;=$G32,JT$8&lt;=$G32+$H32-1),1,""))</f>
        <v/>
      </c>
      <c r="JU32" s="69" t="str">
        <f ca="1">IF(AND($C32="Goal",JU$8&gt;=$G32,JU$8&lt;=$G32+$H32-1),2,IF(AND($C32="Milestone",JU$8&gt;=$G32,JU$8&lt;=$G32+$H32-1),1,""))</f>
        <v/>
      </c>
      <c r="JV32" s="69" t="str">
        <f ca="1">IF(AND($C32="Goal",JV$8&gt;=$G32,JV$8&lt;=$G32+$H32-1),2,IF(AND($C32="Milestone",JV$8&gt;=$G32,JV$8&lt;=$G32+$H32-1),1,""))</f>
        <v/>
      </c>
      <c r="JW32" s="69" t="str">
        <f ca="1">IF(AND($C32="Goal",JW$8&gt;=$G32,JW$8&lt;=$G32+$H32-1),2,IF(AND($C32="Milestone",JW$8&gt;=$G32,JW$8&lt;=$G32+$H32-1),1,""))</f>
        <v/>
      </c>
      <c r="JX32" s="69" t="str">
        <f ca="1">IF(AND($C32="Goal",JX$8&gt;=$G32,JX$8&lt;=$G32+$H32-1),2,IF(AND($C32="Milestone",JX$8&gt;=$G32,JX$8&lt;=$G32+$H32-1),1,""))</f>
        <v/>
      </c>
      <c r="JY32" s="69" t="str">
        <f ca="1">IF(AND($C32="Goal",JY$8&gt;=$G32,JY$8&lt;=$G32+$H32-1),2,IF(AND($C32="Milestone",JY$8&gt;=$G32,JY$8&lt;=$G32+$H32-1),1,""))</f>
        <v/>
      </c>
      <c r="JZ32" s="69" t="str">
        <f ca="1">IF(AND($C32="Goal",JZ$8&gt;=$G32,JZ$8&lt;=$G32+$H32-1),2,IF(AND($C32="Milestone",JZ$8&gt;=$G32,JZ$8&lt;=$G32+$H32-1),1,""))</f>
        <v/>
      </c>
      <c r="KA32" s="69" t="str">
        <f ca="1">IF(AND($C32="Goal",KA$8&gt;=$G32,KA$8&lt;=$G32+$H32-1),2,IF(AND($C32="Milestone",KA$8&gt;=$G32,KA$8&lt;=$G32+$H32-1),1,""))</f>
        <v/>
      </c>
      <c r="KB32" s="69" t="str">
        <f ca="1">IF(AND($C32="Goal",KB$8&gt;=$G32,KB$8&lt;=$G32+$H32-1),2,IF(AND($C32="Milestone",KB$8&gt;=$G32,KB$8&lt;=$G32+$H32-1),1,""))</f>
        <v/>
      </c>
      <c r="KC32" s="69" t="str">
        <f ca="1">IF(AND($C32="Goal",KC$8&gt;=$G32,KC$8&lt;=$G32+$H32-1),2,IF(AND($C32="Milestone",KC$8&gt;=$G32,KC$8&lt;=$G32+$H32-1),1,""))</f>
        <v/>
      </c>
      <c r="KD32" s="69" t="str">
        <f ca="1">IF(AND($C32="Goal",KD$8&gt;=$G32,KD$8&lt;=$G32+$H32-1),2,IF(AND($C32="Milestone",KD$8&gt;=$G32,KD$8&lt;=$G32+$H32-1),1,""))</f>
        <v/>
      </c>
      <c r="KE32" s="69" t="str">
        <f ca="1">IF(AND($C32="Goal",KE$8&gt;=$G32,KE$8&lt;=$G32+$H32-1),2,IF(AND($C32="Milestone",KE$8&gt;=$G32,KE$8&lt;=$G32+$H32-1),1,""))</f>
        <v/>
      </c>
      <c r="KF32" s="69" t="str">
        <f ca="1">IF(AND($C32="Goal",KF$8&gt;=$G32,KF$8&lt;=$G32+$H32-1),2,IF(AND($C32="Milestone",KF$8&gt;=$G32,KF$8&lt;=$G32+$H32-1),1,""))</f>
        <v/>
      </c>
      <c r="KG32" s="69" t="str">
        <f ca="1">IF(AND($C32="Goal",KG$8&gt;=$G32,KG$8&lt;=$G32+$H32-1),2,IF(AND($C32="Milestone",KG$8&gt;=$G32,KG$8&lt;=$G32+$H32-1),1,""))</f>
        <v/>
      </c>
      <c r="KH32" s="69" t="str">
        <f ca="1">IF(AND($C32="Goal",KH$8&gt;=$G32,KH$8&lt;=$G32+$H32-1),2,IF(AND($C32="Milestone",KH$8&gt;=$G32,KH$8&lt;=$G32+$H32-1),1,""))</f>
        <v/>
      </c>
      <c r="KI32" s="69" t="str">
        <f ca="1">IF(AND($C32="Goal",KI$8&gt;=$G32,KI$8&lt;=$G32+$H32-1),2,IF(AND($C32="Milestone",KI$8&gt;=$G32,KI$8&lt;=$G32+$H32-1),1,""))</f>
        <v/>
      </c>
      <c r="KJ32" s="69" t="str">
        <f ca="1">IF(AND($C32="Goal",KJ$8&gt;=$G32,KJ$8&lt;=$G32+$H32-1),2,IF(AND($C32="Milestone",KJ$8&gt;=$G32,KJ$8&lt;=$G32+$H32-1),1,""))</f>
        <v/>
      </c>
      <c r="KK32" s="69" t="str">
        <f ca="1">IF(AND($C32="Goal",KK$8&gt;=$G32,KK$8&lt;=$G32+$H32-1),2,IF(AND($C32="Milestone",KK$8&gt;=$G32,KK$8&lt;=$G32+$H32-1),1,""))</f>
        <v/>
      </c>
      <c r="KL32" s="69" t="str">
        <f ca="1">IF(AND($C32="Goal",KL$8&gt;=$G32,KL$8&lt;=$G32+$H32-1),2,IF(AND($C32="Milestone",KL$8&gt;=$G32,KL$8&lt;=$G32+$H32-1),1,""))</f>
        <v/>
      </c>
      <c r="KM32" s="69" t="str">
        <f ca="1">IF(AND($C32="Goal",KM$8&gt;=$G32,KM$8&lt;=$G32+$H32-1),2,IF(AND($C32="Milestone",KM$8&gt;=$G32,KM$8&lt;=$G32+$H32-1),1,""))</f>
        <v/>
      </c>
      <c r="KN32" s="69" t="str">
        <f ca="1">IF(AND($C32="Goal",KN$8&gt;=$G32,KN$8&lt;=$G32+$H32-1),2,IF(AND($C32="Milestone",KN$8&gt;=$G32,KN$8&lt;=$G32+$H32-1),1,""))</f>
        <v/>
      </c>
      <c r="KO32" s="69" t="str">
        <f ca="1">IF(AND($C32="Goal",KO$8&gt;=$G32,KO$8&lt;=$G32+$H32-1),2,IF(AND($C32="Milestone",KO$8&gt;=$G32,KO$8&lt;=$G32+$H32-1),1,""))</f>
        <v/>
      </c>
      <c r="KP32" s="69" t="str">
        <f ca="1">IF(AND($C32="Goal",KP$8&gt;=$G32,KP$8&lt;=$G32+$H32-1),2,IF(AND($C32="Milestone",KP$8&gt;=$G32,KP$8&lt;=$G32+$H32-1),1,""))</f>
        <v/>
      </c>
      <c r="KQ32" s="69" t="str">
        <f ca="1">IF(AND($C32="Goal",KQ$8&gt;=$G32,KQ$8&lt;=$G32+$H32-1),2,IF(AND($C32="Milestone",KQ$8&gt;=$G32,KQ$8&lt;=$G32+$H32-1),1,""))</f>
        <v/>
      </c>
      <c r="KR32" s="69" t="str">
        <f ca="1">IF(AND($C32="Goal",KR$8&gt;=$G32,KR$8&lt;=$G32+$H32-1),2,IF(AND($C32="Milestone",KR$8&gt;=$G32,KR$8&lt;=$G32+$H32-1),1,""))</f>
        <v/>
      </c>
      <c r="KS32" s="69" t="str">
        <f ca="1">IF(AND($C32="Goal",KS$8&gt;=$G32,KS$8&lt;=$G32+$H32-1),2,IF(AND($C32="Milestone",KS$8&gt;=$G32,KS$8&lt;=$G32+$H32-1),1,""))</f>
        <v/>
      </c>
      <c r="KT32" s="69" t="str">
        <f ca="1">IF(AND($C32="Goal",KT$8&gt;=$G32,KT$8&lt;=$G32+$H32-1),2,IF(AND($C32="Milestone",KT$8&gt;=$G32,KT$8&lt;=$G32+$H32-1),1,""))</f>
        <v/>
      </c>
      <c r="KU32" s="69" t="str">
        <f ca="1">IF(AND($C32="Goal",KU$8&gt;=$G32,KU$8&lt;=$G32+$H32-1),2,IF(AND($C32="Milestone",KU$8&gt;=$G32,KU$8&lt;=$G32+$H32-1),1,""))</f>
        <v/>
      </c>
      <c r="KV32" s="69" t="str">
        <f ca="1">IF(AND($C32="Goal",KV$8&gt;=$G32,KV$8&lt;=$G32+$H32-1),2,IF(AND($C32="Milestone",KV$8&gt;=$G32,KV$8&lt;=$G32+$H32-1),1,""))</f>
        <v/>
      </c>
      <c r="KW32" s="69" t="str">
        <f ca="1">IF(AND($C32="Goal",KW$8&gt;=$G32,KW$8&lt;=$G32+$H32-1),2,IF(AND($C32="Milestone",KW$8&gt;=$G32,KW$8&lt;=$G32+$H32-1),1,""))</f>
        <v/>
      </c>
      <c r="KX32" s="69" t="str">
        <f ca="1">IF(AND($C32="Goal",KX$8&gt;=$G32,KX$8&lt;=$G32+$H32-1),2,IF(AND($C32="Milestone",KX$8&gt;=$G32,KX$8&lt;=$G32+$H32-1),1,""))</f>
        <v/>
      </c>
      <c r="KY32" s="69" t="str">
        <f ca="1">IF(AND($C32="Goal",KY$8&gt;=$G32,KY$8&lt;=$G32+$H32-1),2,IF(AND($C32="Milestone",KY$8&gt;=$G32,KY$8&lt;=$G32+$H32-1),1,""))</f>
        <v/>
      </c>
      <c r="KZ32" s="69" t="str">
        <f ca="1">IF(AND($C32="Goal",KZ$8&gt;=$G32,KZ$8&lt;=$G32+$H32-1),2,IF(AND($C32="Milestone",KZ$8&gt;=$G32,KZ$8&lt;=$G32+$H32-1),1,""))</f>
        <v/>
      </c>
      <c r="LA32" s="69" t="str">
        <f ca="1">IF(AND($C32="Goal",LA$8&gt;=$G32,LA$8&lt;=$G32+$H32-1),2,IF(AND($C32="Milestone",LA$8&gt;=$G32,LA$8&lt;=$G32+$H32-1),1,""))</f>
        <v/>
      </c>
      <c r="LB32" s="69" t="str">
        <f ca="1">IF(AND($C32="Goal",LB$8&gt;=$G32,LB$8&lt;=$G32+$H32-1),2,IF(AND($C32="Milestone",LB$8&gt;=$G32,LB$8&lt;=$G32+$H32-1),1,""))</f>
        <v/>
      </c>
      <c r="LC32" s="69" t="str">
        <f ca="1">IF(AND($C32="Goal",LC$8&gt;=$G32,LC$8&lt;=$G32+$H32-1),2,IF(AND($C32="Milestone",LC$8&gt;=$G32,LC$8&lt;=$G32+$H32-1),1,""))</f>
        <v/>
      </c>
      <c r="LD32" s="69" t="str">
        <f ca="1">IF(AND($C32="Goal",LD$8&gt;=$G32,LD$8&lt;=$G32+$H32-1),2,IF(AND($C32="Milestone",LD$8&gt;=$G32,LD$8&lt;=$G32+$H32-1),1,""))</f>
        <v/>
      </c>
      <c r="LE32" s="69" t="str">
        <f ca="1">IF(AND($C32="Goal",LE$8&gt;=$G32,LE$8&lt;=$G32+$H32-1),2,IF(AND($C32="Milestone",LE$8&gt;=$G32,LE$8&lt;=$G32+$H32-1),1,""))</f>
        <v/>
      </c>
      <c r="LF32" s="69" t="str">
        <f ca="1">IF(AND($C32="Goal",LF$8&gt;=$G32,LF$8&lt;=$G32+$H32-1),2,IF(AND($C32="Milestone",LF$8&gt;=$G32,LF$8&lt;=$G32+$H32-1),1,""))</f>
        <v/>
      </c>
      <c r="LG32" s="69" t="str">
        <f ca="1">IF(AND($C32="Goal",LG$8&gt;=$G32,LG$8&lt;=$G32+$H32-1),2,IF(AND($C32="Milestone",LG$8&gt;=$G32,LG$8&lt;=$G32+$H32-1),1,""))</f>
        <v/>
      </c>
      <c r="LH32" s="69" t="str">
        <f ca="1">IF(AND($C32="Goal",LH$8&gt;=$G32,LH$8&lt;=$G32+$H32-1),2,IF(AND($C32="Milestone",LH$8&gt;=$G32,LH$8&lt;=$G32+$H32-1),1,""))</f>
        <v/>
      </c>
      <c r="LI32" s="69" t="str">
        <f ca="1">IF(AND($C32="Goal",LI$8&gt;=$G32,LI$8&lt;=$G32+$H32-1),2,IF(AND($C32="Milestone",LI$8&gt;=$G32,LI$8&lt;=$G32+$H32-1),1,""))</f>
        <v/>
      </c>
      <c r="LJ32" s="69" t="str">
        <f ca="1">IF(AND($C32="Goal",LJ$8&gt;=$G32,LJ$8&lt;=$G32+$H32-1),2,IF(AND($C32="Milestone",LJ$8&gt;=$G32,LJ$8&lt;=$G32+$H32-1),1,""))</f>
        <v/>
      </c>
      <c r="LK32" s="69" t="str">
        <f ca="1">IF(AND($C32="Goal",LK$8&gt;=$G32,LK$8&lt;=$G32+$H32-1),2,IF(AND($C32="Milestone",LK$8&gt;=$G32,LK$8&lt;=$G32+$H32-1),1,""))</f>
        <v/>
      </c>
      <c r="LL32" s="69" t="str">
        <f ca="1">IF(AND($C32="Goal",LL$8&gt;=$G32,LL$8&lt;=$G32+$H32-1),2,IF(AND($C32="Milestone",LL$8&gt;=$G32,LL$8&lt;=$G32+$H32-1),1,""))</f>
        <v/>
      </c>
      <c r="LM32" s="69" t="str">
        <f ca="1">IF(AND($C32="Goal",LM$8&gt;=$G32,LM$8&lt;=$G32+$H32-1),2,IF(AND($C32="Milestone",LM$8&gt;=$G32,LM$8&lt;=$G32+$H32-1),1,""))</f>
        <v/>
      </c>
      <c r="LN32" s="69" t="str">
        <f ca="1">IF(AND($C32="Goal",LN$8&gt;=$G32,LN$8&lt;=$G32+$H32-1),2,IF(AND($C32="Milestone",LN$8&gt;=$G32,LN$8&lt;=$G32+$H32-1),1,""))</f>
        <v/>
      </c>
      <c r="LO32" s="69" t="str">
        <f ca="1">IF(AND($C32="Goal",LO$8&gt;=$G32,LO$8&lt;=$G32+$H32-1),2,IF(AND($C32="Milestone",LO$8&gt;=$G32,LO$8&lt;=$G32+$H32-1),1,""))</f>
        <v/>
      </c>
      <c r="LP32" s="69" t="str">
        <f ca="1">IF(AND($C32="Goal",LP$8&gt;=$G32,LP$8&lt;=$G32+$H32-1),2,IF(AND($C32="Milestone",LP$8&gt;=$G32,LP$8&lt;=$G32+$H32-1),1,""))</f>
        <v/>
      </c>
      <c r="LQ32" s="69" t="str">
        <f ca="1">IF(AND($C32="Goal",LQ$8&gt;=$G32,LQ$8&lt;=$G32+$H32-1),2,IF(AND($C32="Milestone",LQ$8&gt;=$G32,LQ$8&lt;=$G32+$H32-1),1,""))</f>
        <v/>
      </c>
      <c r="LR32" s="69" t="str">
        <f ca="1">IF(AND($C32="Goal",LR$8&gt;=$G32,LR$8&lt;=$G32+$H32-1),2,IF(AND($C32="Milestone",LR$8&gt;=$G32,LR$8&lt;=$G32+$H32-1),1,""))</f>
        <v/>
      </c>
      <c r="LS32" s="69" t="str">
        <f ca="1">IF(AND($C32="Goal",LS$8&gt;=$G32,LS$8&lt;=$G32+$H32-1),2,IF(AND($C32="Milestone",LS$8&gt;=$G32,LS$8&lt;=$G32+$H32-1),1,""))</f>
        <v/>
      </c>
      <c r="LT32" s="69" t="str">
        <f ca="1">IF(AND($C32="Goal",LT$8&gt;=$G32,LT$8&lt;=$G32+$H32-1),2,IF(AND($C32="Milestone",LT$8&gt;=$G32,LT$8&lt;=$G32+$H32-1),1,""))</f>
        <v/>
      </c>
      <c r="LU32" s="69" t="str">
        <f ca="1">IF(AND($C32="Goal",LU$8&gt;=$G32,LU$8&lt;=$G32+$H32-1),2,IF(AND($C32="Milestone",LU$8&gt;=$G32,LU$8&lt;=$G32+$H32-1),1,""))</f>
        <v/>
      </c>
      <c r="LV32" s="69" t="str">
        <f ca="1">IF(AND($C32="Goal",LV$8&gt;=$G32,LV$8&lt;=$G32+$H32-1),2,IF(AND($C32="Milestone",LV$8&gt;=$G32,LV$8&lt;=$G32+$H32-1),1,""))</f>
        <v/>
      </c>
      <c r="LW32" s="69" t="str">
        <f ca="1">IF(AND($C32="Goal",LW$8&gt;=$G32,LW$8&lt;=$G32+$H32-1),2,IF(AND($C32="Milestone",LW$8&gt;=$G32,LW$8&lt;=$G32+$H32-1),1,""))</f>
        <v/>
      </c>
      <c r="LX32" s="69" t="str">
        <f ca="1">IF(AND($C32="Goal",LX$8&gt;=$G32,LX$8&lt;=$G32+$H32-1),2,IF(AND($C32="Milestone",LX$8&gt;=$G32,LX$8&lt;=$G32+$H32-1),1,""))</f>
        <v/>
      </c>
    </row>
    <row r="33" spans="1:336" s="1" customFormat="1" ht="14.85" hidden="1" x14ac:dyDescent="0.25">
      <c r="A33" s="6"/>
      <c r="B33" s="47"/>
      <c r="C33" s="58"/>
      <c r="D33" s="58" t="str">
        <f ca="1">IF(G33="","",
IF(G33+Milestones4352[[#This Row],[Days]]="","",
IF(OR(F33=1,F33=100%),"Complete",
CHOOSE(
  1
  + --(((1-IF(F33&gt;1,F33/100,F33))*POWER(2.718281828,(60-MAX(0,G33+Milestones4352[[#This Row],[Days]]-TODAY()))/12))&gt;=0.6)
  + --(((1-IF(F33&gt;1,F33/100,F33))*POWER(2.718281828,(60-MAX(0,G33+Milestones4352[[#This Row],[Days]]-TODAY()))/12))&gt;=1.2)
  + --(((1-IF(F33&gt;1,F33/100,F33))*POWER(2.718281828,(60-MAX(0,G33+Milestones4352[[#This Row],[Days]]-TODAY()))/12))&gt;=2),
  "On track","Low risk","Medium risk","High risk"
))))</f>
        <v/>
      </c>
      <c r="E33" s="58"/>
      <c r="F33" s="56"/>
      <c r="G33" s="71"/>
      <c r="H33" s="57"/>
      <c r="I33" s="57" t="str">
        <f t="shared" si="207"/>
        <v/>
      </c>
      <c r="J33" s="12" t="str">
        <f ca="1">IF(OR(Milestones4352[[#This Row],[Start]]="",Milestones4352[[#This Row],[Days]]=""),"",(Milestones4352[[#This Row],[Start]]+Milestones4352[[#This Row],[Days]])-TODAY())</f>
        <v/>
      </c>
      <c r="K33" s="9"/>
      <c r="L33" s="69" t="str">
        <f ca="1">IF(AND($C33="Goal",L$8&gt;=$G33,L$8&lt;=$G33+$H33-1),2,IF(AND($C33="Milestone",L$8&gt;=$G33,L$8&lt;=$G33+$H33-1),1,""))</f>
        <v/>
      </c>
      <c r="M33" s="69" t="str">
        <f ca="1">IF(AND($C33="Goal",M$8&gt;=$G33,M$8&lt;=$G33+$H33-1),2,IF(AND($C33="Milestone",M$8&gt;=$G33,M$8&lt;=$G33+$H33-1),1,""))</f>
        <v/>
      </c>
      <c r="N33" s="69" t="str">
        <f ca="1">IF(AND($C33="Goal",N$8&gt;=$G33,N$8&lt;=$G33+$H33-1),2,IF(AND($C33="Milestone",N$8&gt;=$G33,N$8&lt;=$G33+$H33-1),1,""))</f>
        <v/>
      </c>
      <c r="O33" s="69" t="str">
        <f ca="1">IF(AND($C33="Goal",O$8&gt;=$G33,O$8&lt;=$G33+$H33-1),2,IF(AND($C33="Milestone",O$8&gt;=$G33,O$8&lt;=$G33+$H33-1),1,""))</f>
        <v/>
      </c>
      <c r="P33" s="69" t="str">
        <f ca="1">IF(AND($C33="Goal",P$8&gt;=$G33,P$8&lt;=$G33+$H33-1),2,IF(AND($C33="Milestone",P$8&gt;=$G33,P$8&lt;=$G33+$H33-1),1,""))</f>
        <v/>
      </c>
      <c r="Q33" s="69" t="str">
        <f ca="1">IF(AND($C33="Goal",Q$8&gt;=$G33,Q$8&lt;=$G33+$H33-1),2,IF(AND($C33="Milestone",Q$8&gt;=$G33,Q$8&lt;=$G33+$H33-1),1,""))</f>
        <v/>
      </c>
      <c r="R33" s="69" t="str">
        <f ca="1">IF(AND($C33="Goal",R$8&gt;=$G33,R$8&lt;=$G33+$H33-1),2,IF(AND($C33="Milestone",R$8&gt;=$G33,R$8&lt;=$G33+$H33-1),1,""))</f>
        <v/>
      </c>
      <c r="S33" s="69" t="str">
        <f ca="1">IF(AND($C33="Goal",S$8&gt;=$G33,S$8&lt;=$G33+$H33-1),2,IF(AND($C33="Milestone",S$8&gt;=$G33,S$8&lt;=$G33+$H33-1),1,""))</f>
        <v/>
      </c>
      <c r="T33" s="69" t="str">
        <f ca="1">IF(AND($C33="Goal",T$8&gt;=$G33,T$8&lt;=$G33+$H33-1),2,IF(AND($C33="Milestone",T$8&gt;=$G33,T$8&lt;=$G33+$H33-1),1,""))</f>
        <v/>
      </c>
      <c r="U33" s="69" t="str">
        <f ca="1">IF(AND($C33="Goal",U$8&gt;=$G33,U$8&lt;=$G33+$H33-1),2,IF(AND($C33="Milestone",U$8&gt;=$G33,U$8&lt;=$G33+$H33-1),1,""))</f>
        <v/>
      </c>
      <c r="V33" s="69" t="str">
        <f ca="1">IF(AND($C33="Goal",V$8&gt;=$G33,V$8&lt;=$G33+$H33-1),2,IF(AND($C33="Milestone",V$8&gt;=$G33,V$8&lt;=$G33+$H33-1),1,""))</f>
        <v/>
      </c>
      <c r="W33" s="69" t="str">
        <f ca="1">IF(AND($C33="Goal",W$8&gt;=$G33,W$8&lt;=$G33+$H33-1),2,IF(AND($C33="Milestone",W$8&gt;=$G33,W$8&lt;=$G33+$H33-1),1,""))</f>
        <v/>
      </c>
      <c r="X33" s="69" t="str">
        <f ca="1">IF(AND($C33="Goal",X$8&gt;=$G33,X$8&lt;=$G33+$H33-1),2,IF(AND($C33="Milestone",X$8&gt;=$G33,X$8&lt;=$G33+$H33-1),1,""))</f>
        <v/>
      </c>
      <c r="Y33" s="69" t="str">
        <f ca="1">IF(AND($C33="Goal",Y$8&gt;=$G33,Y$8&lt;=$G33+$H33-1),2,IF(AND($C33="Milestone",Y$8&gt;=$G33,Y$8&lt;=$G33+$H33-1),1,""))</f>
        <v/>
      </c>
      <c r="Z33" s="69" t="str">
        <f ca="1">IF(AND($C33="Goal",Z$8&gt;=$G33,Z$8&lt;=$G33+$H33-1),2,IF(AND($C33="Milestone",Z$8&gt;=$G33,Z$8&lt;=$G33+$H33-1),1,""))</f>
        <v/>
      </c>
      <c r="AA33" s="69" t="str">
        <f ca="1">IF(AND($C33="Goal",AA$8&gt;=$G33,AA$8&lt;=$G33+$H33-1),2,IF(AND($C33="Milestone",AA$8&gt;=$G33,AA$8&lt;=$G33+$H33-1),1,""))</f>
        <v/>
      </c>
      <c r="AB33" s="69" t="str">
        <f ca="1">IF(AND($C33="Goal",AB$8&gt;=$G33,AB$8&lt;=$G33+$H33-1),2,IF(AND($C33="Milestone",AB$8&gt;=$G33,AB$8&lt;=$G33+$H33-1),1,""))</f>
        <v/>
      </c>
      <c r="AC33" s="69" t="str">
        <f ca="1">IF(AND($C33="Goal",AC$8&gt;=$G33,AC$8&lt;=$G33+$H33-1),2,IF(AND($C33="Milestone",AC$8&gt;=$G33,AC$8&lt;=$G33+$H33-1),1,""))</f>
        <v/>
      </c>
      <c r="AD33" s="69" t="str">
        <f ca="1">IF(AND($C33="Goal",AD$8&gt;=$G33,AD$8&lt;=$G33+$H33-1),2,IF(AND($C33="Milestone",AD$8&gt;=$G33,AD$8&lt;=$G33+$H33-1),1,""))</f>
        <v/>
      </c>
      <c r="AE33" s="69" t="str">
        <f ca="1">IF(AND($C33="Goal",AE$8&gt;=$G33,AE$8&lt;=$G33+$H33-1),2,IF(AND($C33="Milestone",AE$8&gt;=$G33,AE$8&lt;=$G33+$H33-1),1,""))</f>
        <v/>
      </c>
      <c r="AF33" s="69" t="str">
        <f ca="1">IF(AND($C33="Goal",AF$8&gt;=$G33,AF$8&lt;=$G33+$H33-1),2,IF(AND($C33="Milestone",AF$8&gt;=$G33,AF$8&lt;=$G33+$H33-1),1,""))</f>
        <v/>
      </c>
      <c r="AG33" s="69" t="str">
        <f ca="1">IF(AND($C33="Goal",AG$8&gt;=$G33,AG$8&lt;=$G33+$H33-1),2,IF(AND($C33="Milestone",AG$8&gt;=$G33,AG$8&lt;=$G33+$H33-1),1,""))</f>
        <v/>
      </c>
      <c r="AH33" s="69" t="str">
        <f ca="1">IF(AND($C33="Goal",AH$8&gt;=$G33,AH$8&lt;=$G33+$H33-1),2,IF(AND($C33="Milestone",AH$8&gt;=$G33,AH$8&lt;=$G33+$H33-1),1,""))</f>
        <v/>
      </c>
      <c r="AI33" s="69" t="str">
        <f ca="1">IF(AND($C33="Goal",AI$8&gt;=$G33,AI$8&lt;=$G33+$H33-1),2,IF(AND($C33="Milestone",AI$8&gt;=$G33,AI$8&lt;=$G33+$H33-1),1,""))</f>
        <v/>
      </c>
      <c r="AJ33" s="69" t="str">
        <f ca="1">IF(AND($C33="Goal",AJ$8&gt;=$G33,AJ$8&lt;=$G33+$H33-1),2,IF(AND($C33="Milestone",AJ$8&gt;=$G33,AJ$8&lt;=$G33+$H33-1),1,""))</f>
        <v/>
      </c>
      <c r="AK33" s="69" t="str">
        <f ca="1">IF(AND($C33="Goal",AK$8&gt;=$G33,AK$8&lt;=$G33+$H33-1),2,IF(AND($C33="Milestone",AK$8&gt;=$G33,AK$8&lt;=$G33+$H33-1),1,""))</f>
        <v/>
      </c>
      <c r="AL33" s="69" t="str">
        <f ca="1">IF(AND($C33="Goal",AL$8&gt;=$G33,AL$8&lt;=$G33+$H33-1),2,IF(AND($C33="Milestone",AL$8&gt;=$G33,AL$8&lt;=$G33+$H33-1),1,""))</f>
        <v/>
      </c>
      <c r="AM33" s="69" t="str">
        <f ca="1">IF(AND($C33="Goal",AM$8&gt;=$G33,AM$8&lt;=$G33+$H33-1),2,IF(AND($C33="Milestone",AM$8&gt;=$G33,AM$8&lt;=$G33+$H33-1),1,""))</f>
        <v/>
      </c>
      <c r="AN33" s="69" t="str">
        <f ca="1">IF(AND($C33="Goal",AN$8&gt;=$G33,AN$8&lt;=$G33+$H33-1),2,IF(AND($C33="Milestone",AN$8&gt;=$G33,AN$8&lt;=$G33+$H33-1),1,""))</f>
        <v/>
      </c>
      <c r="AO33" s="69" t="str">
        <f ca="1">IF(AND($C33="Goal",AO$8&gt;=$G33,AO$8&lt;=$G33+$H33-1),2,IF(AND($C33="Milestone",AO$8&gt;=$G33,AO$8&lt;=$G33+$H33-1),1,""))</f>
        <v/>
      </c>
      <c r="AP33" s="69" t="str">
        <f ca="1">IF(AND($C33="Goal",AP$8&gt;=$G33,AP$8&lt;=$G33+$H33-1),2,IF(AND($C33="Milestone",AP$8&gt;=$G33,AP$8&lt;=$G33+$H33-1),1,""))</f>
        <v/>
      </c>
      <c r="AQ33" s="69" t="str">
        <f ca="1">IF(AND($C33="Goal",AQ$8&gt;=$G33,AQ$8&lt;=$G33+$H33-1),2,IF(AND($C33="Milestone",AQ$8&gt;=$G33,AQ$8&lt;=$G33+$H33-1),1,""))</f>
        <v/>
      </c>
      <c r="AR33" s="69" t="str">
        <f ca="1">IF(AND($C33="Goal",AR$8&gt;=$G33,AR$8&lt;=$G33+$H33-1),2,IF(AND($C33="Milestone",AR$8&gt;=$G33,AR$8&lt;=$G33+$H33-1),1,""))</f>
        <v/>
      </c>
      <c r="AS33" s="69" t="str">
        <f ca="1">IF(AND($C33="Goal",AS$8&gt;=$G33,AS$8&lt;=$G33+$H33-1),2,IF(AND($C33="Milestone",AS$8&gt;=$G33,AS$8&lt;=$G33+$H33-1),1,""))</f>
        <v/>
      </c>
      <c r="AT33" s="69" t="str">
        <f ca="1">IF(AND($C33="Goal",AT$8&gt;=$G33,AT$8&lt;=$G33+$H33-1),2,IF(AND($C33="Milestone",AT$8&gt;=$G33,AT$8&lt;=$G33+$H33-1),1,""))</f>
        <v/>
      </c>
      <c r="AU33" s="69" t="str">
        <f ca="1">IF(AND($C33="Goal",AU$8&gt;=$G33,AU$8&lt;=$G33+$H33-1),2,IF(AND($C33="Milestone",AU$8&gt;=$G33,AU$8&lt;=$G33+$H33-1),1,""))</f>
        <v/>
      </c>
      <c r="AV33" s="69" t="str">
        <f ca="1">IF(AND($C33="Goal",AV$8&gt;=$G33,AV$8&lt;=$G33+$H33-1),2,IF(AND($C33="Milestone",AV$8&gt;=$G33,AV$8&lt;=$G33+$H33-1),1,""))</f>
        <v/>
      </c>
      <c r="AW33" s="69" t="str">
        <f ca="1">IF(AND($C33="Goal",AW$8&gt;=$G33,AW$8&lt;=$G33+$H33-1),2,IF(AND($C33="Milestone",AW$8&gt;=$G33,AW$8&lt;=$G33+$H33-1),1,""))</f>
        <v/>
      </c>
      <c r="AX33" s="69" t="str">
        <f ca="1">IF(AND($C33="Goal",AX$8&gt;=$G33,AX$8&lt;=$G33+$H33-1),2,IF(AND($C33="Milestone",AX$8&gt;=$G33,AX$8&lt;=$G33+$H33-1),1,""))</f>
        <v/>
      </c>
      <c r="AY33" s="69" t="str">
        <f ca="1">IF(AND($C33="Goal",AY$8&gt;=$G33,AY$8&lt;=$G33+$H33-1),2,IF(AND($C33="Milestone",AY$8&gt;=$G33,AY$8&lt;=$G33+$H33-1),1,""))</f>
        <v/>
      </c>
      <c r="AZ33" s="69" t="str">
        <f ca="1">IF(AND($C33="Goal",AZ$8&gt;=$G33,AZ$8&lt;=$G33+$H33-1),2,IF(AND($C33="Milestone",AZ$8&gt;=$G33,AZ$8&lt;=$G33+$H33-1),1,""))</f>
        <v/>
      </c>
      <c r="BA33" s="69" t="str">
        <f ca="1">IF(AND($C33="Goal",BA$8&gt;=$G33,BA$8&lt;=$G33+$H33-1),2,IF(AND($C33="Milestone",BA$8&gt;=$G33,BA$8&lt;=$G33+$H33-1),1,""))</f>
        <v/>
      </c>
      <c r="BB33" s="69" t="str">
        <f ca="1">IF(AND($C33="Goal",BB$8&gt;=$G33,BB$8&lt;=$G33+$H33-1),2,IF(AND($C33="Milestone",BB$8&gt;=$G33,BB$8&lt;=$G33+$H33-1),1,""))</f>
        <v/>
      </c>
      <c r="BC33" s="69" t="str">
        <f ca="1">IF(AND($C33="Goal",BC$8&gt;=$G33,BC$8&lt;=$G33+$H33-1),2,IF(AND($C33="Milestone",BC$8&gt;=$G33,BC$8&lt;=$G33+$H33-1),1,""))</f>
        <v/>
      </c>
      <c r="BD33" s="69" t="str">
        <f ca="1">IF(AND($C33="Goal",BD$8&gt;=$G33,BD$8&lt;=$G33+$H33-1),2,IF(AND($C33="Milestone",BD$8&gt;=$G33,BD$8&lt;=$G33+$H33-1),1,""))</f>
        <v/>
      </c>
      <c r="BE33" s="69" t="str">
        <f ca="1">IF(AND($C33="Goal",BE$8&gt;=$G33,BE$8&lt;=$G33+$H33-1),2,IF(AND($C33="Milestone",BE$8&gt;=$G33,BE$8&lt;=$G33+$H33-1),1,""))</f>
        <v/>
      </c>
      <c r="BF33" s="69" t="str">
        <f ca="1">IF(AND($C33="Goal",BF$8&gt;=$G33,BF$8&lt;=$G33+$H33-1),2,IF(AND($C33="Milestone",BF$8&gt;=$G33,BF$8&lt;=$G33+$H33-1),1,""))</f>
        <v/>
      </c>
      <c r="BG33" s="69" t="str">
        <f ca="1">IF(AND($C33="Goal",BG$8&gt;=$G33,BG$8&lt;=$G33+$H33-1),2,IF(AND($C33="Milestone",BG$8&gt;=$G33,BG$8&lt;=$G33+$H33-1),1,""))</f>
        <v/>
      </c>
      <c r="BH33" s="69" t="str">
        <f ca="1">IF(AND($C33="Goal",BH$8&gt;=$G33,BH$8&lt;=$G33+$H33-1),2,IF(AND($C33="Milestone",BH$8&gt;=$G33,BH$8&lt;=$G33+$H33-1),1,""))</f>
        <v/>
      </c>
      <c r="BI33" s="69" t="str">
        <f ca="1">IF(AND($C33="Goal",BI$8&gt;=$G33,BI$8&lt;=$G33+$H33-1),2,IF(AND($C33="Milestone",BI$8&gt;=$G33,BI$8&lt;=$G33+$H33-1),1,""))</f>
        <v/>
      </c>
      <c r="BJ33" s="69" t="str">
        <f ca="1">IF(AND($C33="Goal",BJ$8&gt;=$G33,BJ$8&lt;=$G33+$H33-1),2,IF(AND($C33="Milestone",BJ$8&gt;=$G33,BJ$8&lt;=$G33+$H33-1),1,""))</f>
        <v/>
      </c>
      <c r="BK33" s="69" t="str">
        <f ca="1">IF(AND($C33="Goal",BK$8&gt;=$G33,BK$8&lt;=$G33+$H33-1),2,IF(AND($C33="Milestone",BK$8&gt;=$G33,BK$8&lt;=$G33+$H33-1),1,""))</f>
        <v/>
      </c>
      <c r="BL33" s="69" t="str">
        <f ca="1">IF(AND($C33="Goal",BL$8&gt;=$G33,BL$8&lt;=$G33+$H33-1),2,IF(AND($C33="Milestone",BL$8&gt;=$G33,BL$8&lt;=$G33+$H33-1),1,""))</f>
        <v/>
      </c>
      <c r="BM33" s="69" t="str">
        <f ca="1">IF(AND($C33="Goal",BM$8&gt;=$G33,BM$8&lt;=$G33+$H33-1),2,IF(AND($C33="Milestone",BM$8&gt;=$G33,BM$8&lt;=$G33+$H33-1),1,""))</f>
        <v/>
      </c>
      <c r="BN33" s="69" t="str">
        <f ca="1">IF(AND($C33="Goal",BN$8&gt;=$G33,BN$8&lt;=$G33+$H33-1),2,IF(AND($C33="Milestone",BN$8&gt;=$G33,BN$8&lt;=$G33+$H33-1),1,""))</f>
        <v/>
      </c>
      <c r="BO33" s="69" t="str">
        <f ca="1">IF(AND($C33="Goal",BO$8&gt;=$G33,BO$8&lt;=$G33+$H33-1),2,IF(AND($C33="Milestone",BO$8&gt;=$G33,BO$8&lt;=$G33+$H33-1),1,""))</f>
        <v/>
      </c>
      <c r="BP33" s="69" t="str">
        <f ca="1">IF(AND($C33="Goal",BP$8&gt;=$G33,BP$8&lt;=$G33+$H33-1),2,IF(AND($C33="Milestone",BP$8&gt;=$G33,BP$8&lt;=$G33+$H33-1),1,""))</f>
        <v/>
      </c>
      <c r="BQ33" s="69" t="str">
        <f ca="1">IF(AND($C33="Goal",BQ$8&gt;=$G33,BQ$8&lt;=$G33+$H33-1),2,IF(AND($C33="Milestone",BQ$8&gt;=$G33,BQ$8&lt;=$G33+$H33-1),1,""))</f>
        <v/>
      </c>
      <c r="BR33" s="69" t="str">
        <f ca="1">IF(AND($C33="Goal",BR$8&gt;=$G33,BR$8&lt;=$G33+$H33-1),2,IF(AND($C33="Milestone",BR$8&gt;=$G33,BR$8&lt;=$G33+$H33-1),1,""))</f>
        <v/>
      </c>
      <c r="BS33" s="69" t="str">
        <f ca="1">IF(AND($C33="Goal",BS$8&gt;=$G33,BS$8&lt;=$G33+$H33-1),2,IF(AND($C33="Milestone",BS$8&gt;=$G33,BS$8&lt;=$G33+$H33-1),1,""))</f>
        <v/>
      </c>
      <c r="BT33" s="69" t="str">
        <f ca="1">IF(AND($C33="Goal",BT$8&gt;=$G33,BT$8&lt;=$G33+$H33-1),2,IF(AND($C33="Milestone",BT$8&gt;=$G33,BT$8&lt;=$G33+$H33-1),1,""))</f>
        <v/>
      </c>
      <c r="BU33" s="69" t="str">
        <f ca="1">IF(AND($C33="Goal",BU$8&gt;=$G33,BU$8&lt;=$G33+$H33-1),2,IF(AND($C33="Milestone",BU$8&gt;=$G33,BU$8&lt;=$G33+$H33-1),1,""))</f>
        <v/>
      </c>
      <c r="BV33" s="69" t="str">
        <f ca="1">IF(AND($C33="Goal",BV$8&gt;=$G33,BV$8&lt;=$G33+$H33-1),2,IF(AND($C33="Milestone",BV$8&gt;=$G33,BV$8&lt;=$G33+$H33-1),1,""))</f>
        <v/>
      </c>
      <c r="BW33" s="69" t="str">
        <f ca="1">IF(AND($C33="Goal",BW$8&gt;=$G33,BW$8&lt;=$G33+$H33-1),2,IF(AND($C33="Milestone",BW$8&gt;=$G33,BW$8&lt;=$G33+$H33-1),1,""))</f>
        <v/>
      </c>
      <c r="BX33" s="69" t="str">
        <f ca="1">IF(AND($C33="Goal",BX$8&gt;=$G33,BX$8&lt;=$G33+$H33-1),2,IF(AND($C33="Milestone",BX$8&gt;=$G33,BX$8&lt;=$G33+$H33-1),1,""))</f>
        <v/>
      </c>
      <c r="BY33" s="69" t="str">
        <f ca="1">IF(AND($C33="Goal",BY$8&gt;=$G33,BY$8&lt;=$G33+$H33-1),2,IF(AND($C33="Milestone",BY$8&gt;=$G33,BY$8&lt;=$G33+$H33-1),1,""))</f>
        <v/>
      </c>
      <c r="BZ33" s="69" t="str">
        <f ca="1">IF(AND($C33="Goal",BZ$8&gt;=$G33,BZ$8&lt;=$G33+$H33-1),2,IF(AND($C33="Milestone",BZ$8&gt;=$G33,BZ$8&lt;=$G33+$H33-1),1,""))</f>
        <v/>
      </c>
      <c r="CA33" s="69" t="str">
        <f ca="1">IF(AND($C33="Goal",CA$8&gt;=$G33,CA$8&lt;=$G33+$H33-1),2,IF(AND($C33="Milestone",CA$8&gt;=$G33,CA$8&lt;=$G33+$H33-1),1,""))</f>
        <v/>
      </c>
      <c r="CB33" s="69" t="str">
        <f ca="1">IF(AND($C33="Goal",CB$8&gt;=$G33,CB$8&lt;=$G33+$H33-1),2,IF(AND($C33="Milestone",CB$8&gt;=$G33,CB$8&lt;=$G33+$H33-1),1,""))</f>
        <v/>
      </c>
      <c r="CC33" s="69" t="str">
        <f ca="1">IF(AND($C33="Goal",CC$8&gt;=$G33,CC$8&lt;=$G33+$H33-1),2,IF(AND($C33="Milestone",CC$8&gt;=$G33,CC$8&lt;=$G33+$H33-1),1,""))</f>
        <v/>
      </c>
      <c r="CD33" s="69" t="str">
        <f ca="1">IF(AND($C33="Goal",CD$8&gt;=$G33,CD$8&lt;=$G33+$H33-1),2,IF(AND($C33="Milestone",CD$8&gt;=$G33,CD$8&lt;=$G33+$H33-1),1,""))</f>
        <v/>
      </c>
      <c r="CE33" s="69" t="str">
        <f ca="1">IF(AND($C33="Goal",CE$8&gt;=$G33,CE$8&lt;=$G33+$H33-1),2,IF(AND($C33="Milestone",CE$8&gt;=$G33,CE$8&lt;=$G33+$H33-1),1,""))</f>
        <v/>
      </c>
      <c r="CF33" s="69" t="str">
        <f ca="1">IF(AND($C33="Goal",CF$8&gt;=$G33,CF$8&lt;=$G33+$H33-1),2,IF(AND($C33="Milestone",CF$8&gt;=$G33,CF$8&lt;=$G33+$H33-1),1,""))</f>
        <v/>
      </c>
      <c r="CG33" s="69" t="str">
        <f ca="1">IF(AND($C33="Goal",CG$8&gt;=$G33,CG$8&lt;=$G33+$H33-1),2,IF(AND($C33="Milestone",CG$8&gt;=$G33,CG$8&lt;=$G33+$H33-1),1,""))</f>
        <v/>
      </c>
      <c r="CH33" s="69" t="str">
        <f ca="1">IF(AND($C33="Goal",CH$8&gt;=$G33,CH$8&lt;=$G33+$H33-1),2,IF(AND($C33="Milestone",CH$8&gt;=$G33,CH$8&lt;=$G33+$H33-1),1,""))</f>
        <v/>
      </c>
      <c r="CI33" s="69" t="str">
        <f ca="1">IF(AND($C33="Goal",CI$8&gt;=$G33,CI$8&lt;=$G33+$H33-1),2,IF(AND($C33="Milestone",CI$8&gt;=$G33,CI$8&lt;=$G33+$H33-1),1,""))</f>
        <v/>
      </c>
      <c r="CJ33" s="69" t="str">
        <f ca="1">IF(AND($C33="Goal",CJ$8&gt;=$G33,CJ$8&lt;=$G33+$H33-1),2,IF(AND($C33="Milestone",CJ$8&gt;=$G33,CJ$8&lt;=$G33+$H33-1),1,""))</f>
        <v/>
      </c>
      <c r="CK33" s="69" t="str">
        <f ca="1">IF(AND($C33="Goal",CK$8&gt;=$G33,CK$8&lt;=$G33+$H33-1),2,IF(AND($C33="Milestone",CK$8&gt;=$G33,CK$8&lt;=$G33+$H33-1),1,""))</f>
        <v/>
      </c>
      <c r="CL33" s="69" t="str">
        <f ca="1">IF(AND($C33="Goal",CL$8&gt;=$G33,CL$8&lt;=$G33+$H33-1),2,IF(AND($C33="Milestone",CL$8&gt;=$G33,CL$8&lt;=$G33+$H33-1),1,""))</f>
        <v/>
      </c>
      <c r="CM33" s="69" t="str">
        <f ca="1">IF(AND($C33="Goal",CM$8&gt;=$G33,CM$8&lt;=$G33+$H33-1),2,IF(AND($C33="Milestone",CM$8&gt;=$G33,CM$8&lt;=$G33+$H33-1),1,""))</f>
        <v/>
      </c>
      <c r="CN33" s="69" t="str">
        <f ca="1">IF(AND($C33="Goal",CN$8&gt;=$G33,CN$8&lt;=$G33+$H33-1),2,IF(AND($C33="Milestone",CN$8&gt;=$G33,CN$8&lt;=$G33+$H33-1),1,""))</f>
        <v/>
      </c>
      <c r="CO33" s="69" t="str">
        <f ca="1">IF(AND($C33="Goal",CO$8&gt;=$G33,CO$8&lt;=$G33+$H33-1),2,IF(AND($C33="Milestone",CO$8&gt;=$G33,CO$8&lt;=$G33+$H33-1),1,""))</f>
        <v/>
      </c>
      <c r="CP33" s="69" t="str">
        <f ca="1">IF(AND($C33="Goal",CP$8&gt;=$G33,CP$8&lt;=$G33+$H33-1),2,IF(AND($C33="Milestone",CP$8&gt;=$G33,CP$8&lt;=$G33+$H33-1),1,""))</f>
        <v/>
      </c>
      <c r="CQ33" s="69" t="str">
        <f ca="1">IF(AND($C33="Goal",CQ$8&gt;=$G33,CQ$8&lt;=$G33+$H33-1),2,IF(AND($C33="Milestone",CQ$8&gt;=$G33,CQ$8&lt;=$G33+$H33-1),1,""))</f>
        <v/>
      </c>
      <c r="CR33" s="69" t="str">
        <f ca="1">IF(AND($C33="Goal",CR$8&gt;=$G33,CR$8&lt;=$G33+$H33-1),2,IF(AND($C33="Milestone",CR$8&gt;=$G33,CR$8&lt;=$G33+$H33-1),1,""))</f>
        <v/>
      </c>
      <c r="CS33" s="69" t="str">
        <f ca="1">IF(AND($C33="Goal",CS$8&gt;=$G33,CS$8&lt;=$G33+$H33-1),2,IF(AND($C33="Milestone",CS$8&gt;=$G33,CS$8&lt;=$G33+$H33-1),1,""))</f>
        <v/>
      </c>
      <c r="CT33" s="69" t="str">
        <f ca="1">IF(AND($C33="Goal",CT$8&gt;=$G33,CT$8&lt;=$G33+$H33-1),2,IF(AND($C33="Milestone",CT$8&gt;=$G33,CT$8&lt;=$G33+$H33-1),1,""))</f>
        <v/>
      </c>
      <c r="CU33" s="69" t="str">
        <f ca="1">IF(AND($C33="Goal",CU$8&gt;=$G33,CU$8&lt;=$G33+$H33-1),2,IF(AND($C33="Milestone",CU$8&gt;=$G33,CU$8&lt;=$G33+$H33-1),1,""))</f>
        <v/>
      </c>
      <c r="CV33" s="69" t="str">
        <f ca="1">IF(AND($C33="Goal",CV$8&gt;=$G33,CV$8&lt;=$G33+$H33-1),2,IF(AND($C33="Milestone",CV$8&gt;=$G33,CV$8&lt;=$G33+$H33-1),1,""))</f>
        <v/>
      </c>
      <c r="CW33" s="69" t="str">
        <f ca="1">IF(AND($C33="Goal",CW$8&gt;=$G33,CW$8&lt;=$G33+$H33-1),2,IF(AND($C33="Milestone",CW$8&gt;=$G33,CW$8&lt;=$G33+$H33-1),1,""))</f>
        <v/>
      </c>
      <c r="CX33" s="69" t="str">
        <f ca="1">IF(AND($C33="Goal",CX$8&gt;=$G33,CX$8&lt;=$G33+$H33-1),2,IF(AND($C33="Milestone",CX$8&gt;=$G33,CX$8&lt;=$G33+$H33-1),1,""))</f>
        <v/>
      </c>
      <c r="CY33" s="69" t="str">
        <f ca="1">IF(AND($C33="Goal",CY$8&gt;=$G33,CY$8&lt;=$G33+$H33-1),2,IF(AND($C33="Milestone",CY$8&gt;=$G33,CY$8&lt;=$G33+$H33-1),1,""))</f>
        <v/>
      </c>
      <c r="CZ33" s="69" t="str">
        <f ca="1">IF(AND($C33="Goal",CZ$8&gt;=$G33,CZ$8&lt;=$G33+$H33-1),2,IF(AND($C33="Milestone",CZ$8&gt;=$G33,CZ$8&lt;=$G33+$H33-1),1,""))</f>
        <v/>
      </c>
      <c r="DA33" s="69" t="str">
        <f ca="1">IF(AND($C33="Goal",DA$8&gt;=$G33,DA$8&lt;=$G33+$H33-1),2,IF(AND($C33="Milestone",DA$8&gt;=$G33,DA$8&lt;=$G33+$H33-1),1,""))</f>
        <v/>
      </c>
      <c r="DB33" s="69" t="str">
        <f ca="1">IF(AND($C33="Goal",DB$8&gt;=$G33,DB$8&lt;=$G33+$H33-1),2,IF(AND($C33="Milestone",DB$8&gt;=$G33,DB$8&lt;=$G33+$H33-1),1,""))</f>
        <v/>
      </c>
      <c r="DC33" s="69" t="str">
        <f ca="1">IF(AND($C33="Goal",DC$8&gt;=$G33,DC$8&lt;=$G33+$H33-1),2,IF(AND($C33="Milestone",DC$8&gt;=$G33,DC$8&lt;=$G33+$H33-1),1,""))</f>
        <v/>
      </c>
      <c r="DD33" s="69" t="str">
        <f ca="1">IF(AND($C33="Goal",DD$8&gt;=$G33,DD$8&lt;=$G33+$H33-1),2,IF(AND($C33="Milestone",DD$8&gt;=$G33,DD$8&lt;=$G33+$H33-1),1,""))</f>
        <v/>
      </c>
      <c r="DE33" s="69" t="str">
        <f ca="1">IF(AND($C33="Goal",DE$8&gt;=$G33,DE$8&lt;=$G33+$H33-1),2,IF(AND($C33="Milestone",DE$8&gt;=$G33,DE$8&lt;=$G33+$H33-1),1,""))</f>
        <v/>
      </c>
      <c r="DF33" s="69" t="str">
        <f ca="1">IF(AND($C33="Goal",DF$8&gt;=$G33,DF$8&lt;=$G33+$H33-1),2,IF(AND($C33="Milestone",DF$8&gt;=$G33,DF$8&lt;=$G33+$H33-1),1,""))</f>
        <v/>
      </c>
      <c r="DG33" s="69" t="str">
        <f ca="1">IF(AND($C33="Goal",DG$8&gt;=$G33,DG$8&lt;=$G33+$H33-1),2,IF(AND($C33="Milestone",DG$8&gt;=$G33,DG$8&lt;=$G33+$H33-1),1,""))</f>
        <v/>
      </c>
      <c r="DH33" s="69" t="str">
        <f ca="1">IF(AND($C33="Goal",DH$8&gt;=$G33,DH$8&lt;=$G33+$H33-1),2,IF(AND($C33="Milestone",DH$8&gt;=$G33,DH$8&lt;=$G33+$H33-1),1,""))</f>
        <v/>
      </c>
      <c r="DI33" s="69" t="str">
        <f ca="1">IF(AND($C33="Goal",DI$8&gt;=$G33,DI$8&lt;=$G33+$H33-1),2,IF(AND($C33="Milestone",DI$8&gt;=$G33,DI$8&lt;=$G33+$H33-1),1,""))</f>
        <v/>
      </c>
      <c r="DJ33" s="69" t="str">
        <f ca="1">IF(AND($C33="Goal",DJ$8&gt;=$G33,DJ$8&lt;=$G33+$H33-1),2,IF(AND($C33="Milestone",DJ$8&gt;=$G33,DJ$8&lt;=$G33+$H33-1),1,""))</f>
        <v/>
      </c>
      <c r="DK33" s="69" t="str">
        <f ca="1">IF(AND($C33="Goal",DK$8&gt;=$G33,DK$8&lt;=$G33+$H33-1),2,IF(AND($C33="Milestone",DK$8&gt;=$G33,DK$8&lt;=$G33+$H33-1),1,""))</f>
        <v/>
      </c>
      <c r="DL33" s="69" t="str">
        <f ca="1">IF(AND($C33="Goal",DL$8&gt;=$G33,DL$8&lt;=$G33+$H33-1),2,IF(AND($C33="Milestone",DL$8&gt;=$G33,DL$8&lt;=$G33+$H33-1),1,""))</f>
        <v/>
      </c>
      <c r="DM33" s="69" t="str">
        <f ca="1">IF(AND($C33="Goal",DM$8&gt;=$G33,DM$8&lt;=$G33+$H33-1),2,IF(AND($C33="Milestone",DM$8&gt;=$G33,DM$8&lt;=$G33+$H33-1),1,""))</f>
        <v/>
      </c>
      <c r="DN33" s="69" t="str">
        <f ca="1">IF(AND($C33="Goal",DN$8&gt;=$G33,DN$8&lt;=$G33+$H33-1),2,IF(AND($C33="Milestone",DN$8&gt;=$G33,DN$8&lt;=$G33+$H33-1),1,""))</f>
        <v/>
      </c>
      <c r="DO33" s="69" t="str">
        <f ca="1">IF(AND($C33="Goal",DO$8&gt;=$G33,DO$8&lt;=$G33+$H33-1),2,IF(AND($C33="Milestone",DO$8&gt;=$G33,DO$8&lt;=$G33+$H33-1),1,""))</f>
        <v/>
      </c>
      <c r="DP33" s="69" t="str">
        <f ca="1">IF(AND($C33="Goal",DP$8&gt;=$G33,DP$8&lt;=$G33+$H33-1),2,IF(AND($C33="Milestone",DP$8&gt;=$G33,DP$8&lt;=$G33+$H33-1),1,""))</f>
        <v/>
      </c>
      <c r="DQ33" s="69" t="str">
        <f ca="1">IF(AND($C33="Goal",DQ$8&gt;=$G33,DQ$8&lt;=$G33+$H33-1),2,IF(AND($C33="Milestone",DQ$8&gt;=$G33,DQ$8&lt;=$G33+$H33-1),1,""))</f>
        <v/>
      </c>
      <c r="DR33" s="69" t="str">
        <f ca="1">IF(AND($C33="Goal",DR$8&gt;=$G33,DR$8&lt;=$G33+$H33-1),2,IF(AND($C33="Milestone",DR$8&gt;=$G33,DR$8&lt;=$G33+$H33-1),1,""))</f>
        <v/>
      </c>
      <c r="DS33" s="69" t="str">
        <f ca="1">IF(AND($C33="Goal",DS$8&gt;=$G33,DS$8&lt;=$G33+$H33-1),2,IF(AND($C33="Milestone",DS$8&gt;=$G33,DS$8&lt;=$G33+$H33-1),1,""))</f>
        <v/>
      </c>
      <c r="DT33" s="69" t="str">
        <f ca="1">IF(AND($C33="Goal",DT$8&gt;=$G33,DT$8&lt;=$G33+$H33-1),2,IF(AND($C33="Milestone",DT$8&gt;=$G33,DT$8&lt;=$G33+$H33-1),1,""))</f>
        <v/>
      </c>
      <c r="DU33" s="69" t="str">
        <f ca="1">IF(AND($C33="Goal",DU$8&gt;=$G33,DU$8&lt;=$G33+$H33-1),2,IF(AND($C33="Milestone",DU$8&gt;=$G33,DU$8&lt;=$G33+$H33-1),1,""))</f>
        <v/>
      </c>
      <c r="DV33" s="69" t="str">
        <f ca="1">IF(AND($C33="Goal",DV$8&gt;=$G33,DV$8&lt;=$G33+$H33-1),2,IF(AND($C33="Milestone",DV$8&gt;=$G33,DV$8&lt;=$G33+$H33-1),1,""))</f>
        <v/>
      </c>
      <c r="DW33" s="69" t="str">
        <f ca="1">IF(AND($C33="Goal",DW$8&gt;=$G33,DW$8&lt;=$G33+$H33-1),2,IF(AND($C33="Milestone",DW$8&gt;=$G33,DW$8&lt;=$G33+$H33-1),1,""))</f>
        <v/>
      </c>
      <c r="DX33" s="69" t="str">
        <f ca="1">IF(AND($C33="Goal",DX$8&gt;=$G33,DX$8&lt;=$G33+$H33-1),2,IF(AND($C33="Milestone",DX$8&gt;=$G33,DX$8&lt;=$G33+$H33-1),1,""))</f>
        <v/>
      </c>
      <c r="DY33" s="69" t="str">
        <f ca="1">IF(AND($C33="Goal",DY$8&gt;=$G33,DY$8&lt;=$G33+$H33-1),2,IF(AND($C33="Milestone",DY$8&gt;=$G33,DY$8&lt;=$G33+$H33-1),1,""))</f>
        <v/>
      </c>
      <c r="DZ33" s="69" t="str">
        <f ca="1">IF(AND($C33="Goal",DZ$8&gt;=$G33,DZ$8&lt;=$G33+$H33-1),2,IF(AND($C33="Milestone",DZ$8&gt;=$G33,DZ$8&lt;=$G33+$H33-1),1,""))</f>
        <v/>
      </c>
      <c r="EA33" s="69" t="str">
        <f ca="1">IF(AND($C33="Goal",EA$8&gt;=$G33,EA$8&lt;=$G33+$H33-1),2,IF(AND($C33="Milestone",EA$8&gt;=$G33,EA$8&lt;=$G33+$H33-1),1,""))</f>
        <v/>
      </c>
      <c r="EB33" s="69" t="str">
        <f ca="1">IF(AND($C33="Goal",EB$8&gt;=$G33,EB$8&lt;=$G33+$H33-1),2,IF(AND($C33="Milestone",EB$8&gt;=$G33,EB$8&lt;=$G33+$H33-1),1,""))</f>
        <v/>
      </c>
      <c r="EC33" s="69" t="str">
        <f ca="1">IF(AND($C33="Goal",EC$8&gt;=$G33,EC$8&lt;=$G33+$H33-1),2,IF(AND($C33="Milestone",EC$8&gt;=$G33,EC$8&lt;=$G33+$H33-1),1,""))</f>
        <v/>
      </c>
      <c r="ED33" s="69" t="str">
        <f ca="1">IF(AND($C33="Goal",ED$8&gt;=$G33,ED$8&lt;=$G33+$H33-1),2,IF(AND($C33="Milestone",ED$8&gt;=$G33,ED$8&lt;=$G33+$H33-1),1,""))</f>
        <v/>
      </c>
      <c r="EE33" s="69" t="str">
        <f ca="1">IF(AND($C33="Goal",EE$8&gt;=$G33,EE$8&lt;=$G33+$H33-1),2,IF(AND($C33="Milestone",EE$8&gt;=$G33,EE$8&lt;=$G33+$H33-1),1,""))</f>
        <v/>
      </c>
      <c r="EF33" s="69" t="str">
        <f ca="1">IF(AND($C33="Goal",EF$8&gt;=$G33,EF$8&lt;=$G33+$H33-1),2,IF(AND($C33="Milestone",EF$8&gt;=$G33,EF$8&lt;=$G33+$H33-1),1,""))</f>
        <v/>
      </c>
      <c r="EG33" s="69" t="str">
        <f ca="1">IF(AND($C33="Goal",EG$8&gt;=$G33,EG$8&lt;=$G33+$H33-1),2,IF(AND($C33="Milestone",EG$8&gt;=$G33,EG$8&lt;=$G33+$H33-1),1,""))</f>
        <v/>
      </c>
      <c r="EH33" s="69" t="str">
        <f ca="1">IF(AND($C33="Goal",EH$8&gt;=$G33,EH$8&lt;=$G33+$H33-1),2,IF(AND($C33="Milestone",EH$8&gt;=$G33,EH$8&lt;=$G33+$H33-1),1,""))</f>
        <v/>
      </c>
      <c r="EI33" s="69" t="str">
        <f ca="1">IF(AND($C33="Goal",EI$8&gt;=$G33,EI$8&lt;=$G33+$H33-1),2,IF(AND($C33="Milestone",EI$8&gt;=$G33,EI$8&lt;=$G33+$H33-1),1,""))</f>
        <v/>
      </c>
      <c r="EJ33" s="69" t="str">
        <f ca="1">IF(AND($C33="Goal",EJ$8&gt;=$G33,EJ$8&lt;=$G33+$H33-1),2,IF(AND($C33="Milestone",EJ$8&gt;=$G33,EJ$8&lt;=$G33+$H33-1),1,""))</f>
        <v/>
      </c>
      <c r="EK33" s="69" t="str">
        <f ca="1">IF(AND($C33="Goal",EK$8&gt;=$G33,EK$8&lt;=$G33+$H33-1),2,IF(AND($C33="Milestone",EK$8&gt;=$G33,EK$8&lt;=$G33+$H33-1),1,""))</f>
        <v/>
      </c>
      <c r="EL33" s="69" t="str">
        <f ca="1">IF(AND($C33="Goal",EL$8&gt;=$G33,EL$8&lt;=$G33+$H33-1),2,IF(AND($C33="Milestone",EL$8&gt;=$G33,EL$8&lt;=$G33+$H33-1),1,""))</f>
        <v/>
      </c>
      <c r="EM33" s="69" t="str">
        <f ca="1">IF(AND($C33="Goal",EM$8&gt;=$G33,EM$8&lt;=$G33+$H33-1),2,IF(AND($C33="Milestone",EM$8&gt;=$G33,EM$8&lt;=$G33+$H33-1),1,""))</f>
        <v/>
      </c>
      <c r="EN33" s="69" t="str">
        <f ca="1">IF(AND($C33="Goal",EN$8&gt;=$G33,EN$8&lt;=$G33+$H33-1),2,IF(AND($C33="Milestone",EN$8&gt;=$G33,EN$8&lt;=$G33+$H33-1),1,""))</f>
        <v/>
      </c>
      <c r="EO33" s="69" t="str">
        <f ca="1">IF(AND($C33="Goal",EO$8&gt;=$G33,EO$8&lt;=$G33+$H33-1),2,IF(AND($C33="Milestone",EO$8&gt;=$G33,EO$8&lt;=$G33+$H33-1),1,""))</f>
        <v/>
      </c>
      <c r="EP33" s="69" t="str">
        <f ca="1">IF(AND($C33="Goal",EP$8&gt;=$G33,EP$8&lt;=$G33+$H33-1),2,IF(AND($C33="Milestone",EP$8&gt;=$G33,EP$8&lt;=$G33+$H33-1),1,""))</f>
        <v/>
      </c>
      <c r="EQ33" s="69" t="str">
        <f ca="1">IF(AND($C33="Goal",EQ$8&gt;=$G33,EQ$8&lt;=$G33+$H33-1),2,IF(AND($C33="Milestone",EQ$8&gt;=$G33,EQ$8&lt;=$G33+$H33-1),1,""))</f>
        <v/>
      </c>
      <c r="ER33" s="69" t="str">
        <f ca="1">IF(AND($C33="Goal",ER$8&gt;=$G33,ER$8&lt;=$G33+$H33-1),2,IF(AND($C33="Milestone",ER$8&gt;=$G33,ER$8&lt;=$G33+$H33-1),1,""))</f>
        <v/>
      </c>
      <c r="ES33" s="69" t="str">
        <f ca="1">IF(AND($C33="Goal",ES$8&gt;=$G33,ES$8&lt;=$G33+$H33-1),2,IF(AND($C33="Milestone",ES$8&gt;=$G33,ES$8&lt;=$G33+$H33-1),1,""))</f>
        <v/>
      </c>
      <c r="ET33" s="69" t="str">
        <f ca="1">IF(AND($C33="Goal",ET$8&gt;=$G33,ET$8&lt;=$G33+$H33-1),2,IF(AND($C33="Milestone",ET$8&gt;=$G33,ET$8&lt;=$G33+$H33-1),1,""))</f>
        <v/>
      </c>
      <c r="EU33" s="69" t="str">
        <f ca="1">IF(AND($C33="Goal",EU$8&gt;=$G33,EU$8&lt;=$G33+$H33-1),2,IF(AND($C33="Milestone",EU$8&gt;=$G33,EU$8&lt;=$G33+$H33-1),1,""))</f>
        <v/>
      </c>
      <c r="EV33" s="69" t="str">
        <f ca="1">IF(AND($C33="Goal",EV$8&gt;=$G33,EV$8&lt;=$G33+$H33-1),2,IF(AND($C33="Milestone",EV$8&gt;=$G33,EV$8&lt;=$G33+$H33-1),1,""))</f>
        <v/>
      </c>
      <c r="EW33" s="69" t="str">
        <f ca="1">IF(AND($C33="Goal",EW$8&gt;=$G33,EW$8&lt;=$G33+$H33-1),2,IF(AND($C33="Milestone",EW$8&gt;=$G33,EW$8&lt;=$G33+$H33-1),1,""))</f>
        <v/>
      </c>
      <c r="EX33" s="69" t="str">
        <f ca="1">IF(AND($C33="Goal",EX$8&gt;=$G33,EX$8&lt;=$G33+$H33-1),2,IF(AND($C33="Milestone",EX$8&gt;=$G33,EX$8&lt;=$G33+$H33-1),1,""))</f>
        <v/>
      </c>
      <c r="EY33" s="69" t="str">
        <f ca="1">IF(AND($C33="Goal",EY$8&gt;=$G33,EY$8&lt;=$G33+$H33-1),2,IF(AND($C33="Milestone",EY$8&gt;=$G33,EY$8&lt;=$G33+$H33-1),1,""))</f>
        <v/>
      </c>
      <c r="EZ33" s="69" t="str">
        <f ca="1">IF(AND($C33="Goal",EZ$8&gt;=$G33,EZ$8&lt;=$G33+$H33-1),2,IF(AND($C33="Milestone",EZ$8&gt;=$G33,EZ$8&lt;=$G33+$H33-1),1,""))</f>
        <v/>
      </c>
      <c r="FA33" s="69" t="str">
        <f ca="1">IF(AND($C33="Goal",FA$8&gt;=$G33,FA$8&lt;=$G33+$H33-1),2,IF(AND($C33="Milestone",FA$8&gt;=$G33,FA$8&lt;=$G33+$H33-1),1,""))</f>
        <v/>
      </c>
      <c r="FB33" s="69" t="str">
        <f ca="1">IF(AND($C33="Goal",FB$8&gt;=$G33,FB$8&lt;=$G33+$H33-1),2,IF(AND($C33="Milestone",FB$8&gt;=$G33,FB$8&lt;=$G33+$H33-1),1,""))</f>
        <v/>
      </c>
      <c r="FC33" s="69" t="str">
        <f ca="1">IF(AND($C33="Goal",FC$8&gt;=$G33,FC$8&lt;=$G33+$H33-1),2,IF(AND($C33="Milestone",FC$8&gt;=$G33,FC$8&lt;=$G33+$H33-1),1,""))</f>
        <v/>
      </c>
      <c r="FD33" s="69" t="str">
        <f ca="1">IF(AND($C33="Goal",FD$8&gt;=$G33,FD$8&lt;=$G33+$H33-1),2,IF(AND($C33="Milestone",FD$8&gt;=$G33,FD$8&lt;=$G33+$H33-1),1,""))</f>
        <v/>
      </c>
      <c r="FE33" s="69" t="str">
        <f ca="1">IF(AND($C33="Goal",FE$8&gt;=$G33,FE$8&lt;=$G33+$H33-1),2,IF(AND($C33="Milestone",FE$8&gt;=$G33,FE$8&lt;=$G33+$H33-1),1,""))</f>
        <v/>
      </c>
      <c r="FF33" s="69" t="str">
        <f ca="1">IF(AND($C33="Goal",FF$8&gt;=$G33,FF$8&lt;=$G33+$H33-1),2,IF(AND($C33="Milestone",FF$8&gt;=$G33,FF$8&lt;=$G33+$H33-1),1,""))</f>
        <v/>
      </c>
      <c r="FG33" s="69" t="str">
        <f ca="1">IF(AND($C33="Goal",FG$8&gt;=$G33,FG$8&lt;=$G33+$H33-1),2,IF(AND($C33="Milestone",FG$8&gt;=$G33,FG$8&lt;=$G33+$H33-1),1,""))</f>
        <v/>
      </c>
      <c r="FH33" s="69" t="str">
        <f ca="1">IF(AND($C33="Goal",FH$8&gt;=$G33,FH$8&lt;=$G33+$H33-1),2,IF(AND($C33="Milestone",FH$8&gt;=$G33,FH$8&lt;=$G33+$H33-1),1,""))</f>
        <v/>
      </c>
      <c r="FI33" s="69" t="str">
        <f ca="1">IF(AND($C33="Goal",FI$8&gt;=$G33,FI$8&lt;=$G33+$H33-1),2,IF(AND($C33="Milestone",FI$8&gt;=$G33,FI$8&lt;=$G33+$H33-1),1,""))</f>
        <v/>
      </c>
      <c r="FJ33" s="69" t="str">
        <f ca="1">IF(AND($C33="Goal",FJ$8&gt;=$G33,FJ$8&lt;=$G33+$H33-1),2,IF(AND($C33="Milestone",FJ$8&gt;=$G33,FJ$8&lt;=$G33+$H33-1),1,""))</f>
        <v/>
      </c>
      <c r="FK33" s="69" t="str">
        <f ca="1">IF(AND($C33="Goal",FK$8&gt;=$G33,FK$8&lt;=$G33+$H33-1),2,IF(AND($C33="Milestone",FK$8&gt;=$G33,FK$8&lt;=$G33+$H33-1),1,""))</f>
        <v/>
      </c>
      <c r="FL33" s="69" t="str">
        <f ca="1">IF(AND($C33="Goal",FL$8&gt;=$G33,FL$8&lt;=$G33+$H33-1),2,IF(AND($C33="Milestone",FL$8&gt;=$G33,FL$8&lt;=$G33+$H33-1),1,""))</f>
        <v/>
      </c>
      <c r="FM33" s="69" t="str">
        <f ca="1">IF(AND($C33="Goal",FM$8&gt;=$G33,FM$8&lt;=$G33+$H33-1),2,IF(AND($C33="Milestone",FM$8&gt;=$G33,FM$8&lt;=$G33+$H33-1),1,""))</f>
        <v/>
      </c>
      <c r="FN33" s="69" t="str">
        <f ca="1">IF(AND($C33="Goal",FN$8&gt;=$G33,FN$8&lt;=$G33+$H33-1),2,IF(AND($C33="Milestone",FN$8&gt;=$G33,FN$8&lt;=$G33+$H33-1),1,""))</f>
        <v/>
      </c>
      <c r="FO33" s="69" t="str">
        <f ca="1">IF(AND($C33="Goal",FO$8&gt;=$G33,FO$8&lt;=$G33+$H33-1),2,IF(AND($C33="Milestone",FO$8&gt;=$G33,FO$8&lt;=$G33+$H33-1),1,""))</f>
        <v/>
      </c>
      <c r="FP33" s="69" t="str">
        <f ca="1">IF(AND($C33="Goal",FP$8&gt;=$G33,FP$8&lt;=$G33+$H33-1),2,IF(AND($C33="Milestone",FP$8&gt;=$G33,FP$8&lt;=$G33+$H33-1),1,""))</f>
        <v/>
      </c>
      <c r="FQ33" s="69" t="str">
        <f ca="1">IF(AND($C33="Goal",FQ$8&gt;=$G33,FQ$8&lt;=$G33+$H33-1),2,IF(AND($C33="Milestone",FQ$8&gt;=$G33,FQ$8&lt;=$G33+$H33-1),1,""))</f>
        <v/>
      </c>
      <c r="FR33" s="69" t="str">
        <f ca="1">IF(AND($C33="Goal",FR$8&gt;=$G33,FR$8&lt;=$G33+$H33-1),2,IF(AND($C33="Milestone",FR$8&gt;=$G33,FR$8&lt;=$G33+$H33-1),1,""))</f>
        <v/>
      </c>
      <c r="FS33" s="69" t="str">
        <f ca="1">IF(AND($C33="Goal",FS$8&gt;=$G33,FS$8&lt;=$G33+$H33-1),2,IF(AND($C33="Milestone",FS$8&gt;=$G33,FS$8&lt;=$G33+$H33-1),1,""))</f>
        <v/>
      </c>
      <c r="FT33" s="69" t="str">
        <f ca="1">IF(AND($C33="Goal",FT$8&gt;=$G33,FT$8&lt;=$G33+$H33-1),2,IF(AND($C33="Milestone",FT$8&gt;=$G33,FT$8&lt;=$G33+$H33-1),1,""))</f>
        <v/>
      </c>
      <c r="FU33" s="69" t="str">
        <f ca="1">IF(AND($C33="Goal",FU$8&gt;=$G33,FU$8&lt;=$G33+$H33-1),2,IF(AND($C33="Milestone",FU$8&gt;=$G33,FU$8&lt;=$G33+$H33-1),1,""))</f>
        <v/>
      </c>
      <c r="FV33" s="69" t="str">
        <f ca="1">IF(AND($C33="Goal",FV$8&gt;=$G33,FV$8&lt;=$G33+$H33-1),2,IF(AND($C33="Milestone",FV$8&gt;=$G33,FV$8&lt;=$G33+$H33-1),1,""))</f>
        <v/>
      </c>
      <c r="FW33" s="69" t="str">
        <f ca="1">IF(AND($C33="Goal",FW$8&gt;=$G33,FW$8&lt;=$G33+$H33-1),2,IF(AND($C33="Milestone",FW$8&gt;=$G33,FW$8&lt;=$G33+$H33-1),1,""))</f>
        <v/>
      </c>
      <c r="FX33" s="69" t="str">
        <f ca="1">IF(AND($C33="Goal",FX$8&gt;=$G33,FX$8&lt;=$G33+$H33-1),2,IF(AND($C33="Milestone",FX$8&gt;=$G33,FX$8&lt;=$G33+$H33-1),1,""))</f>
        <v/>
      </c>
      <c r="FY33" s="69" t="str">
        <f ca="1">IF(AND($C33="Goal",FY$8&gt;=$G33,FY$8&lt;=$G33+$H33-1),2,IF(AND($C33="Milestone",FY$8&gt;=$G33,FY$8&lt;=$G33+$H33-1),1,""))</f>
        <v/>
      </c>
      <c r="FZ33" s="69" t="str">
        <f ca="1">IF(AND($C33="Goal",FZ$8&gt;=$G33,FZ$8&lt;=$G33+$H33-1),2,IF(AND($C33="Milestone",FZ$8&gt;=$G33,FZ$8&lt;=$G33+$H33-1),1,""))</f>
        <v/>
      </c>
      <c r="GA33" s="69" t="str">
        <f ca="1">IF(AND($C33="Goal",GA$8&gt;=$G33,GA$8&lt;=$G33+$H33-1),2,IF(AND($C33="Milestone",GA$8&gt;=$G33,GA$8&lt;=$G33+$H33-1),1,""))</f>
        <v/>
      </c>
      <c r="GB33" s="69" t="str">
        <f ca="1">IF(AND($C33="Goal",GB$8&gt;=$G33,GB$8&lt;=$G33+$H33-1),2,IF(AND($C33="Milestone",GB$8&gt;=$G33,GB$8&lt;=$G33+$H33-1),1,""))</f>
        <v/>
      </c>
      <c r="GC33" s="69" t="str">
        <f ca="1">IF(AND($C33="Goal",GC$8&gt;=$G33,GC$8&lt;=$G33+$H33-1),2,IF(AND($C33="Milestone",GC$8&gt;=$G33,GC$8&lt;=$G33+$H33-1),1,""))</f>
        <v/>
      </c>
      <c r="GD33" s="69" t="str">
        <f ca="1">IF(AND($C33="Goal",GD$8&gt;=$G33,GD$8&lt;=$G33+$H33-1),2,IF(AND($C33="Milestone",GD$8&gt;=$G33,GD$8&lt;=$G33+$H33-1),1,""))</f>
        <v/>
      </c>
      <c r="GE33" s="69" t="str">
        <f ca="1">IF(AND($C33="Goal",GE$8&gt;=$G33,GE$8&lt;=$G33+$H33-1),2,IF(AND($C33="Milestone",GE$8&gt;=$G33,GE$8&lt;=$G33+$H33-1),1,""))</f>
        <v/>
      </c>
      <c r="GF33" s="69" t="str">
        <f ca="1">IF(AND($C33="Goal",GF$8&gt;=$G33,GF$8&lt;=$G33+$H33-1),2,IF(AND($C33="Milestone",GF$8&gt;=$G33,GF$8&lt;=$G33+$H33-1),1,""))</f>
        <v/>
      </c>
      <c r="GG33" s="69" t="str">
        <f ca="1">IF(AND($C33="Goal",GG$8&gt;=$G33,GG$8&lt;=$G33+$H33-1),2,IF(AND($C33="Milestone",GG$8&gt;=$G33,GG$8&lt;=$G33+$H33-1),1,""))</f>
        <v/>
      </c>
      <c r="GH33" s="69" t="str">
        <f ca="1">IF(AND($C33="Goal",GH$8&gt;=$G33,GH$8&lt;=$G33+$H33-1),2,IF(AND($C33="Milestone",GH$8&gt;=$G33,GH$8&lt;=$G33+$H33-1),1,""))</f>
        <v/>
      </c>
      <c r="GI33" s="69" t="str">
        <f ca="1">IF(AND($C33="Goal",GI$8&gt;=$G33,GI$8&lt;=$G33+$H33-1),2,IF(AND($C33="Milestone",GI$8&gt;=$G33,GI$8&lt;=$G33+$H33-1),1,""))</f>
        <v/>
      </c>
      <c r="GJ33" s="69" t="str">
        <f ca="1">IF(AND($C33="Goal",GJ$8&gt;=$G33,GJ$8&lt;=$G33+$H33-1),2,IF(AND($C33="Milestone",GJ$8&gt;=$G33,GJ$8&lt;=$G33+$H33-1),1,""))</f>
        <v/>
      </c>
      <c r="GK33" s="69" t="str">
        <f ca="1">IF(AND($C33="Goal",GK$8&gt;=$G33,GK$8&lt;=$G33+$H33-1),2,IF(AND($C33="Milestone",GK$8&gt;=$G33,GK$8&lt;=$G33+$H33-1),1,""))</f>
        <v/>
      </c>
      <c r="GL33" s="69" t="str">
        <f ca="1">IF(AND($C33="Goal",GL$8&gt;=$G33,GL$8&lt;=$G33+$H33-1),2,IF(AND($C33="Milestone",GL$8&gt;=$G33,GL$8&lt;=$G33+$H33-1),1,""))</f>
        <v/>
      </c>
      <c r="GM33" s="69" t="str">
        <f ca="1">IF(AND($C33="Goal",GM$8&gt;=$G33,GM$8&lt;=$G33+$H33-1),2,IF(AND($C33="Milestone",GM$8&gt;=$G33,GM$8&lt;=$G33+$H33-1),1,""))</f>
        <v/>
      </c>
      <c r="GN33" s="69" t="str">
        <f ca="1">IF(AND($C33="Goal",GN$8&gt;=$G33,GN$8&lt;=$G33+$H33-1),2,IF(AND($C33="Milestone",GN$8&gt;=$G33,GN$8&lt;=$G33+$H33-1),1,""))</f>
        <v/>
      </c>
      <c r="GO33" s="69" t="str">
        <f ca="1">IF(AND($C33="Goal",GO$8&gt;=$G33,GO$8&lt;=$G33+$H33-1),2,IF(AND($C33="Milestone",GO$8&gt;=$G33,GO$8&lt;=$G33+$H33-1),1,""))</f>
        <v/>
      </c>
      <c r="GP33" s="69" t="str">
        <f ca="1">IF(AND($C33="Goal",GP$8&gt;=$G33,GP$8&lt;=$G33+$H33-1),2,IF(AND($C33="Milestone",GP$8&gt;=$G33,GP$8&lt;=$G33+$H33-1),1,""))</f>
        <v/>
      </c>
      <c r="GQ33" s="69" t="str">
        <f ca="1">IF(AND($C33="Goal",GQ$8&gt;=$G33,GQ$8&lt;=$G33+$H33-1),2,IF(AND($C33="Milestone",GQ$8&gt;=$G33,GQ$8&lt;=$G33+$H33-1),1,""))</f>
        <v/>
      </c>
      <c r="GR33" s="69" t="str">
        <f ca="1">IF(AND($C33="Goal",GR$8&gt;=$G33,GR$8&lt;=$G33+$H33-1),2,IF(AND($C33="Milestone",GR$8&gt;=$G33,GR$8&lt;=$G33+$H33-1),1,""))</f>
        <v/>
      </c>
      <c r="GS33" s="69" t="str">
        <f ca="1">IF(AND($C33="Goal",GS$8&gt;=$G33,GS$8&lt;=$G33+$H33-1),2,IF(AND($C33="Milestone",GS$8&gt;=$G33,GS$8&lt;=$G33+$H33-1),1,""))</f>
        <v/>
      </c>
      <c r="GT33" s="69" t="str">
        <f ca="1">IF(AND($C33="Goal",GT$8&gt;=$G33,GT$8&lt;=$G33+$H33-1),2,IF(AND($C33="Milestone",GT$8&gt;=$G33,GT$8&lt;=$G33+$H33-1),1,""))</f>
        <v/>
      </c>
      <c r="GU33" s="69" t="str">
        <f ca="1">IF(AND($C33="Goal",GU$8&gt;=$G33,GU$8&lt;=$G33+$H33-1),2,IF(AND($C33="Milestone",GU$8&gt;=$G33,GU$8&lt;=$G33+$H33-1),1,""))</f>
        <v/>
      </c>
      <c r="GV33" s="69" t="str">
        <f ca="1">IF(AND($C33="Goal",GV$8&gt;=$G33,GV$8&lt;=$G33+$H33-1),2,IF(AND($C33="Milestone",GV$8&gt;=$G33,GV$8&lt;=$G33+$H33-1),1,""))</f>
        <v/>
      </c>
      <c r="GW33" s="69" t="str">
        <f ca="1">IF(AND($C33="Goal",GW$8&gt;=$G33,GW$8&lt;=$G33+$H33-1),2,IF(AND($C33="Milestone",GW$8&gt;=$G33,GW$8&lt;=$G33+$H33-1),1,""))</f>
        <v/>
      </c>
      <c r="GX33" s="69" t="str">
        <f ca="1">IF(AND($C33="Goal",GX$8&gt;=$G33,GX$8&lt;=$G33+$H33-1),2,IF(AND($C33="Milestone",GX$8&gt;=$G33,GX$8&lt;=$G33+$H33-1),1,""))</f>
        <v/>
      </c>
      <c r="GY33" s="69" t="str">
        <f ca="1">IF(AND($C33="Goal",GY$8&gt;=$G33,GY$8&lt;=$G33+$H33-1),2,IF(AND($C33="Milestone",GY$8&gt;=$G33,GY$8&lt;=$G33+$H33-1),1,""))</f>
        <v/>
      </c>
      <c r="GZ33" s="69" t="str">
        <f ca="1">IF(AND($C33="Goal",GZ$8&gt;=$G33,GZ$8&lt;=$G33+$H33-1),2,IF(AND($C33="Milestone",GZ$8&gt;=$G33,GZ$8&lt;=$G33+$H33-1),1,""))</f>
        <v/>
      </c>
      <c r="HA33" s="69" t="str">
        <f ca="1">IF(AND($C33="Goal",HA$8&gt;=$G33,HA$8&lt;=$G33+$H33-1),2,IF(AND($C33="Milestone",HA$8&gt;=$G33,HA$8&lt;=$G33+$H33-1),1,""))</f>
        <v/>
      </c>
      <c r="HB33" s="69" t="str">
        <f ca="1">IF(AND($C33="Goal",HB$8&gt;=$G33,HB$8&lt;=$G33+$H33-1),2,IF(AND($C33="Milestone",HB$8&gt;=$G33,HB$8&lt;=$G33+$H33-1),1,""))</f>
        <v/>
      </c>
      <c r="HC33" s="69" t="str">
        <f ca="1">IF(AND($C33="Goal",HC$8&gt;=$G33,HC$8&lt;=$G33+$H33-1),2,IF(AND($C33="Milestone",HC$8&gt;=$G33,HC$8&lt;=$G33+$H33-1),1,""))</f>
        <v/>
      </c>
      <c r="HD33" s="69" t="str">
        <f ca="1">IF(AND($C33="Goal",HD$8&gt;=$G33,HD$8&lt;=$G33+$H33-1),2,IF(AND($C33="Milestone",HD$8&gt;=$G33,HD$8&lt;=$G33+$H33-1),1,""))</f>
        <v/>
      </c>
      <c r="HE33" s="69" t="str">
        <f ca="1">IF(AND($C33="Goal",HE$8&gt;=$G33,HE$8&lt;=$G33+$H33-1),2,IF(AND($C33="Milestone",HE$8&gt;=$G33,HE$8&lt;=$G33+$H33-1),1,""))</f>
        <v/>
      </c>
      <c r="HF33" s="69" t="str">
        <f ca="1">IF(AND($C33="Goal",HF$8&gt;=$G33,HF$8&lt;=$G33+$H33-1),2,IF(AND($C33="Milestone",HF$8&gt;=$G33,HF$8&lt;=$G33+$H33-1),1,""))</f>
        <v/>
      </c>
      <c r="HG33" s="69" t="str">
        <f ca="1">IF(AND($C33="Goal",HG$8&gt;=$G33,HG$8&lt;=$G33+$H33-1),2,IF(AND($C33="Milestone",HG$8&gt;=$G33,HG$8&lt;=$G33+$H33-1),1,""))</f>
        <v/>
      </c>
      <c r="HH33" s="69" t="str">
        <f ca="1">IF(AND($C33="Goal",HH$8&gt;=$G33,HH$8&lt;=$G33+$H33-1),2,IF(AND($C33="Milestone",HH$8&gt;=$G33,HH$8&lt;=$G33+$H33-1),1,""))</f>
        <v/>
      </c>
      <c r="HI33" s="69" t="str">
        <f ca="1">IF(AND($C33="Goal",HI$8&gt;=$G33,HI$8&lt;=$G33+$H33-1),2,IF(AND($C33="Milestone",HI$8&gt;=$G33,HI$8&lt;=$G33+$H33-1),1,""))</f>
        <v/>
      </c>
      <c r="HJ33" s="69" t="str">
        <f ca="1">IF(AND($C33="Goal",HJ$8&gt;=$G33,HJ$8&lt;=$G33+$H33-1),2,IF(AND($C33="Milestone",HJ$8&gt;=$G33,HJ$8&lt;=$G33+$H33-1),1,""))</f>
        <v/>
      </c>
      <c r="HK33" s="69" t="str">
        <f ca="1">IF(AND($C33="Goal",HK$8&gt;=$G33,HK$8&lt;=$G33+$H33-1),2,IF(AND($C33="Milestone",HK$8&gt;=$G33,HK$8&lt;=$G33+$H33-1),1,""))</f>
        <v/>
      </c>
      <c r="HL33" s="69" t="str">
        <f ca="1">IF(AND($C33="Goal",HL$8&gt;=$G33,HL$8&lt;=$G33+$H33-1),2,IF(AND($C33="Milestone",HL$8&gt;=$G33,HL$8&lt;=$G33+$H33-1),1,""))</f>
        <v/>
      </c>
      <c r="HM33" s="69" t="str">
        <f ca="1">IF(AND($C33="Goal",HM$8&gt;=$G33,HM$8&lt;=$G33+$H33-1),2,IF(AND($C33="Milestone",HM$8&gt;=$G33,HM$8&lt;=$G33+$H33-1),1,""))</f>
        <v/>
      </c>
      <c r="HN33" s="69" t="str">
        <f ca="1">IF(AND($C33="Goal",HN$8&gt;=$G33,HN$8&lt;=$G33+$H33-1),2,IF(AND($C33="Milestone",HN$8&gt;=$G33,HN$8&lt;=$G33+$H33-1),1,""))</f>
        <v/>
      </c>
      <c r="HO33" s="69" t="str">
        <f ca="1">IF(AND($C33="Goal",HO$8&gt;=$G33,HO$8&lt;=$G33+$H33-1),2,IF(AND($C33="Milestone",HO$8&gt;=$G33,HO$8&lt;=$G33+$H33-1),1,""))</f>
        <v/>
      </c>
      <c r="HP33" s="69" t="str">
        <f ca="1">IF(AND($C33="Goal",HP$8&gt;=$G33,HP$8&lt;=$G33+$H33-1),2,IF(AND($C33="Milestone",HP$8&gt;=$G33,HP$8&lt;=$G33+$H33-1),1,""))</f>
        <v/>
      </c>
      <c r="HQ33" s="69" t="str">
        <f ca="1">IF(AND($C33="Goal",HQ$8&gt;=$G33,HQ$8&lt;=$G33+$H33-1),2,IF(AND($C33="Milestone",HQ$8&gt;=$G33,HQ$8&lt;=$G33+$H33-1),1,""))</f>
        <v/>
      </c>
      <c r="HR33" s="69" t="str">
        <f ca="1">IF(AND($C33="Goal",HR$8&gt;=$G33,HR$8&lt;=$G33+$H33-1),2,IF(AND($C33="Milestone",HR$8&gt;=$G33,HR$8&lt;=$G33+$H33-1),1,""))</f>
        <v/>
      </c>
      <c r="HS33" s="69" t="str">
        <f ca="1">IF(AND($C33="Goal",HS$8&gt;=$G33,HS$8&lt;=$G33+$H33-1),2,IF(AND($C33="Milestone",HS$8&gt;=$G33,HS$8&lt;=$G33+$H33-1),1,""))</f>
        <v/>
      </c>
      <c r="HT33" s="69" t="str">
        <f ca="1">IF(AND($C33="Goal",HT$8&gt;=$G33,HT$8&lt;=$G33+$H33-1),2,IF(AND($C33="Milestone",HT$8&gt;=$G33,HT$8&lt;=$G33+$H33-1),1,""))</f>
        <v/>
      </c>
      <c r="HU33" s="69" t="str">
        <f ca="1">IF(AND($C33="Goal",HU$8&gt;=$G33,HU$8&lt;=$G33+$H33-1),2,IF(AND($C33="Milestone",HU$8&gt;=$G33,HU$8&lt;=$G33+$H33-1),1,""))</f>
        <v/>
      </c>
      <c r="HV33" s="69" t="str">
        <f ca="1">IF(AND($C33="Goal",HV$8&gt;=$G33,HV$8&lt;=$G33+$H33-1),2,IF(AND($C33="Milestone",HV$8&gt;=$G33,HV$8&lt;=$G33+$H33-1),1,""))</f>
        <v/>
      </c>
      <c r="HW33" s="69" t="str">
        <f ca="1">IF(AND($C33="Goal",HW$8&gt;=$G33,HW$8&lt;=$G33+$H33-1),2,IF(AND($C33="Milestone",HW$8&gt;=$G33,HW$8&lt;=$G33+$H33-1),1,""))</f>
        <v/>
      </c>
      <c r="HX33" s="69" t="str">
        <f ca="1">IF(AND($C33="Goal",HX$8&gt;=$G33,HX$8&lt;=$G33+$H33-1),2,IF(AND($C33="Milestone",HX$8&gt;=$G33,HX$8&lt;=$G33+$H33-1),1,""))</f>
        <v/>
      </c>
      <c r="HY33" s="69" t="str">
        <f ca="1">IF(AND($C33="Goal",HY$8&gt;=$G33,HY$8&lt;=$G33+$H33-1),2,IF(AND($C33="Milestone",HY$8&gt;=$G33,HY$8&lt;=$G33+$H33-1),1,""))</f>
        <v/>
      </c>
      <c r="HZ33" s="69" t="str">
        <f ca="1">IF(AND($C33="Goal",HZ$8&gt;=$G33,HZ$8&lt;=$G33+$H33-1),2,IF(AND($C33="Milestone",HZ$8&gt;=$G33,HZ$8&lt;=$G33+$H33-1),1,""))</f>
        <v/>
      </c>
      <c r="IA33" s="69" t="str">
        <f ca="1">IF(AND($C33="Goal",IA$8&gt;=$G33,IA$8&lt;=$G33+$H33-1),2,IF(AND($C33="Milestone",IA$8&gt;=$G33,IA$8&lt;=$G33+$H33-1),1,""))</f>
        <v/>
      </c>
      <c r="IB33" s="69" t="str">
        <f ca="1">IF(AND($C33="Goal",IB$8&gt;=$G33,IB$8&lt;=$G33+$H33-1),2,IF(AND($C33="Milestone",IB$8&gt;=$G33,IB$8&lt;=$G33+$H33-1),1,""))</f>
        <v/>
      </c>
      <c r="IC33" s="69" t="str">
        <f ca="1">IF(AND($C33="Goal",IC$8&gt;=$G33,IC$8&lt;=$G33+$H33-1),2,IF(AND($C33="Milestone",IC$8&gt;=$G33,IC$8&lt;=$G33+$H33-1),1,""))</f>
        <v/>
      </c>
      <c r="ID33" s="69" t="str">
        <f ca="1">IF(AND($C33="Goal",ID$8&gt;=$G33,ID$8&lt;=$G33+$H33-1),2,IF(AND($C33="Milestone",ID$8&gt;=$G33,ID$8&lt;=$G33+$H33-1),1,""))</f>
        <v/>
      </c>
      <c r="IE33" s="69" t="str">
        <f ca="1">IF(AND($C33="Goal",IE$8&gt;=$G33,IE$8&lt;=$G33+$H33-1),2,IF(AND($C33="Milestone",IE$8&gt;=$G33,IE$8&lt;=$G33+$H33-1),1,""))</f>
        <v/>
      </c>
      <c r="IF33" s="69" t="str">
        <f ca="1">IF(AND($C33="Goal",IF$8&gt;=$G33,IF$8&lt;=$G33+$H33-1),2,IF(AND($C33="Milestone",IF$8&gt;=$G33,IF$8&lt;=$G33+$H33-1),1,""))</f>
        <v/>
      </c>
      <c r="IG33" s="69" t="str">
        <f ca="1">IF(AND($C33="Goal",IG$8&gt;=$G33,IG$8&lt;=$G33+$H33-1),2,IF(AND($C33="Milestone",IG$8&gt;=$G33,IG$8&lt;=$G33+$H33-1),1,""))</f>
        <v/>
      </c>
      <c r="IH33" s="69" t="str">
        <f ca="1">IF(AND($C33="Goal",IH$8&gt;=$G33,IH$8&lt;=$G33+$H33-1),2,IF(AND($C33="Milestone",IH$8&gt;=$G33,IH$8&lt;=$G33+$H33-1),1,""))</f>
        <v/>
      </c>
      <c r="II33" s="69" t="str">
        <f ca="1">IF(AND($C33="Goal",II$8&gt;=$G33,II$8&lt;=$G33+$H33-1),2,IF(AND($C33="Milestone",II$8&gt;=$G33,II$8&lt;=$G33+$H33-1),1,""))</f>
        <v/>
      </c>
      <c r="IJ33" s="69" t="str">
        <f ca="1">IF(AND($C33="Goal",IJ$8&gt;=$G33,IJ$8&lt;=$G33+$H33-1),2,IF(AND($C33="Milestone",IJ$8&gt;=$G33,IJ$8&lt;=$G33+$H33-1),1,""))</f>
        <v/>
      </c>
      <c r="IK33" s="69" t="str">
        <f ca="1">IF(AND($C33="Goal",IK$8&gt;=$G33,IK$8&lt;=$G33+$H33-1),2,IF(AND($C33="Milestone",IK$8&gt;=$G33,IK$8&lt;=$G33+$H33-1),1,""))</f>
        <v/>
      </c>
      <c r="IL33" s="69" t="str">
        <f ca="1">IF(AND($C33="Goal",IL$8&gt;=$G33,IL$8&lt;=$G33+$H33-1),2,IF(AND($C33="Milestone",IL$8&gt;=$G33,IL$8&lt;=$G33+$H33-1),1,""))</f>
        <v/>
      </c>
      <c r="IM33" s="69" t="str">
        <f ca="1">IF(AND($C33="Goal",IM$8&gt;=$G33,IM$8&lt;=$G33+$H33-1),2,IF(AND($C33="Milestone",IM$8&gt;=$G33,IM$8&lt;=$G33+$H33-1),1,""))</f>
        <v/>
      </c>
      <c r="IN33" s="69" t="str">
        <f ca="1">IF(AND($C33="Goal",IN$8&gt;=$G33,IN$8&lt;=$G33+$H33-1),2,IF(AND($C33="Milestone",IN$8&gt;=$G33,IN$8&lt;=$G33+$H33-1),1,""))</f>
        <v/>
      </c>
      <c r="IO33" s="69" t="str">
        <f ca="1">IF(AND($C33="Goal",IO$8&gt;=$G33,IO$8&lt;=$G33+$H33-1),2,IF(AND($C33="Milestone",IO$8&gt;=$G33,IO$8&lt;=$G33+$H33-1),1,""))</f>
        <v/>
      </c>
      <c r="IP33" s="69" t="str">
        <f ca="1">IF(AND($C33="Goal",IP$8&gt;=$G33,IP$8&lt;=$G33+$H33-1),2,IF(AND($C33="Milestone",IP$8&gt;=$G33,IP$8&lt;=$G33+$H33-1),1,""))</f>
        <v/>
      </c>
      <c r="IQ33" s="69" t="str">
        <f ca="1">IF(AND($C33="Goal",IQ$8&gt;=$G33,IQ$8&lt;=$G33+$H33-1),2,IF(AND($C33="Milestone",IQ$8&gt;=$G33,IQ$8&lt;=$G33+$H33-1),1,""))</f>
        <v/>
      </c>
      <c r="IR33" s="69" t="str">
        <f ca="1">IF(AND($C33="Goal",IR$8&gt;=$G33,IR$8&lt;=$G33+$H33-1),2,IF(AND($C33="Milestone",IR$8&gt;=$G33,IR$8&lt;=$G33+$H33-1),1,""))</f>
        <v/>
      </c>
      <c r="IS33" s="69" t="str">
        <f ca="1">IF(AND($C33="Goal",IS$8&gt;=$G33,IS$8&lt;=$G33+$H33-1),2,IF(AND($C33="Milestone",IS$8&gt;=$G33,IS$8&lt;=$G33+$H33-1),1,""))</f>
        <v/>
      </c>
      <c r="IT33" s="69" t="str">
        <f ca="1">IF(AND($C33="Goal",IT$8&gt;=$G33,IT$8&lt;=$G33+$H33-1),2,IF(AND($C33="Milestone",IT$8&gt;=$G33,IT$8&lt;=$G33+$H33-1),1,""))</f>
        <v/>
      </c>
      <c r="IU33" s="69" t="str">
        <f ca="1">IF(AND($C33="Goal",IU$8&gt;=$G33,IU$8&lt;=$G33+$H33-1),2,IF(AND($C33="Milestone",IU$8&gt;=$G33,IU$8&lt;=$G33+$H33-1),1,""))</f>
        <v/>
      </c>
      <c r="IV33" s="69" t="str">
        <f ca="1">IF(AND($C33="Goal",IV$8&gt;=$G33,IV$8&lt;=$G33+$H33-1),2,IF(AND($C33="Milestone",IV$8&gt;=$G33,IV$8&lt;=$G33+$H33-1),1,""))</f>
        <v/>
      </c>
      <c r="IW33" s="69" t="str">
        <f ca="1">IF(AND($C33="Goal",IW$8&gt;=$G33,IW$8&lt;=$G33+$H33-1),2,IF(AND($C33="Milestone",IW$8&gt;=$G33,IW$8&lt;=$G33+$H33-1),1,""))</f>
        <v/>
      </c>
      <c r="IX33" s="69" t="str">
        <f ca="1">IF(AND($C33="Goal",IX$8&gt;=$G33,IX$8&lt;=$G33+$H33-1),2,IF(AND($C33="Milestone",IX$8&gt;=$G33,IX$8&lt;=$G33+$H33-1),1,""))</f>
        <v/>
      </c>
      <c r="IY33" s="69" t="str">
        <f ca="1">IF(AND($C33="Goal",IY$8&gt;=$G33,IY$8&lt;=$G33+$H33-1),2,IF(AND($C33="Milestone",IY$8&gt;=$G33,IY$8&lt;=$G33+$H33-1),1,""))</f>
        <v/>
      </c>
      <c r="IZ33" s="69" t="str">
        <f ca="1">IF(AND($C33="Goal",IZ$8&gt;=$G33,IZ$8&lt;=$G33+$H33-1),2,IF(AND($C33="Milestone",IZ$8&gt;=$G33,IZ$8&lt;=$G33+$H33-1),1,""))</f>
        <v/>
      </c>
      <c r="JA33" s="69" t="str">
        <f ca="1">IF(AND($C33="Goal",JA$8&gt;=$G33,JA$8&lt;=$G33+$H33-1),2,IF(AND($C33="Milestone",JA$8&gt;=$G33,JA$8&lt;=$G33+$H33-1),1,""))</f>
        <v/>
      </c>
      <c r="JB33" s="69" t="str">
        <f ca="1">IF(AND($C33="Goal",JB$8&gt;=$G33,JB$8&lt;=$G33+$H33-1),2,IF(AND($C33="Milestone",JB$8&gt;=$G33,JB$8&lt;=$G33+$H33-1),1,""))</f>
        <v/>
      </c>
      <c r="JC33" s="69" t="str">
        <f ca="1">IF(AND($C33="Goal",JC$8&gt;=$G33,JC$8&lt;=$G33+$H33-1),2,IF(AND($C33="Milestone",JC$8&gt;=$G33,JC$8&lt;=$G33+$H33-1),1,""))</f>
        <v/>
      </c>
      <c r="JD33" s="69" t="str">
        <f ca="1">IF(AND($C33="Goal",JD$8&gt;=$G33,JD$8&lt;=$G33+$H33-1),2,IF(AND($C33="Milestone",JD$8&gt;=$G33,JD$8&lt;=$G33+$H33-1),1,""))</f>
        <v/>
      </c>
      <c r="JE33" s="69" t="str">
        <f ca="1">IF(AND($C33="Goal",JE$8&gt;=$G33,JE$8&lt;=$G33+$H33-1),2,IF(AND($C33="Milestone",JE$8&gt;=$G33,JE$8&lt;=$G33+$H33-1),1,""))</f>
        <v/>
      </c>
      <c r="JF33" s="69" t="str">
        <f ca="1">IF(AND($C33="Goal",JF$8&gt;=$G33,JF$8&lt;=$G33+$H33-1),2,IF(AND($C33="Milestone",JF$8&gt;=$G33,JF$8&lt;=$G33+$H33-1),1,""))</f>
        <v/>
      </c>
      <c r="JG33" s="69" t="str">
        <f ca="1">IF(AND($C33="Goal",JG$8&gt;=$G33,JG$8&lt;=$G33+$H33-1),2,IF(AND($C33="Milestone",JG$8&gt;=$G33,JG$8&lt;=$G33+$H33-1),1,""))</f>
        <v/>
      </c>
      <c r="JH33" s="69" t="str">
        <f ca="1">IF(AND($C33="Goal",JH$8&gt;=$G33,JH$8&lt;=$G33+$H33-1),2,IF(AND($C33="Milestone",JH$8&gt;=$G33,JH$8&lt;=$G33+$H33-1),1,""))</f>
        <v/>
      </c>
      <c r="JI33" s="69" t="str">
        <f ca="1">IF(AND($C33="Goal",JI$8&gt;=$G33,JI$8&lt;=$G33+$H33-1),2,IF(AND($C33="Milestone",JI$8&gt;=$G33,JI$8&lt;=$G33+$H33-1),1,""))</f>
        <v/>
      </c>
      <c r="JJ33" s="69" t="str">
        <f ca="1">IF(AND($C33="Goal",JJ$8&gt;=$G33,JJ$8&lt;=$G33+$H33-1),2,IF(AND($C33="Milestone",JJ$8&gt;=$G33,JJ$8&lt;=$G33+$H33-1),1,""))</f>
        <v/>
      </c>
      <c r="JK33" s="69" t="str">
        <f ca="1">IF(AND($C33="Goal",JK$8&gt;=$G33,JK$8&lt;=$G33+$H33-1),2,IF(AND($C33="Milestone",JK$8&gt;=$G33,JK$8&lt;=$G33+$H33-1),1,""))</f>
        <v/>
      </c>
      <c r="JL33" s="69" t="str">
        <f ca="1">IF(AND($C33="Goal",JL$8&gt;=$G33,JL$8&lt;=$G33+$H33-1),2,IF(AND($C33="Milestone",JL$8&gt;=$G33,JL$8&lt;=$G33+$H33-1),1,""))</f>
        <v/>
      </c>
      <c r="JM33" s="69" t="str">
        <f ca="1">IF(AND($C33="Goal",JM$8&gt;=$G33,JM$8&lt;=$G33+$H33-1),2,IF(AND($C33="Milestone",JM$8&gt;=$G33,JM$8&lt;=$G33+$H33-1),1,""))</f>
        <v/>
      </c>
      <c r="JN33" s="69" t="str">
        <f ca="1">IF(AND($C33="Goal",JN$8&gt;=$G33,JN$8&lt;=$G33+$H33-1),2,IF(AND($C33="Milestone",JN$8&gt;=$G33,JN$8&lt;=$G33+$H33-1),1,""))</f>
        <v/>
      </c>
      <c r="JO33" s="69" t="str">
        <f ca="1">IF(AND($C33="Goal",JO$8&gt;=$G33,JO$8&lt;=$G33+$H33-1),2,IF(AND($C33="Milestone",JO$8&gt;=$G33,JO$8&lt;=$G33+$H33-1),1,""))</f>
        <v/>
      </c>
      <c r="JP33" s="69" t="str">
        <f ca="1">IF(AND($C33="Goal",JP$8&gt;=$G33,JP$8&lt;=$G33+$H33-1),2,IF(AND($C33="Milestone",JP$8&gt;=$G33,JP$8&lt;=$G33+$H33-1),1,""))</f>
        <v/>
      </c>
      <c r="JQ33" s="69" t="str">
        <f ca="1">IF(AND($C33="Goal",JQ$8&gt;=$G33,JQ$8&lt;=$G33+$H33-1),2,IF(AND($C33="Milestone",JQ$8&gt;=$G33,JQ$8&lt;=$G33+$H33-1),1,""))</f>
        <v/>
      </c>
      <c r="JR33" s="69" t="str">
        <f ca="1">IF(AND($C33="Goal",JR$8&gt;=$G33,JR$8&lt;=$G33+$H33-1),2,IF(AND($C33="Milestone",JR$8&gt;=$G33,JR$8&lt;=$G33+$H33-1),1,""))</f>
        <v/>
      </c>
      <c r="JS33" s="69" t="str">
        <f ca="1">IF(AND($C33="Goal",JS$8&gt;=$G33,JS$8&lt;=$G33+$H33-1),2,IF(AND($C33="Milestone",JS$8&gt;=$G33,JS$8&lt;=$G33+$H33-1),1,""))</f>
        <v/>
      </c>
      <c r="JT33" s="69" t="str">
        <f ca="1">IF(AND($C33="Goal",JT$8&gt;=$G33,JT$8&lt;=$G33+$H33-1),2,IF(AND($C33="Milestone",JT$8&gt;=$G33,JT$8&lt;=$G33+$H33-1),1,""))</f>
        <v/>
      </c>
      <c r="JU33" s="69" t="str">
        <f ca="1">IF(AND($C33="Goal",JU$8&gt;=$G33,JU$8&lt;=$G33+$H33-1),2,IF(AND($C33="Milestone",JU$8&gt;=$G33,JU$8&lt;=$G33+$H33-1),1,""))</f>
        <v/>
      </c>
      <c r="JV33" s="69" t="str">
        <f ca="1">IF(AND($C33="Goal",JV$8&gt;=$G33,JV$8&lt;=$G33+$H33-1),2,IF(AND($C33="Milestone",JV$8&gt;=$G33,JV$8&lt;=$G33+$H33-1),1,""))</f>
        <v/>
      </c>
      <c r="JW33" s="69" t="str">
        <f ca="1">IF(AND($C33="Goal",JW$8&gt;=$G33,JW$8&lt;=$G33+$H33-1),2,IF(AND($C33="Milestone",JW$8&gt;=$G33,JW$8&lt;=$G33+$H33-1),1,""))</f>
        <v/>
      </c>
      <c r="JX33" s="69" t="str">
        <f ca="1">IF(AND($C33="Goal",JX$8&gt;=$G33,JX$8&lt;=$G33+$H33-1),2,IF(AND($C33="Milestone",JX$8&gt;=$G33,JX$8&lt;=$G33+$H33-1),1,""))</f>
        <v/>
      </c>
      <c r="JY33" s="69" t="str">
        <f ca="1">IF(AND($C33="Goal",JY$8&gt;=$G33,JY$8&lt;=$G33+$H33-1),2,IF(AND($C33="Milestone",JY$8&gt;=$G33,JY$8&lt;=$G33+$H33-1),1,""))</f>
        <v/>
      </c>
      <c r="JZ33" s="69" t="str">
        <f ca="1">IF(AND($C33="Goal",JZ$8&gt;=$G33,JZ$8&lt;=$G33+$H33-1),2,IF(AND($C33="Milestone",JZ$8&gt;=$G33,JZ$8&lt;=$G33+$H33-1),1,""))</f>
        <v/>
      </c>
      <c r="KA33" s="69" t="str">
        <f ca="1">IF(AND($C33="Goal",KA$8&gt;=$G33,KA$8&lt;=$G33+$H33-1),2,IF(AND($C33="Milestone",KA$8&gt;=$G33,KA$8&lt;=$G33+$H33-1),1,""))</f>
        <v/>
      </c>
      <c r="KB33" s="69" t="str">
        <f ca="1">IF(AND($C33="Goal",KB$8&gt;=$G33,KB$8&lt;=$G33+$H33-1),2,IF(AND($C33="Milestone",KB$8&gt;=$G33,KB$8&lt;=$G33+$H33-1),1,""))</f>
        <v/>
      </c>
      <c r="KC33" s="69" t="str">
        <f ca="1">IF(AND($C33="Goal",KC$8&gt;=$G33,KC$8&lt;=$G33+$H33-1),2,IF(AND($C33="Milestone",KC$8&gt;=$G33,KC$8&lt;=$G33+$H33-1),1,""))</f>
        <v/>
      </c>
      <c r="KD33" s="69" t="str">
        <f ca="1">IF(AND($C33="Goal",KD$8&gt;=$G33,KD$8&lt;=$G33+$H33-1),2,IF(AND($C33="Milestone",KD$8&gt;=$G33,KD$8&lt;=$G33+$H33-1),1,""))</f>
        <v/>
      </c>
      <c r="KE33" s="69" t="str">
        <f ca="1">IF(AND($C33="Goal",KE$8&gt;=$G33,KE$8&lt;=$G33+$H33-1),2,IF(AND($C33="Milestone",KE$8&gt;=$G33,KE$8&lt;=$G33+$H33-1),1,""))</f>
        <v/>
      </c>
      <c r="KF33" s="69" t="str">
        <f ca="1">IF(AND($C33="Goal",KF$8&gt;=$G33,KF$8&lt;=$G33+$H33-1),2,IF(AND($C33="Milestone",KF$8&gt;=$G33,KF$8&lt;=$G33+$H33-1),1,""))</f>
        <v/>
      </c>
      <c r="KG33" s="69" t="str">
        <f ca="1">IF(AND($C33="Goal",KG$8&gt;=$G33,KG$8&lt;=$G33+$H33-1),2,IF(AND($C33="Milestone",KG$8&gt;=$G33,KG$8&lt;=$G33+$H33-1),1,""))</f>
        <v/>
      </c>
      <c r="KH33" s="69" t="str">
        <f ca="1">IF(AND($C33="Goal",KH$8&gt;=$G33,KH$8&lt;=$G33+$H33-1),2,IF(AND($C33="Milestone",KH$8&gt;=$G33,KH$8&lt;=$G33+$H33-1),1,""))</f>
        <v/>
      </c>
      <c r="KI33" s="69" t="str">
        <f ca="1">IF(AND($C33="Goal",KI$8&gt;=$G33,KI$8&lt;=$G33+$H33-1),2,IF(AND($C33="Milestone",KI$8&gt;=$G33,KI$8&lt;=$G33+$H33-1),1,""))</f>
        <v/>
      </c>
      <c r="KJ33" s="69" t="str">
        <f ca="1">IF(AND($C33="Goal",KJ$8&gt;=$G33,KJ$8&lt;=$G33+$H33-1),2,IF(AND($C33="Milestone",KJ$8&gt;=$G33,KJ$8&lt;=$G33+$H33-1),1,""))</f>
        <v/>
      </c>
      <c r="KK33" s="69" t="str">
        <f ca="1">IF(AND($C33="Goal",KK$8&gt;=$G33,KK$8&lt;=$G33+$H33-1),2,IF(AND($C33="Milestone",KK$8&gt;=$G33,KK$8&lt;=$G33+$H33-1),1,""))</f>
        <v/>
      </c>
      <c r="KL33" s="69" t="str">
        <f ca="1">IF(AND($C33="Goal",KL$8&gt;=$G33,KL$8&lt;=$G33+$H33-1),2,IF(AND($C33="Milestone",KL$8&gt;=$G33,KL$8&lt;=$G33+$H33-1),1,""))</f>
        <v/>
      </c>
      <c r="KM33" s="69" t="str">
        <f ca="1">IF(AND($C33="Goal",KM$8&gt;=$G33,KM$8&lt;=$G33+$H33-1),2,IF(AND($C33="Milestone",KM$8&gt;=$G33,KM$8&lt;=$G33+$H33-1),1,""))</f>
        <v/>
      </c>
      <c r="KN33" s="69" t="str">
        <f ca="1">IF(AND($C33="Goal",KN$8&gt;=$G33,KN$8&lt;=$G33+$H33-1),2,IF(AND($C33="Milestone",KN$8&gt;=$G33,KN$8&lt;=$G33+$H33-1),1,""))</f>
        <v/>
      </c>
      <c r="KO33" s="69" t="str">
        <f ca="1">IF(AND($C33="Goal",KO$8&gt;=$G33,KO$8&lt;=$G33+$H33-1),2,IF(AND($C33="Milestone",KO$8&gt;=$G33,KO$8&lt;=$G33+$H33-1),1,""))</f>
        <v/>
      </c>
      <c r="KP33" s="69" t="str">
        <f ca="1">IF(AND($C33="Goal",KP$8&gt;=$G33,KP$8&lt;=$G33+$H33-1),2,IF(AND($C33="Milestone",KP$8&gt;=$G33,KP$8&lt;=$G33+$H33-1),1,""))</f>
        <v/>
      </c>
      <c r="KQ33" s="69" t="str">
        <f ca="1">IF(AND($C33="Goal",KQ$8&gt;=$G33,KQ$8&lt;=$G33+$H33-1),2,IF(AND($C33="Milestone",KQ$8&gt;=$G33,KQ$8&lt;=$G33+$H33-1),1,""))</f>
        <v/>
      </c>
      <c r="KR33" s="69" t="str">
        <f ca="1">IF(AND($C33="Goal",KR$8&gt;=$G33,KR$8&lt;=$G33+$H33-1),2,IF(AND($C33="Milestone",KR$8&gt;=$G33,KR$8&lt;=$G33+$H33-1),1,""))</f>
        <v/>
      </c>
      <c r="KS33" s="69" t="str">
        <f ca="1">IF(AND($C33="Goal",KS$8&gt;=$G33,KS$8&lt;=$G33+$H33-1),2,IF(AND($C33="Milestone",KS$8&gt;=$G33,KS$8&lt;=$G33+$H33-1),1,""))</f>
        <v/>
      </c>
      <c r="KT33" s="69" t="str">
        <f ca="1">IF(AND($C33="Goal",KT$8&gt;=$G33,KT$8&lt;=$G33+$H33-1),2,IF(AND($C33="Milestone",KT$8&gt;=$G33,KT$8&lt;=$G33+$H33-1),1,""))</f>
        <v/>
      </c>
      <c r="KU33" s="69" t="str">
        <f ca="1">IF(AND($C33="Goal",KU$8&gt;=$G33,KU$8&lt;=$G33+$H33-1),2,IF(AND($C33="Milestone",KU$8&gt;=$G33,KU$8&lt;=$G33+$H33-1),1,""))</f>
        <v/>
      </c>
      <c r="KV33" s="69" t="str">
        <f ca="1">IF(AND($C33="Goal",KV$8&gt;=$G33,KV$8&lt;=$G33+$H33-1),2,IF(AND($C33="Milestone",KV$8&gt;=$G33,KV$8&lt;=$G33+$H33-1),1,""))</f>
        <v/>
      </c>
      <c r="KW33" s="69" t="str">
        <f ca="1">IF(AND($C33="Goal",KW$8&gt;=$G33,KW$8&lt;=$G33+$H33-1),2,IF(AND($C33="Milestone",KW$8&gt;=$G33,KW$8&lt;=$G33+$H33-1),1,""))</f>
        <v/>
      </c>
      <c r="KX33" s="69" t="str">
        <f ca="1">IF(AND($C33="Goal",KX$8&gt;=$G33,KX$8&lt;=$G33+$H33-1),2,IF(AND($C33="Milestone",KX$8&gt;=$G33,KX$8&lt;=$G33+$H33-1),1,""))</f>
        <v/>
      </c>
      <c r="KY33" s="69" t="str">
        <f ca="1">IF(AND($C33="Goal",KY$8&gt;=$G33,KY$8&lt;=$G33+$H33-1),2,IF(AND($C33="Milestone",KY$8&gt;=$G33,KY$8&lt;=$G33+$H33-1),1,""))</f>
        <v/>
      </c>
      <c r="KZ33" s="69" t="str">
        <f ca="1">IF(AND($C33="Goal",KZ$8&gt;=$G33,KZ$8&lt;=$G33+$H33-1),2,IF(AND($C33="Milestone",KZ$8&gt;=$G33,KZ$8&lt;=$G33+$H33-1),1,""))</f>
        <v/>
      </c>
      <c r="LA33" s="69" t="str">
        <f ca="1">IF(AND($C33="Goal",LA$8&gt;=$G33,LA$8&lt;=$G33+$H33-1),2,IF(AND($C33="Milestone",LA$8&gt;=$G33,LA$8&lt;=$G33+$H33-1),1,""))</f>
        <v/>
      </c>
      <c r="LB33" s="69" t="str">
        <f ca="1">IF(AND($C33="Goal",LB$8&gt;=$G33,LB$8&lt;=$G33+$H33-1),2,IF(AND($C33="Milestone",LB$8&gt;=$G33,LB$8&lt;=$G33+$H33-1),1,""))</f>
        <v/>
      </c>
      <c r="LC33" s="69" t="str">
        <f ca="1">IF(AND($C33="Goal",LC$8&gt;=$G33,LC$8&lt;=$G33+$H33-1),2,IF(AND($C33="Milestone",LC$8&gt;=$G33,LC$8&lt;=$G33+$H33-1),1,""))</f>
        <v/>
      </c>
      <c r="LD33" s="69" t="str">
        <f ca="1">IF(AND($C33="Goal",LD$8&gt;=$G33,LD$8&lt;=$G33+$H33-1),2,IF(AND($C33="Milestone",LD$8&gt;=$G33,LD$8&lt;=$G33+$H33-1),1,""))</f>
        <v/>
      </c>
      <c r="LE33" s="69" t="str">
        <f ca="1">IF(AND($C33="Goal",LE$8&gt;=$G33,LE$8&lt;=$G33+$H33-1),2,IF(AND($C33="Milestone",LE$8&gt;=$G33,LE$8&lt;=$G33+$H33-1),1,""))</f>
        <v/>
      </c>
      <c r="LF33" s="69" t="str">
        <f ca="1">IF(AND($C33="Goal",LF$8&gt;=$G33,LF$8&lt;=$G33+$H33-1),2,IF(AND($C33="Milestone",LF$8&gt;=$G33,LF$8&lt;=$G33+$H33-1),1,""))</f>
        <v/>
      </c>
      <c r="LG33" s="69" t="str">
        <f ca="1">IF(AND($C33="Goal",LG$8&gt;=$G33,LG$8&lt;=$G33+$H33-1),2,IF(AND($C33="Milestone",LG$8&gt;=$G33,LG$8&lt;=$G33+$H33-1),1,""))</f>
        <v/>
      </c>
      <c r="LH33" s="69" t="str">
        <f ca="1">IF(AND($C33="Goal",LH$8&gt;=$G33,LH$8&lt;=$G33+$H33-1),2,IF(AND($C33="Milestone",LH$8&gt;=$G33,LH$8&lt;=$G33+$H33-1),1,""))</f>
        <v/>
      </c>
      <c r="LI33" s="69" t="str">
        <f ca="1">IF(AND($C33="Goal",LI$8&gt;=$G33,LI$8&lt;=$G33+$H33-1),2,IF(AND($C33="Milestone",LI$8&gt;=$G33,LI$8&lt;=$G33+$H33-1),1,""))</f>
        <v/>
      </c>
      <c r="LJ33" s="69" t="str">
        <f ca="1">IF(AND($C33="Goal",LJ$8&gt;=$G33,LJ$8&lt;=$G33+$H33-1),2,IF(AND($C33="Milestone",LJ$8&gt;=$G33,LJ$8&lt;=$G33+$H33-1),1,""))</f>
        <v/>
      </c>
      <c r="LK33" s="69" t="str">
        <f ca="1">IF(AND($C33="Goal",LK$8&gt;=$G33,LK$8&lt;=$G33+$H33-1),2,IF(AND($C33="Milestone",LK$8&gt;=$G33,LK$8&lt;=$G33+$H33-1),1,""))</f>
        <v/>
      </c>
      <c r="LL33" s="69" t="str">
        <f ca="1">IF(AND($C33="Goal",LL$8&gt;=$G33,LL$8&lt;=$G33+$H33-1),2,IF(AND($C33="Milestone",LL$8&gt;=$G33,LL$8&lt;=$G33+$H33-1),1,""))</f>
        <v/>
      </c>
      <c r="LM33" s="69" t="str">
        <f ca="1">IF(AND($C33="Goal",LM$8&gt;=$G33,LM$8&lt;=$G33+$H33-1),2,IF(AND($C33="Milestone",LM$8&gt;=$G33,LM$8&lt;=$G33+$H33-1),1,""))</f>
        <v/>
      </c>
      <c r="LN33" s="69" t="str">
        <f ca="1">IF(AND($C33="Goal",LN$8&gt;=$G33,LN$8&lt;=$G33+$H33-1),2,IF(AND($C33="Milestone",LN$8&gt;=$G33,LN$8&lt;=$G33+$H33-1),1,""))</f>
        <v/>
      </c>
      <c r="LO33" s="69" t="str">
        <f ca="1">IF(AND($C33="Goal",LO$8&gt;=$G33,LO$8&lt;=$G33+$H33-1),2,IF(AND($C33="Milestone",LO$8&gt;=$G33,LO$8&lt;=$G33+$H33-1),1,""))</f>
        <v/>
      </c>
      <c r="LP33" s="69" t="str">
        <f ca="1">IF(AND($C33="Goal",LP$8&gt;=$G33,LP$8&lt;=$G33+$H33-1),2,IF(AND($C33="Milestone",LP$8&gt;=$G33,LP$8&lt;=$G33+$H33-1),1,""))</f>
        <v/>
      </c>
      <c r="LQ33" s="69" t="str">
        <f ca="1">IF(AND($C33="Goal",LQ$8&gt;=$G33,LQ$8&lt;=$G33+$H33-1),2,IF(AND($C33="Milestone",LQ$8&gt;=$G33,LQ$8&lt;=$G33+$H33-1),1,""))</f>
        <v/>
      </c>
      <c r="LR33" s="69" t="str">
        <f ca="1">IF(AND($C33="Goal",LR$8&gt;=$G33,LR$8&lt;=$G33+$H33-1),2,IF(AND($C33="Milestone",LR$8&gt;=$G33,LR$8&lt;=$G33+$H33-1),1,""))</f>
        <v/>
      </c>
      <c r="LS33" s="69" t="str">
        <f ca="1">IF(AND($C33="Goal",LS$8&gt;=$G33,LS$8&lt;=$G33+$H33-1),2,IF(AND($C33="Milestone",LS$8&gt;=$G33,LS$8&lt;=$G33+$H33-1),1,""))</f>
        <v/>
      </c>
      <c r="LT33" s="69" t="str">
        <f ca="1">IF(AND($C33="Goal",LT$8&gt;=$G33,LT$8&lt;=$G33+$H33-1),2,IF(AND($C33="Milestone",LT$8&gt;=$G33,LT$8&lt;=$G33+$H33-1),1,""))</f>
        <v/>
      </c>
      <c r="LU33" s="69" t="str">
        <f ca="1">IF(AND($C33="Goal",LU$8&gt;=$G33,LU$8&lt;=$G33+$H33-1),2,IF(AND($C33="Milestone",LU$8&gt;=$G33,LU$8&lt;=$G33+$H33-1),1,""))</f>
        <v/>
      </c>
      <c r="LV33" s="69" t="str">
        <f ca="1">IF(AND($C33="Goal",LV$8&gt;=$G33,LV$8&lt;=$G33+$H33-1),2,IF(AND($C33="Milestone",LV$8&gt;=$G33,LV$8&lt;=$G33+$H33-1),1,""))</f>
        <v/>
      </c>
      <c r="LW33" s="69" t="str">
        <f ca="1">IF(AND($C33="Goal",LW$8&gt;=$G33,LW$8&lt;=$G33+$H33-1),2,IF(AND($C33="Milestone",LW$8&gt;=$G33,LW$8&lt;=$G33+$H33-1),1,""))</f>
        <v/>
      </c>
      <c r="LX33" s="69" t="str">
        <f ca="1">IF(AND($C33="Goal",LX$8&gt;=$G33,LX$8&lt;=$G33+$H33-1),2,IF(AND($C33="Milestone",LX$8&gt;=$G33,LX$8&lt;=$G33+$H33-1),1,""))</f>
        <v/>
      </c>
    </row>
    <row r="34" spans="1:336" s="1" customFormat="1" ht="25.25" customHeight="1" x14ac:dyDescent="0.25">
      <c r="A34" s="6"/>
      <c r="B34" s="75" t="s">
        <v>36</v>
      </c>
      <c r="C34" s="58"/>
      <c r="D34" s="58" t="str">
        <f ca="1">IF(G34="","",
IF(G34+Milestones4352[[#This Row],[Days]]="","",
IF(OR(F34=1,F34=100%),"Complete",
CHOOSE(
  1
  + --(((1-IF(F34&gt;1,F34/100,F34))*POWER(2.718281828,(60-MAX(0,G34+Milestones4352[[#This Row],[Days]]-TODAY()))/12))&gt;=0.6)
  + --(((1-IF(F34&gt;1,F34/100,F34))*POWER(2.718281828,(60-MAX(0,G34+Milestones4352[[#This Row],[Days]]-TODAY()))/12))&gt;=1.2)
  + --(((1-IF(F34&gt;1,F34/100,F34))*POWER(2.718281828,(60-MAX(0,G34+Milestones4352[[#This Row],[Days]]-TODAY()))/12))&gt;=2),
  "On track","Low risk","Medium risk","High risk"
))))</f>
        <v/>
      </c>
      <c r="E34" s="58"/>
      <c r="F34" s="56"/>
      <c r="G34" s="71"/>
      <c r="H34" s="57"/>
      <c r="I34" s="57" t="str">
        <f t="shared" si="207"/>
        <v/>
      </c>
      <c r="J34" s="12" t="str">
        <f ca="1">IF(OR(Milestones4352[[#This Row],[Start]]="",Milestones4352[[#This Row],[Days]]=""),"",(Milestones4352[[#This Row],[Start]]+Milestones4352[[#This Row],[Days]])-TODAY())</f>
        <v/>
      </c>
      <c r="K34" s="9"/>
      <c r="L34" s="69" t="str">
        <f ca="1">IF(AND($C34="Goal",L$8&gt;=$G34,L$8&lt;=$G34+$H34-1),2,IF(AND($C34="Milestone",L$8&gt;=$G34,L$8&lt;=$G34+$H34-1),1,""))</f>
        <v/>
      </c>
      <c r="M34" s="69" t="str">
        <f ca="1">IF(AND($C34="Goal",M$8&gt;=$G34,M$8&lt;=$G34+$H34-1),2,IF(AND($C34="Milestone",M$8&gt;=$G34,M$8&lt;=$G34+$H34-1),1,""))</f>
        <v/>
      </c>
      <c r="N34" s="69" t="str">
        <f ca="1">IF(AND($C34="Goal",N$8&gt;=$G34,N$8&lt;=$G34+$H34-1),2,IF(AND($C34="Milestone",N$8&gt;=$G34,N$8&lt;=$G34+$H34-1),1,""))</f>
        <v/>
      </c>
      <c r="O34" s="69" t="str">
        <f ca="1">IF(AND($C34="Goal",O$8&gt;=$G34,O$8&lt;=$G34+$H34-1),2,IF(AND($C34="Milestone",O$8&gt;=$G34,O$8&lt;=$G34+$H34-1),1,""))</f>
        <v/>
      </c>
      <c r="P34" s="69" t="str">
        <f ca="1">IF(AND($C34="Goal",P$8&gt;=$G34,P$8&lt;=$G34+$H34-1),2,IF(AND($C34="Milestone",P$8&gt;=$G34,P$8&lt;=$G34+$H34-1),1,""))</f>
        <v/>
      </c>
      <c r="Q34" s="69" t="str">
        <f ca="1">IF(AND($C34="Goal",Q$8&gt;=$G34,Q$8&lt;=$G34+$H34-1),2,IF(AND($C34="Milestone",Q$8&gt;=$G34,Q$8&lt;=$G34+$H34-1),1,""))</f>
        <v/>
      </c>
      <c r="R34" s="69" t="str">
        <f ca="1">IF(AND($C34="Goal",R$8&gt;=$G34,R$8&lt;=$G34+$H34-1),2,IF(AND($C34="Milestone",R$8&gt;=$G34,R$8&lt;=$G34+$H34-1),1,""))</f>
        <v/>
      </c>
      <c r="S34" s="69" t="str">
        <f ca="1">IF(AND($C34="Goal",S$8&gt;=$G34,S$8&lt;=$G34+$H34-1),2,IF(AND($C34="Milestone",S$8&gt;=$G34,S$8&lt;=$G34+$H34-1),1,""))</f>
        <v/>
      </c>
      <c r="T34" s="69" t="str">
        <f ca="1">IF(AND($C34="Goal",T$8&gt;=$G34,T$8&lt;=$G34+$H34-1),2,IF(AND($C34="Milestone",T$8&gt;=$G34,T$8&lt;=$G34+$H34-1),1,""))</f>
        <v/>
      </c>
      <c r="U34" s="69" t="str">
        <f ca="1">IF(AND($C34="Goal",U$8&gt;=$G34,U$8&lt;=$G34+$H34-1),2,IF(AND($C34="Milestone",U$8&gt;=$G34,U$8&lt;=$G34+$H34-1),1,""))</f>
        <v/>
      </c>
      <c r="V34" s="69" t="str">
        <f ca="1">IF(AND($C34="Goal",V$8&gt;=$G34,V$8&lt;=$G34+$H34-1),2,IF(AND($C34="Milestone",V$8&gt;=$G34,V$8&lt;=$G34+$H34-1),1,""))</f>
        <v/>
      </c>
      <c r="W34" s="69" t="str">
        <f ca="1">IF(AND($C34="Goal",W$8&gt;=$G34,W$8&lt;=$G34+$H34-1),2,IF(AND($C34="Milestone",W$8&gt;=$G34,W$8&lt;=$G34+$H34-1),1,""))</f>
        <v/>
      </c>
      <c r="X34" s="69" t="str">
        <f ca="1">IF(AND($C34="Goal",X$8&gt;=$G34,X$8&lt;=$G34+$H34-1),2,IF(AND($C34="Milestone",X$8&gt;=$G34,X$8&lt;=$G34+$H34-1),1,""))</f>
        <v/>
      </c>
      <c r="Y34" s="69" t="str">
        <f ca="1">IF(AND($C34="Goal",Y$8&gt;=$G34,Y$8&lt;=$G34+$H34-1),2,IF(AND($C34="Milestone",Y$8&gt;=$G34,Y$8&lt;=$G34+$H34-1),1,""))</f>
        <v/>
      </c>
      <c r="Z34" s="69" t="str">
        <f ca="1">IF(AND($C34="Goal",Z$8&gt;=$G34,Z$8&lt;=$G34+$H34-1),2,IF(AND($C34="Milestone",Z$8&gt;=$G34,Z$8&lt;=$G34+$H34-1),1,""))</f>
        <v/>
      </c>
      <c r="AA34" s="69" t="str">
        <f ca="1">IF(AND($C34="Goal",AA$8&gt;=$G34,AA$8&lt;=$G34+$H34-1),2,IF(AND($C34="Milestone",AA$8&gt;=$G34,AA$8&lt;=$G34+$H34-1),1,""))</f>
        <v/>
      </c>
      <c r="AB34" s="69" t="str">
        <f ca="1">IF(AND($C34="Goal",AB$8&gt;=$G34,AB$8&lt;=$G34+$H34-1),2,IF(AND($C34="Milestone",AB$8&gt;=$G34,AB$8&lt;=$G34+$H34-1),1,""))</f>
        <v/>
      </c>
      <c r="AC34" s="69" t="str">
        <f ca="1">IF(AND($C34="Goal",AC$8&gt;=$G34,AC$8&lt;=$G34+$H34-1),2,IF(AND($C34="Milestone",AC$8&gt;=$G34,AC$8&lt;=$G34+$H34-1),1,""))</f>
        <v/>
      </c>
      <c r="AD34" s="69" t="str">
        <f ca="1">IF(AND($C34="Goal",AD$8&gt;=$G34,AD$8&lt;=$G34+$H34-1),2,IF(AND($C34="Milestone",AD$8&gt;=$G34,AD$8&lt;=$G34+$H34-1),1,""))</f>
        <v/>
      </c>
      <c r="AE34" s="69" t="str">
        <f ca="1">IF(AND($C34="Goal",AE$8&gt;=$G34,AE$8&lt;=$G34+$H34-1),2,IF(AND($C34="Milestone",AE$8&gt;=$G34,AE$8&lt;=$G34+$H34-1),1,""))</f>
        <v/>
      </c>
      <c r="AF34" s="69" t="str">
        <f ca="1">IF(AND($C34="Goal",AF$8&gt;=$G34,AF$8&lt;=$G34+$H34-1),2,IF(AND($C34="Milestone",AF$8&gt;=$G34,AF$8&lt;=$G34+$H34-1),1,""))</f>
        <v/>
      </c>
      <c r="AG34" s="69" t="str">
        <f ca="1">IF(AND($C34="Goal",AG$8&gt;=$G34,AG$8&lt;=$G34+$H34-1),2,IF(AND($C34="Milestone",AG$8&gt;=$G34,AG$8&lt;=$G34+$H34-1),1,""))</f>
        <v/>
      </c>
      <c r="AH34" s="69" t="str">
        <f ca="1">IF(AND($C34="Goal",AH$8&gt;=$G34,AH$8&lt;=$G34+$H34-1),2,IF(AND($C34="Milestone",AH$8&gt;=$G34,AH$8&lt;=$G34+$H34-1),1,""))</f>
        <v/>
      </c>
      <c r="AI34" s="69" t="str">
        <f ca="1">IF(AND($C34="Goal",AI$8&gt;=$G34,AI$8&lt;=$G34+$H34-1),2,IF(AND($C34="Milestone",AI$8&gt;=$G34,AI$8&lt;=$G34+$H34-1),1,""))</f>
        <v/>
      </c>
      <c r="AJ34" s="69" t="str">
        <f ca="1">IF(AND($C34="Goal",AJ$8&gt;=$G34,AJ$8&lt;=$G34+$H34-1),2,IF(AND($C34="Milestone",AJ$8&gt;=$G34,AJ$8&lt;=$G34+$H34-1),1,""))</f>
        <v/>
      </c>
      <c r="AK34" s="69" t="str">
        <f ca="1">IF(AND($C34="Goal",AK$8&gt;=$G34,AK$8&lt;=$G34+$H34-1),2,IF(AND($C34="Milestone",AK$8&gt;=$G34,AK$8&lt;=$G34+$H34-1),1,""))</f>
        <v/>
      </c>
      <c r="AL34" s="69" t="str">
        <f ca="1">IF(AND($C34="Goal",AL$8&gt;=$G34,AL$8&lt;=$G34+$H34-1),2,IF(AND($C34="Milestone",AL$8&gt;=$G34,AL$8&lt;=$G34+$H34-1),1,""))</f>
        <v/>
      </c>
      <c r="AM34" s="69" t="str">
        <f ca="1">IF(AND($C34="Goal",AM$8&gt;=$G34,AM$8&lt;=$G34+$H34-1),2,IF(AND($C34="Milestone",AM$8&gt;=$G34,AM$8&lt;=$G34+$H34-1),1,""))</f>
        <v/>
      </c>
      <c r="AN34" s="69" t="str">
        <f ca="1">IF(AND($C34="Goal",AN$8&gt;=$G34,AN$8&lt;=$G34+$H34-1),2,IF(AND($C34="Milestone",AN$8&gt;=$G34,AN$8&lt;=$G34+$H34-1),1,""))</f>
        <v/>
      </c>
      <c r="AO34" s="69" t="str">
        <f ca="1">IF(AND($C34="Goal",AO$8&gt;=$G34,AO$8&lt;=$G34+$H34-1),2,IF(AND($C34="Milestone",AO$8&gt;=$G34,AO$8&lt;=$G34+$H34-1),1,""))</f>
        <v/>
      </c>
      <c r="AP34" s="69" t="str">
        <f ca="1">IF(AND($C34="Goal",AP$8&gt;=$G34,AP$8&lt;=$G34+$H34-1),2,IF(AND($C34="Milestone",AP$8&gt;=$G34,AP$8&lt;=$G34+$H34-1),1,""))</f>
        <v/>
      </c>
      <c r="AQ34" s="69" t="str">
        <f ca="1">IF(AND($C34="Goal",AQ$8&gt;=$G34,AQ$8&lt;=$G34+$H34-1),2,IF(AND($C34="Milestone",AQ$8&gt;=$G34,AQ$8&lt;=$G34+$H34-1),1,""))</f>
        <v/>
      </c>
      <c r="AR34" s="69" t="str">
        <f ca="1">IF(AND($C34="Goal",AR$8&gt;=$G34,AR$8&lt;=$G34+$H34-1),2,IF(AND($C34="Milestone",AR$8&gt;=$G34,AR$8&lt;=$G34+$H34-1),1,""))</f>
        <v/>
      </c>
      <c r="AS34" s="69" t="str">
        <f ca="1">IF(AND($C34="Goal",AS$8&gt;=$G34,AS$8&lt;=$G34+$H34-1),2,IF(AND($C34="Milestone",AS$8&gt;=$G34,AS$8&lt;=$G34+$H34-1),1,""))</f>
        <v/>
      </c>
      <c r="AT34" s="69" t="str">
        <f ca="1">IF(AND($C34="Goal",AT$8&gt;=$G34,AT$8&lt;=$G34+$H34-1),2,IF(AND($C34="Milestone",AT$8&gt;=$G34,AT$8&lt;=$G34+$H34-1),1,""))</f>
        <v/>
      </c>
      <c r="AU34" s="69" t="str">
        <f ca="1">IF(AND($C34="Goal",AU$8&gt;=$G34,AU$8&lt;=$G34+$H34-1),2,IF(AND($C34="Milestone",AU$8&gt;=$G34,AU$8&lt;=$G34+$H34-1),1,""))</f>
        <v/>
      </c>
      <c r="AV34" s="69" t="str">
        <f ca="1">IF(AND($C34="Goal",AV$8&gt;=$G34,AV$8&lt;=$G34+$H34-1),2,IF(AND($C34="Milestone",AV$8&gt;=$G34,AV$8&lt;=$G34+$H34-1),1,""))</f>
        <v/>
      </c>
      <c r="AW34" s="69" t="str">
        <f ca="1">IF(AND($C34="Goal",AW$8&gt;=$G34,AW$8&lt;=$G34+$H34-1),2,IF(AND($C34="Milestone",AW$8&gt;=$G34,AW$8&lt;=$G34+$H34-1),1,""))</f>
        <v/>
      </c>
      <c r="AX34" s="69" t="str">
        <f ca="1">IF(AND($C34="Goal",AX$8&gt;=$G34,AX$8&lt;=$G34+$H34-1),2,IF(AND($C34="Milestone",AX$8&gt;=$G34,AX$8&lt;=$G34+$H34-1),1,""))</f>
        <v/>
      </c>
      <c r="AY34" s="69" t="str">
        <f ca="1">IF(AND($C34="Goal",AY$8&gt;=$G34,AY$8&lt;=$G34+$H34-1),2,IF(AND($C34="Milestone",AY$8&gt;=$G34,AY$8&lt;=$G34+$H34-1),1,""))</f>
        <v/>
      </c>
      <c r="AZ34" s="69" t="str">
        <f ca="1">IF(AND($C34="Goal",AZ$8&gt;=$G34,AZ$8&lt;=$G34+$H34-1),2,IF(AND($C34="Milestone",AZ$8&gt;=$G34,AZ$8&lt;=$G34+$H34-1),1,""))</f>
        <v/>
      </c>
      <c r="BA34" s="69" t="str">
        <f ca="1">IF(AND($C34="Goal",BA$8&gt;=$G34,BA$8&lt;=$G34+$H34-1),2,IF(AND($C34="Milestone",BA$8&gt;=$G34,BA$8&lt;=$G34+$H34-1),1,""))</f>
        <v/>
      </c>
      <c r="BB34" s="69" t="str">
        <f ca="1">IF(AND($C34="Goal",BB$8&gt;=$G34,BB$8&lt;=$G34+$H34-1),2,IF(AND($C34="Milestone",BB$8&gt;=$G34,BB$8&lt;=$G34+$H34-1),1,""))</f>
        <v/>
      </c>
      <c r="BC34" s="69" t="str">
        <f ca="1">IF(AND($C34="Goal",BC$8&gt;=$G34,BC$8&lt;=$G34+$H34-1),2,IF(AND($C34="Milestone",BC$8&gt;=$G34,BC$8&lt;=$G34+$H34-1),1,""))</f>
        <v/>
      </c>
      <c r="BD34" s="69" t="str">
        <f ca="1">IF(AND($C34="Goal",BD$8&gt;=$G34,BD$8&lt;=$G34+$H34-1),2,IF(AND($C34="Milestone",BD$8&gt;=$G34,BD$8&lt;=$G34+$H34-1),1,""))</f>
        <v/>
      </c>
      <c r="BE34" s="69" t="str">
        <f ca="1">IF(AND($C34="Goal",BE$8&gt;=$G34,BE$8&lt;=$G34+$H34-1),2,IF(AND($C34="Milestone",BE$8&gt;=$G34,BE$8&lt;=$G34+$H34-1),1,""))</f>
        <v/>
      </c>
      <c r="BF34" s="69" t="str">
        <f ca="1">IF(AND($C34="Goal",BF$8&gt;=$G34,BF$8&lt;=$G34+$H34-1),2,IF(AND($C34="Milestone",BF$8&gt;=$G34,BF$8&lt;=$G34+$H34-1),1,""))</f>
        <v/>
      </c>
      <c r="BG34" s="69" t="str">
        <f ca="1">IF(AND($C34="Goal",BG$8&gt;=$G34,BG$8&lt;=$G34+$H34-1),2,IF(AND($C34="Milestone",BG$8&gt;=$G34,BG$8&lt;=$G34+$H34-1),1,""))</f>
        <v/>
      </c>
      <c r="BH34" s="69" t="str">
        <f ca="1">IF(AND($C34="Goal",BH$8&gt;=$G34,BH$8&lt;=$G34+$H34-1),2,IF(AND($C34="Milestone",BH$8&gt;=$G34,BH$8&lt;=$G34+$H34-1),1,""))</f>
        <v/>
      </c>
      <c r="BI34" s="69" t="str">
        <f ca="1">IF(AND($C34="Goal",BI$8&gt;=$G34,BI$8&lt;=$G34+$H34-1),2,IF(AND($C34="Milestone",BI$8&gt;=$G34,BI$8&lt;=$G34+$H34-1),1,""))</f>
        <v/>
      </c>
      <c r="BJ34" s="69" t="str">
        <f ca="1">IF(AND($C34="Goal",BJ$8&gt;=$G34,BJ$8&lt;=$G34+$H34-1),2,IF(AND($C34="Milestone",BJ$8&gt;=$G34,BJ$8&lt;=$G34+$H34-1),1,""))</f>
        <v/>
      </c>
      <c r="BK34" s="69" t="str">
        <f ca="1">IF(AND($C34="Goal",BK$8&gt;=$G34,BK$8&lt;=$G34+$H34-1),2,IF(AND($C34="Milestone",BK$8&gt;=$G34,BK$8&lt;=$G34+$H34-1),1,""))</f>
        <v/>
      </c>
      <c r="BL34" s="69" t="str">
        <f ca="1">IF(AND($C34="Goal",BL$8&gt;=$G34,BL$8&lt;=$G34+$H34-1),2,IF(AND($C34="Milestone",BL$8&gt;=$G34,BL$8&lt;=$G34+$H34-1),1,""))</f>
        <v/>
      </c>
      <c r="BM34" s="69" t="str">
        <f ca="1">IF(AND($C34="Goal",BM$8&gt;=$G34,BM$8&lt;=$G34+$H34-1),2,IF(AND($C34="Milestone",BM$8&gt;=$G34,BM$8&lt;=$G34+$H34-1),1,""))</f>
        <v/>
      </c>
      <c r="BN34" s="69" t="str">
        <f ca="1">IF(AND($C34="Goal",BN$8&gt;=$G34,BN$8&lt;=$G34+$H34-1),2,IF(AND($C34="Milestone",BN$8&gt;=$G34,BN$8&lt;=$G34+$H34-1),1,""))</f>
        <v/>
      </c>
      <c r="BO34" s="69" t="str">
        <f ca="1">IF(AND($C34="Goal",BO$8&gt;=$G34,BO$8&lt;=$G34+$H34-1),2,IF(AND($C34="Milestone",BO$8&gt;=$G34,BO$8&lt;=$G34+$H34-1),1,""))</f>
        <v/>
      </c>
      <c r="BP34" s="69" t="str">
        <f ca="1">IF(AND($C34="Goal",BP$8&gt;=$G34,BP$8&lt;=$G34+$H34-1),2,IF(AND($C34="Milestone",BP$8&gt;=$G34,BP$8&lt;=$G34+$H34-1),1,""))</f>
        <v/>
      </c>
      <c r="BQ34" s="69" t="str">
        <f ca="1">IF(AND($C34="Goal",BQ$8&gt;=$G34,BQ$8&lt;=$G34+$H34-1),2,IF(AND($C34="Milestone",BQ$8&gt;=$G34,BQ$8&lt;=$G34+$H34-1),1,""))</f>
        <v/>
      </c>
      <c r="BR34" s="69" t="str">
        <f ca="1">IF(AND($C34="Goal",BR$8&gt;=$G34,BR$8&lt;=$G34+$H34-1),2,IF(AND($C34="Milestone",BR$8&gt;=$G34,BR$8&lt;=$G34+$H34-1),1,""))</f>
        <v/>
      </c>
      <c r="BS34" s="69" t="str">
        <f ca="1">IF(AND($C34="Goal",BS$8&gt;=$G34,BS$8&lt;=$G34+$H34-1),2,IF(AND($C34="Milestone",BS$8&gt;=$G34,BS$8&lt;=$G34+$H34-1),1,""))</f>
        <v/>
      </c>
      <c r="BT34" s="69" t="str">
        <f ca="1">IF(AND($C34="Goal",BT$8&gt;=$G34,BT$8&lt;=$G34+$H34-1),2,IF(AND($C34="Milestone",BT$8&gt;=$G34,BT$8&lt;=$G34+$H34-1),1,""))</f>
        <v/>
      </c>
      <c r="BU34" s="69" t="str">
        <f ca="1">IF(AND($C34="Goal",BU$8&gt;=$G34,BU$8&lt;=$G34+$H34-1),2,IF(AND($C34="Milestone",BU$8&gt;=$G34,BU$8&lt;=$G34+$H34-1),1,""))</f>
        <v/>
      </c>
      <c r="BV34" s="69" t="str">
        <f ca="1">IF(AND($C34="Goal",BV$8&gt;=$G34,BV$8&lt;=$G34+$H34-1),2,IF(AND($C34="Milestone",BV$8&gt;=$G34,BV$8&lt;=$G34+$H34-1),1,""))</f>
        <v/>
      </c>
      <c r="BW34" s="69" t="str">
        <f ca="1">IF(AND($C34="Goal",BW$8&gt;=$G34,BW$8&lt;=$G34+$H34-1),2,IF(AND($C34="Milestone",BW$8&gt;=$G34,BW$8&lt;=$G34+$H34-1),1,""))</f>
        <v/>
      </c>
      <c r="BX34" s="69" t="str">
        <f ca="1">IF(AND($C34="Goal",BX$8&gt;=$G34,BX$8&lt;=$G34+$H34-1),2,IF(AND($C34="Milestone",BX$8&gt;=$G34,BX$8&lt;=$G34+$H34-1),1,""))</f>
        <v/>
      </c>
      <c r="BY34" s="69" t="str">
        <f ca="1">IF(AND($C34="Goal",BY$8&gt;=$G34,BY$8&lt;=$G34+$H34-1),2,IF(AND($C34="Milestone",BY$8&gt;=$G34,BY$8&lt;=$G34+$H34-1),1,""))</f>
        <v/>
      </c>
      <c r="BZ34" s="69" t="str">
        <f ca="1">IF(AND($C34="Goal",BZ$8&gt;=$G34,BZ$8&lt;=$G34+$H34-1),2,IF(AND($C34="Milestone",BZ$8&gt;=$G34,BZ$8&lt;=$G34+$H34-1),1,""))</f>
        <v/>
      </c>
      <c r="CA34" s="69" t="str">
        <f ca="1">IF(AND($C34="Goal",CA$8&gt;=$G34,CA$8&lt;=$G34+$H34-1),2,IF(AND($C34="Milestone",CA$8&gt;=$G34,CA$8&lt;=$G34+$H34-1),1,""))</f>
        <v/>
      </c>
      <c r="CB34" s="69" t="str">
        <f ca="1">IF(AND($C34="Goal",CB$8&gt;=$G34,CB$8&lt;=$G34+$H34-1),2,IF(AND($C34="Milestone",CB$8&gt;=$G34,CB$8&lt;=$G34+$H34-1),1,""))</f>
        <v/>
      </c>
      <c r="CC34" s="69" t="str">
        <f ca="1">IF(AND($C34="Goal",CC$8&gt;=$G34,CC$8&lt;=$G34+$H34-1),2,IF(AND($C34="Milestone",CC$8&gt;=$G34,CC$8&lt;=$G34+$H34-1),1,""))</f>
        <v/>
      </c>
      <c r="CD34" s="69" t="str">
        <f ca="1">IF(AND($C34="Goal",CD$8&gt;=$G34,CD$8&lt;=$G34+$H34-1),2,IF(AND($C34="Milestone",CD$8&gt;=$G34,CD$8&lt;=$G34+$H34-1),1,""))</f>
        <v/>
      </c>
      <c r="CE34" s="69" t="str">
        <f ca="1">IF(AND($C34="Goal",CE$8&gt;=$G34,CE$8&lt;=$G34+$H34-1),2,IF(AND($C34="Milestone",CE$8&gt;=$G34,CE$8&lt;=$G34+$H34-1),1,""))</f>
        <v/>
      </c>
      <c r="CF34" s="69" t="str">
        <f ca="1">IF(AND($C34="Goal",CF$8&gt;=$G34,CF$8&lt;=$G34+$H34-1),2,IF(AND($C34="Milestone",CF$8&gt;=$G34,CF$8&lt;=$G34+$H34-1),1,""))</f>
        <v/>
      </c>
      <c r="CG34" s="69" t="str">
        <f ca="1">IF(AND($C34="Goal",CG$8&gt;=$G34,CG$8&lt;=$G34+$H34-1),2,IF(AND($C34="Milestone",CG$8&gt;=$G34,CG$8&lt;=$G34+$H34-1),1,""))</f>
        <v/>
      </c>
      <c r="CH34" s="69" t="str">
        <f ca="1">IF(AND($C34="Goal",CH$8&gt;=$G34,CH$8&lt;=$G34+$H34-1),2,IF(AND($C34="Milestone",CH$8&gt;=$G34,CH$8&lt;=$G34+$H34-1),1,""))</f>
        <v/>
      </c>
      <c r="CI34" s="69" t="str">
        <f ca="1">IF(AND($C34="Goal",CI$8&gt;=$G34,CI$8&lt;=$G34+$H34-1),2,IF(AND($C34="Milestone",CI$8&gt;=$G34,CI$8&lt;=$G34+$H34-1),1,""))</f>
        <v/>
      </c>
      <c r="CJ34" s="69" t="str">
        <f ca="1">IF(AND($C34="Goal",CJ$8&gt;=$G34,CJ$8&lt;=$G34+$H34-1),2,IF(AND($C34="Milestone",CJ$8&gt;=$G34,CJ$8&lt;=$G34+$H34-1),1,""))</f>
        <v/>
      </c>
      <c r="CK34" s="69" t="str">
        <f ca="1">IF(AND($C34="Goal",CK$8&gt;=$G34,CK$8&lt;=$G34+$H34-1),2,IF(AND($C34="Milestone",CK$8&gt;=$G34,CK$8&lt;=$G34+$H34-1),1,""))</f>
        <v/>
      </c>
      <c r="CL34" s="69" t="str">
        <f ca="1">IF(AND($C34="Goal",CL$8&gt;=$G34,CL$8&lt;=$G34+$H34-1),2,IF(AND($C34="Milestone",CL$8&gt;=$G34,CL$8&lt;=$G34+$H34-1),1,""))</f>
        <v/>
      </c>
      <c r="CM34" s="69" t="str">
        <f ca="1">IF(AND($C34="Goal",CM$8&gt;=$G34,CM$8&lt;=$G34+$H34-1),2,IF(AND($C34="Milestone",CM$8&gt;=$G34,CM$8&lt;=$G34+$H34-1),1,""))</f>
        <v/>
      </c>
      <c r="CN34" s="69" t="str">
        <f ca="1">IF(AND($C34="Goal",CN$8&gt;=$G34,CN$8&lt;=$G34+$H34-1),2,IF(AND($C34="Milestone",CN$8&gt;=$G34,CN$8&lt;=$G34+$H34-1),1,""))</f>
        <v/>
      </c>
      <c r="CO34" s="69" t="str">
        <f ca="1">IF(AND($C34="Goal",CO$8&gt;=$G34,CO$8&lt;=$G34+$H34-1),2,IF(AND($C34="Milestone",CO$8&gt;=$G34,CO$8&lt;=$G34+$H34-1),1,""))</f>
        <v/>
      </c>
      <c r="CP34" s="69" t="str">
        <f ca="1">IF(AND($C34="Goal",CP$8&gt;=$G34,CP$8&lt;=$G34+$H34-1),2,IF(AND($C34="Milestone",CP$8&gt;=$G34,CP$8&lt;=$G34+$H34-1),1,""))</f>
        <v/>
      </c>
      <c r="CQ34" s="69" t="str">
        <f ca="1">IF(AND($C34="Goal",CQ$8&gt;=$G34,CQ$8&lt;=$G34+$H34-1),2,IF(AND($C34="Milestone",CQ$8&gt;=$G34,CQ$8&lt;=$G34+$H34-1),1,""))</f>
        <v/>
      </c>
      <c r="CR34" s="69" t="str">
        <f ca="1">IF(AND($C34="Goal",CR$8&gt;=$G34,CR$8&lt;=$G34+$H34-1),2,IF(AND($C34="Milestone",CR$8&gt;=$G34,CR$8&lt;=$G34+$H34-1),1,""))</f>
        <v/>
      </c>
      <c r="CS34" s="69" t="str">
        <f ca="1">IF(AND($C34="Goal",CS$8&gt;=$G34,CS$8&lt;=$G34+$H34-1),2,IF(AND($C34="Milestone",CS$8&gt;=$G34,CS$8&lt;=$G34+$H34-1),1,""))</f>
        <v/>
      </c>
      <c r="CT34" s="69" t="str">
        <f ca="1">IF(AND($C34="Goal",CT$8&gt;=$G34,CT$8&lt;=$G34+$H34-1),2,IF(AND($C34="Milestone",CT$8&gt;=$G34,CT$8&lt;=$G34+$H34-1),1,""))</f>
        <v/>
      </c>
      <c r="CU34" s="69" t="str">
        <f ca="1">IF(AND($C34="Goal",CU$8&gt;=$G34,CU$8&lt;=$G34+$H34-1),2,IF(AND($C34="Milestone",CU$8&gt;=$G34,CU$8&lt;=$G34+$H34-1),1,""))</f>
        <v/>
      </c>
      <c r="CV34" s="69" t="str">
        <f ca="1">IF(AND($C34="Goal",CV$8&gt;=$G34,CV$8&lt;=$G34+$H34-1),2,IF(AND($C34="Milestone",CV$8&gt;=$G34,CV$8&lt;=$G34+$H34-1),1,""))</f>
        <v/>
      </c>
      <c r="CW34" s="69" t="str">
        <f ca="1">IF(AND($C34="Goal",CW$8&gt;=$G34,CW$8&lt;=$G34+$H34-1),2,IF(AND($C34="Milestone",CW$8&gt;=$G34,CW$8&lt;=$G34+$H34-1),1,""))</f>
        <v/>
      </c>
      <c r="CX34" s="69" t="str">
        <f ca="1">IF(AND($C34="Goal",CX$8&gt;=$G34,CX$8&lt;=$G34+$H34-1),2,IF(AND($C34="Milestone",CX$8&gt;=$G34,CX$8&lt;=$G34+$H34-1),1,""))</f>
        <v/>
      </c>
      <c r="CY34" s="69" t="str">
        <f ca="1">IF(AND($C34="Goal",CY$8&gt;=$G34,CY$8&lt;=$G34+$H34-1),2,IF(AND($C34="Milestone",CY$8&gt;=$G34,CY$8&lt;=$G34+$H34-1),1,""))</f>
        <v/>
      </c>
      <c r="CZ34" s="69" t="str">
        <f ca="1">IF(AND($C34="Goal",CZ$8&gt;=$G34,CZ$8&lt;=$G34+$H34-1),2,IF(AND($C34="Milestone",CZ$8&gt;=$G34,CZ$8&lt;=$G34+$H34-1),1,""))</f>
        <v/>
      </c>
      <c r="DA34" s="69" t="str">
        <f ca="1">IF(AND($C34="Goal",DA$8&gt;=$G34,DA$8&lt;=$G34+$H34-1),2,IF(AND($C34="Milestone",DA$8&gt;=$G34,DA$8&lt;=$G34+$H34-1),1,""))</f>
        <v/>
      </c>
      <c r="DB34" s="69" t="str">
        <f ca="1">IF(AND($C34="Goal",DB$8&gt;=$G34,DB$8&lt;=$G34+$H34-1),2,IF(AND($C34="Milestone",DB$8&gt;=$G34,DB$8&lt;=$G34+$H34-1),1,""))</f>
        <v/>
      </c>
      <c r="DC34" s="69" t="str">
        <f ca="1">IF(AND($C34="Goal",DC$8&gt;=$G34,DC$8&lt;=$G34+$H34-1),2,IF(AND($C34="Milestone",DC$8&gt;=$G34,DC$8&lt;=$G34+$H34-1),1,""))</f>
        <v/>
      </c>
      <c r="DD34" s="69" t="str">
        <f ca="1">IF(AND($C34="Goal",DD$8&gt;=$G34,DD$8&lt;=$G34+$H34-1),2,IF(AND($C34="Milestone",DD$8&gt;=$G34,DD$8&lt;=$G34+$H34-1),1,""))</f>
        <v/>
      </c>
      <c r="DE34" s="69" t="str">
        <f ca="1">IF(AND($C34="Goal",DE$8&gt;=$G34,DE$8&lt;=$G34+$H34-1),2,IF(AND($C34="Milestone",DE$8&gt;=$G34,DE$8&lt;=$G34+$H34-1),1,""))</f>
        <v/>
      </c>
      <c r="DF34" s="69" t="str">
        <f ca="1">IF(AND($C34="Goal",DF$8&gt;=$G34,DF$8&lt;=$G34+$H34-1),2,IF(AND($C34="Milestone",DF$8&gt;=$G34,DF$8&lt;=$G34+$H34-1),1,""))</f>
        <v/>
      </c>
      <c r="DG34" s="69" t="str">
        <f ca="1">IF(AND($C34="Goal",DG$8&gt;=$G34,DG$8&lt;=$G34+$H34-1),2,IF(AND($C34="Milestone",DG$8&gt;=$G34,DG$8&lt;=$G34+$H34-1),1,""))</f>
        <v/>
      </c>
      <c r="DH34" s="69" t="str">
        <f ca="1">IF(AND($C34="Goal",DH$8&gt;=$G34,DH$8&lt;=$G34+$H34-1),2,IF(AND($C34="Milestone",DH$8&gt;=$G34,DH$8&lt;=$G34+$H34-1),1,""))</f>
        <v/>
      </c>
      <c r="DI34" s="69" t="str">
        <f ca="1">IF(AND($C34="Goal",DI$8&gt;=$G34,DI$8&lt;=$G34+$H34-1),2,IF(AND($C34="Milestone",DI$8&gt;=$G34,DI$8&lt;=$G34+$H34-1),1,""))</f>
        <v/>
      </c>
      <c r="DJ34" s="69" t="str">
        <f ca="1">IF(AND($C34="Goal",DJ$8&gt;=$G34,DJ$8&lt;=$G34+$H34-1),2,IF(AND($C34="Milestone",DJ$8&gt;=$G34,DJ$8&lt;=$G34+$H34-1),1,""))</f>
        <v/>
      </c>
      <c r="DK34" s="69" t="str">
        <f ca="1">IF(AND($C34="Goal",DK$8&gt;=$G34,DK$8&lt;=$G34+$H34-1),2,IF(AND($C34="Milestone",DK$8&gt;=$G34,DK$8&lt;=$G34+$H34-1),1,""))</f>
        <v/>
      </c>
      <c r="DL34" s="69" t="str">
        <f ca="1">IF(AND($C34="Goal",DL$8&gt;=$G34,DL$8&lt;=$G34+$H34-1),2,IF(AND($C34="Milestone",DL$8&gt;=$G34,DL$8&lt;=$G34+$H34-1),1,""))</f>
        <v/>
      </c>
      <c r="DM34" s="69" t="str">
        <f ca="1">IF(AND($C34="Goal",DM$8&gt;=$G34,DM$8&lt;=$G34+$H34-1),2,IF(AND($C34="Milestone",DM$8&gt;=$G34,DM$8&lt;=$G34+$H34-1),1,""))</f>
        <v/>
      </c>
      <c r="DN34" s="69" t="str">
        <f ca="1">IF(AND($C34="Goal",DN$8&gt;=$G34,DN$8&lt;=$G34+$H34-1),2,IF(AND($C34="Milestone",DN$8&gt;=$G34,DN$8&lt;=$G34+$H34-1),1,""))</f>
        <v/>
      </c>
      <c r="DO34" s="69" t="str">
        <f ca="1">IF(AND($C34="Goal",DO$8&gt;=$G34,DO$8&lt;=$G34+$H34-1),2,IF(AND($C34="Milestone",DO$8&gt;=$G34,DO$8&lt;=$G34+$H34-1),1,""))</f>
        <v/>
      </c>
      <c r="DP34" s="69" t="str">
        <f ca="1">IF(AND($C34="Goal",DP$8&gt;=$G34,DP$8&lt;=$G34+$H34-1),2,IF(AND($C34="Milestone",DP$8&gt;=$G34,DP$8&lt;=$G34+$H34-1),1,""))</f>
        <v/>
      </c>
      <c r="DQ34" s="69" t="str">
        <f ca="1">IF(AND($C34="Goal",DQ$8&gt;=$G34,DQ$8&lt;=$G34+$H34-1),2,IF(AND($C34="Milestone",DQ$8&gt;=$G34,DQ$8&lt;=$G34+$H34-1),1,""))</f>
        <v/>
      </c>
      <c r="DR34" s="69" t="str">
        <f ca="1">IF(AND($C34="Goal",DR$8&gt;=$G34,DR$8&lt;=$G34+$H34-1),2,IF(AND($C34="Milestone",DR$8&gt;=$G34,DR$8&lt;=$G34+$H34-1),1,""))</f>
        <v/>
      </c>
      <c r="DS34" s="69" t="str">
        <f ca="1">IF(AND($C34="Goal",DS$8&gt;=$G34,DS$8&lt;=$G34+$H34-1),2,IF(AND($C34="Milestone",DS$8&gt;=$G34,DS$8&lt;=$G34+$H34-1),1,""))</f>
        <v/>
      </c>
      <c r="DT34" s="69" t="str">
        <f ca="1">IF(AND($C34="Goal",DT$8&gt;=$G34,DT$8&lt;=$G34+$H34-1),2,IF(AND($C34="Milestone",DT$8&gt;=$G34,DT$8&lt;=$G34+$H34-1),1,""))</f>
        <v/>
      </c>
      <c r="DU34" s="69" t="str">
        <f ca="1">IF(AND($C34="Goal",DU$8&gt;=$G34,DU$8&lt;=$G34+$H34-1),2,IF(AND($C34="Milestone",DU$8&gt;=$G34,DU$8&lt;=$G34+$H34-1),1,""))</f>
        <v/>
      </c>
      <c r="DV34" s="69" t="str">
        <f ca="1">IF(AND($C34="Goal",DV$8&gt;=$G34,DV$8&lt;=$G34+$H34-1),2,IF(AND($C34="Milestone",DV$8&gt;=$G34,DV$8&lt;=$G34+$H34-1),1,""))</f>
        <v/>
      </c>
      <c r="DW34" s="69" t="str">
        <f ca="1">IF(AND($C34="Goal",DW$8&gt;=$G34,DW$8&lt;=$G34+$H34-1),2,IF(AND($C34="Milestone",DW$8&gt;=$G34,DW$8&lt;=$G34+$H34-1),1,""))</f>
        <v/>
      </c>
      <c r="DX34" s="69" t="str">
        <f ca="1">IF(AND($C34="Goal",DX$8&gt;=$G34,DX$8&lt;=$G34+$H34-1),2,IF(AND($C34="Milestone",DX$8&gt;=$G34,DX$8&lt;=$G34+$H34-1),1,""))</f>
        <v/>
      </c>
      <c r="DY34" s="69" t="str">
        <f ca="1">IF(AND($C34="Goal",DY$8&gt;=$G34,DY$8&lt;=$G34+$H34-1),2,IF(AND($C34="Milestone",DY$8&gt;=$G34,DY$8&lt;=$G34+$H34-1),1,""))</f>
        <v/>
      </c>
      <c r="DZ34" s="69" t="str">
        <f ca="1">IF(AND($C34="Goal",DZ$8&gt;=$G34,DZ$8&lt;=$G34+$H34-1),2,IF(AND($C34="Milestone",DZ$8&gt;=$G34,DZ$8&lt;=$G34+$H34-1),1,""))</f>
        <v/>
      </c>
      <c r="EA34" s="69" t="str">
        <f ca="1">IF(AND($C34="Goal",EA$8&gt;=$G34,EA$8&lt;=$G34+$H34-1),2,IF(AND($C34="Milestone",EA$8&gt;=$G34,EA$8&lt;=$G34+$H34-1),1,""))</f>
        <v/>
      </c>
      <c r="EB34" s="69" t="str">
        <f ca="1">IF(AND($C34="Goal",EB$8&gt;=$G34,EB$8&lt;=$G34+$H34-1),2,IF(AND($C34="Milestone",EB$8&gt;=$G34,EB$8&lt;=$G34+$H34-1),1,""))</f>
        <v/>
      </c>
      <c r="EC34" s="69" t="str">
        <f ca="1">IF(AND($C34="Goal",EC$8&gt;=$G34,EC$8&lt;=$G34+$H34-1),2,IF(AND($C34="Milestone",EC$8&gt;=$G34,EC$8&lt;=$G34+$H34-1),1,""))</f>
        <v/>
      </c>
      <c r="ED34" s="69" t="str">
        <f ca="1">IF(AND($C34="Goal",ED$8&gt;=$G34,ED$8&lt;=$G34+$H34-1),2,IF(AND($C34="Milestone",ED$8&gt;=$G34,ED$8&lt;=$G34+$H34-1),1,""))</f>
        <v/>
      </c>
      <c r="EE34" s="69" t="str">
        <f ca="1">IF(AND($C34="Goal",EE$8&gt;=$G34,EE$8&lt;=$G34+$H34-1),2,IF(AND($C34="Milestone",EE$8&gt;=$G34,EE$8&lt;=$G34+$H34-1),1,""))</f>
        <v/>
      </c>
      <c r="EF34" s="69" t="str">
        <f ca="1">IF(AND($C34="Goal",EF$8&gt;=$G34,EF$8&lt;=$G34+$H34-1),2,IF(AND($C34="Milestone",EF$8&gt;=$G34,EF$8&lt;=$G34+$H34-1),1,""))</f>
        <v/>
      </c>
      <c r="EG34" s="69" t="str">
        <f ca="1">IF(AND($C34="Goal",EG$8&gt;=$G34,EG$8&lt;=$G34+$H34-1),2,IF(AND($C34="Milestone",EG$8&gt;=$G34,EG$8&lt;=$G34+$H34-1),1,""))</f>
        <v/>
      </c>
      <c r="EH34" s="69" t="str">
        <f ca="1">IF(AND($C34="Goal",EH$8&gt;=$G34,EH$8&lt;=$G34+$H34-1),2,IF(AND($C34="Milestone",EH$8&gt;=$G34,EH$8&lt;=$G34+$H34-1),1,""))</f>
        <v/>
      </c>
      <c r="EI34" s="69" t="str">
        <f ca="1">IF(AND($C34="Goal",EI$8&gt;=$G34,EI$8&lt;=$G34+$H34-1),2,IF(AND($C34="Milestone",EI$8&gt;=$G34,EI$8&lt;=$G34+$H34-1),1,""))</f>
        <v/>
      </c>
      <c r="EJ34" s="69" t="str">
        <f ca="1">IF(AND($C34="Goal",EJ$8&gt;=$G34,EJ$8&lt;=$G34+$H34-1),2,IF(AND($C34="Milestone",EJ$8&gt;=$G34,EJ$8&lt;=$G34+$H34-1),1,""))</f>
        <v/>
      </c>
      <c r="EK34" s="69" t="str">
        <f ca="1">IF(AND($C34="Goal",EK$8&gt;=$G34,EK$8&lt;=$G34+$H34-1),2,IF(AND($C34="Milestone",EK$8&gt;=$G34,EK$8&lt;=$G34+$H34-1),1,""))</f>
        <v/>
      </c>
      <c r="EL34" s="69" t="str">
        <f ca="1">IF(AND($C34="Goal",EL$8&gt;=$G34,EL$8&lt;=$G34+$H34-1),2,IF(AND($C34="Milestone",EL$8&gt;=$G34,EL$8&lt;=$G34+$H34-1),1,""))</f>
        <v/>
      </c>
      <c r="EM34" s="69" t="str">
        <f ca="1">IF(AND($C34="Goal",EM$8&gt;=$G34,EM$8&lt;=$G34+$H34-1),2,IF(AND($C34="Milestone",EM$8&gt;=$G34,EM$8&lt;=$G34+$H34-1),1,""))</f>
        <v/>
      </c>
      <c r="EN34" s="69" t="str">
        <f ca="1">IF(AND($C34="Goal",EN$8&gt;=$G34,EN$8&lt;=$G34+$H34-1),2,IF(AND($C34="Milestone",EN$8&gt;=$G34,EN$8&lt;=$G34+$H34-1),1,""))</f>
        <v/>
      </c>
      <c r="EO34" s="69" t="str">
        <f ca="1">IF(AND($C34="Goal",EO$8&gt;=$G34,EO$8&lt;=$G34+$H34-1),2,IF(AND($C34="Milestone",EO$8&gt;=$G34,EO$8&lt;=$G34+$H34-1),1,""))</f>
        <v/>
      </c>
      <c r="EP34" s="69" t="str">
        <f ca="1">IF(AND($C34="Goal",EP$8&gt;=$G34,EP$8&lt;=$G34+$H34-1),2,IF(AND($C34="Milestone",EP$8&gt;=$G34,EP$8&lt;=$G34+$H34-1),1,""))</f>
        <v/>
      </c>
      <c r="EQ34" s="69" t="str">
        <f ca="1">IF(AND($C34="Goal",EQ$8&gt;=$G34,EQ$8&lt;=$G34+$H34-1),2,IF(AND($C34="Milestone",EQ$8&gt;=$G34,EQ$8&lt;=$G34+$H34-1),1,""))</f>
        <v/>
      </c>
      <c r="ER34" s="69" t="str">
        <f ca="1">IF(AND($C34="Goal",ER$8&gt;=$G34,ER$8&lt;=$G34+$H34-1),2,IF(AND($C34="Milestone",ER$8&gt;=$G34,ER$8&lt;=$G34+$H34-1),1,""))</f>
        <v/>
      </c>
      <c r="ES34" s="69" t="str">
        <f ca="1">IF(AND($C34="Goal",ES$8&gt;=$G34,ES$8&lt;=$G34+$H34-1),2,IF(AND($C34="Milestone",ES$8&gt;=$G34,ES$8&lt;=$G34+$H34-1),1,""))</f>
        <v/>
      </c>
      <c r="ET34" s="69" t="str">
        <f ca="1">IF(AND($C34="Goal",ET$8&gt;=$G34,ET$8&lt;=$G34+$H34-1),2,IF(AND($C34="Milestone",ET$8&gt;=$G34,ET$8&lt;=$G34+$H34-1),1,""))</f>
        <v/>
      </c>
      <c r="EU34" s="69" t="str">
        <f ca="1">IF(AND($C34="Goal",EU$8&gt;=$G34,EU$8&lt;=$G34+$H34-1),2,IF(AND($C34="Milestone",EU$8&gt;=$G34,EU$8&lt;=$G34+$H34-1),1,""))</f>
        <v/>
      </c>
      <c r="EV34" s="69" t="str">
        <f ca="1">IF(AND($C34="Goal",EV$8&gt;=$G34,EV$8&lt;=$G34+$H34-1),2,IF(AND($C34="Milestone",EV$8&gt;=$G34,EV$8&lt;=$G34+$H34-1),1,""))</f>
        <v/>
      </c>
      <c r="EW34" s="69" t="str">
        <f ca="1">IF(AND($C34="Goal",EW$8&gt;=$G34,EW$8&lt;=$G34+$H34-1),2,IF(AND($C34="Milestone",EW$8&gt;=$G34,EW$8&lt;=$G34+$H34-1),1,""))</f>
        <v/>
      </c>
      <c r="EX34" s="69" t="str">
        <f ca="1">IF(AND($C34="Goal",EX$8&gt;=$G34,EX$8&lt;=$G34+$H34-1),2,IF(AND($C34="Milestone",EX$8&gt;=$G34,EX$8&lt;=$G34+$H34-1),1,""))</f>
        <v/>
      </c>
      <c r="EY34" s="69" t="str">
        <f ca="1">IF(AND($C34="Goal",EY$8&gt;=$G34,EY$8&lt;=$G34+$H34-1),2,IF(AND($C34="Milestone",EY$8&gt;=$G34,EY$8&lt;=$G34+$H34-1),1,""))</f>
        <v/>
      </c>
      <c r="EZ34" s="69" t="str">
        <f ca="1">IF(AND($C34="Goal",EZ$8&gt;=$G34,EZ$8&lt;=$G34+$H34-1),2,IF(AND($C34="Milestone",EZ$8&gt;=$G34,EZ$8&lt;=$G34+$H34-1),1,""))</f>
        <v/>
      </c>
      <c r="FA34" s="69" t="str">
        <f ca="1">IF(AND($C34="Goal",FA$8&gt;=$G34,FA$8&lt;=$G34+$H34-1),2,IF(AND($C34="Milestone",FA$8&gt;=$G34,FA$8&lt;=$G34+$H34-1),1,""))</f>
        <v/>
      </c>
      <c r="FB34" s="69" t="str">
        <f ca="1">IF(AND($C34="Goal",FB$8&gt;=$G34,FB$8&lt;=$G34+$H34-1),2,IF(AND($C34="Milestone",FB$8&gt;=$G34,FB$8&lt;=$G34+$H34-1),1,""))</f>
        <v/>
      </c>
      <c r="FC34" s="69" t="str">
        <f ca="1">IF(AND($C34="Goal",FC$8&gt;=$G34,FC$8&lt;=$G34+$H34-1),2,IF(AND($C34="Milestone",FC$8&gt;=$G34,FC$8&lt;=$G34+$H34-1),1,""))</f>
        <v/>
      </c>
      <c r="FD34" s="69" t="str">
        <f ca="1">IF(AND($C34="Goal",FD$8&gt;=$G34,FD$8&lt;=$G34+$H34-1),2,IF(AND($C34="Milestone",FD$8&gt;=$G34,FD$8&lt;=$G34+$H34-1),1,""))</f>
        <v/>
      </c>
      <c r="FE34" s="69" t="str">
        <f ca="1">IF(AND($C34="Goal",FE$8&gt;=$G34,FE$8&lt;=$G34+$H34-1),2,IF(AND($C34="Milestone",FE$8&gt;=$G34,FE$8&lt;=$G34+$H34-1),1,""))</f>
        <v/>
      </c>
      <c r="FF34" s="69" t="str">
        <f ca="1">IF(AND($C34="Goal",FF$8&gt;=$G34,FF$8&lt;=$G34+$H34-1),2,IF(AND($C34="Milestone",FF$8&gt;=$G34,FF$8&lt;=$G34+$H34-1),1,""))</f>
        <v/>
      </c>
      <c r="FG34" s="69" t="str">
        <f ca="1">IF(AND($C34="Goal",FG$8&gt;=$G34,FG$8&lt;=$G34+$H34-1),2,IF(AND($C34="Milestone",FG$8&gt;=$G34,FG$8&lt;=$G34+$H34-1),1,""))</f>
        <v/>
      </c>
      <c r="FH34" s="69" t="str">
        <f ca="1">IF(AND($C34="Goal",FH$8&gt;=$G34,FH$8&lt;=$G34+$H34-1),2,IF(AND($C34="Milestone",FH$8&gt;=$G34,FH$8&lt;=$G34+$H34-1),1,""))</f>
        <v/>
      </c>
      <c r="FI34" s="69" t="str">
        <f ca="1">IF(AND($C34="Goal",FI$8&gt;=$G34,FI$8&lt;=$G34+$H34-1),2,IF(AND($C34="Milestone",FI$8&gt;=$G34,FI$8&lt;=$G34+$H34-1),1,""))</f>
        <v/>
      </c>
      <c r="FJ34" s="69" t="str">
        <f ca="1">IF(AND($C34="Goal",FJ$8&gt;=$G34,FJ$8&lt;=$G34+$H34-1),2,IF(AND($C34="Milestone",FJ$8&gt;=$G34,FJ$8&lt;=$G34+$H34-1),1,""))</f>
        <v/>
      </c>
      <c r="FK34" s="69" t="str">
        <f ca="1">IF(AND($C34="Goal",FK$8&gt;=$G34,FK$8&lt;=$G34+$H34-1),2,IF(AND($C34="Milestone",FK$8&gt;=$G34,FK$8&lt;=$G34+$H34-1),1,""))</f>
        <v/>
      </c>
      <c r="FL34" s="69" t="str">
        <f ca="1">IF(AND($C34="Goal",FL$8&gt;=$G34,FL$8&lt;=$G34+$H34-1),2,IF(AND($C34="Milestone",FL$8&gt;=$G34,FL$8&lt;=$G34+$H34-1),1,""))</f>
        <v/>
      </c>
      <c r="FM34" s="69" t="str">
        <f ca="1">IF(AND($C34="Goal",FM$8&gt;=$G34,FM$8&lt;=$G34+$H34-1),2,IF(AND($C34="Milestone",FM$8&gt;=$G34,FM$8&lt;=$G34+$H34-1),1,""))</f>
        <v/>
      </c>
      <c r="FN34" s="69" t="str">
        <f ca="1">IF(AND($C34="Goal",FN$8&gt;=$G34,FN$8&lt;=$G34+$H34-1),2,IF(AND($C34="Milestone",FN$8&gt;=$G34,FN$8&lt;=$G34+$H34-1),1,""))</f>
        <v/>
      </c>
      <c r="FO34" s="69" t="str">
        <f ca="1">IF(AND($C34="Goal",FO$8&gt;=$G34,FO$8&lt;=$G34+$H34-1),2,IF(AND($C34="Milestone",FO$8&gt;=$G34,FO$8&lt;=$G34+$H34-1),1,""))</f>
        <v/>
      </c>
      <c r="FP34" s="69" t="str">
        <f ca="1">IF(AND($C34="Goal",FP$8&gt;=$G34,FP$8&lt;=$G34+$H34-1),2,IF(AND($C34="Milestone",FP$8&gt;=$G34,FP$8&lt;=$G34+$H34-1),1,""))</f>
        <v/>
      </c>
      <c r="FQ34" s="69" t="str">
        <f ca="1">IF(AND($C34="Goal",FQ$8&gt;=$G34,FQ$8&lt;=$G34+$H34-1),2,IF(AND($C34="Milestone",FQ$8&gt;=$G34,FQ$8&lt;=$G34+$H34-1),1,""))</f>
        <v/>
      </c>
      <c r="FR34" s="69" t="str">
        <f ca="1">IF(AND($C34="Goal",FR$8&gt;=$G34,FR$8&lt;=$G34+$H34-1),2,IF(AND($C34="Milestone",FR$8&gt;=$G34,FR$8&lt;=$G34+$H34-1),1,""))</f>
        <v/>
      </c>
      <c r="FS34" s="69" t="str">
        <f ca="1">IF(AND($C34="Goal",FS$8&gt;=$G34,FS$8&lt;=$G34+$H34-1),2,IF(AND($C34="Milestone",FS$8&gt;=$G34,FS$8&lt;=$G34+$H34-1),1,""))</f>
        <v/>
      </c>
      <c r="FT34" s="69" t="str">
        <f ca="1">IF(AND($C34="Goal",FT$8&gt;=$G34,FT$8&lt;=$G34+$H34-1),2,IF(AND($C34="Milestone",FT$8&gt;=$G34,FT$8&lt;=$G34+$H34-1),1,""))</f>
        <v/>
      </c>
      <c r="FU34" s="69" t="str">
        <f ca="1">IF(AND($C34="Goal",FU$8&gt;=$G34,FU$8&lt;=$G34+$H34-1),2,IF(AND($C34="Milestone",FU$8&gt;=$G34,FU$8&lt;=$G34+$H34-1),1,""))</f>
        <v/>
      </c>
      <c r="FV34" s="69" t="str">
        <f ca="1">IF(AND($C34="Goal",FV$8&gt;=$G34,FV$8&lt;=$G34+$H34-1),2,IF(AND($C34="Milestone",FV$8&gt;=$G34,FV$8&lt;=$G34+$H34-1),1,""))</f>
        <v/>
      </c>
      <c r="FW34" s="69" t="str">
        <f ca="1">IF(AND($C34="Goal",FW$8&gt;=$G34,FW$8&lt;=$G34+$H34-1),2,IF(AND($C34="Milestone",FW$8&gt;=$G34,FW$8&lt;=$G34+$H34-1),1,""))</f>
        <v/>
      </c>
      <c r="FX34" s="69" t="str">
        <f ca="1">IF(AND($C34="Goal",FX$8&gt;=$G34,FX$8&lt;=$G34+$H34-1),2,IF(AND($C34="Milestone",FX$8&gt;=$G34,FX$8&lt;=$G34+$H34-1),1,""))</f>
        <v/>
      </c>
      <c r="FY34" s="69" t="str">
        <f ca="1">IF(AND($C34="Goal",FY$8&gt;=$G34,FY$8&lt;=$G34+$H34-1),2,IF(AND($C34="Milestone",FY$8&gt;=$G34,FY$8&lt;=$G34+$H34-1),1,""))</f>
        <v/>
      </c>
      <c r="FZ34" s="69" t="str">
        <f ca="1">IF(AND($C34="Goal",FZ$8&gt;=$G34,FZ$8&lt;=$G34+$H34-1),2,IF(AND($C34="Milestone",FZ$8&gt;=$G34,FZ$8&lt;=$G34+$H34-1),1,""))</f>
        <v/>
      </c>
      <c r="GA34" s="69" t="str">
        <f ca="1">IF(AND($C34="Goal",GA$8&gt;=$G34,GA$8&lt;=$G34+$H34-1),2,IF(AND($C34="Milestone",GA$8&gt;=$G34,GA$8&lt;=$G34+$H34-1),1,""))</f>
        <v/>
      </c>
      <c r="GB34" s="69" t="str">
        <f ca="1">IF(AND($C34="Goal",GB$8&gt;=$G34,GB$8&lt;=$G34+$H34-1),2,IF(AND($C34="Milestone",GB$8&gt;=$G34,GB$8&lt;=$G34+$H34-1),1,""))</f>
        <v/>
      </c>
      <c r="GC34" s="69" t="str">
        <f ca="1">IF(AND($C34="Goal",GC$8&gt;=$G34,GC$8&lt;=$G34+$H34-1),2,IF(AND($C34="Milestone",GC$8&gt;=$G34,GC$8&lt;=$G34+$H34-1),1,""))</f>
        <v/>
      </c>
      <c r="GD34" s="69" t="str">
        <f ca="1">IF(AND($C34="Goal",GD$8&gt;=$G34,GD$8&lt;=$G34+$H34-1),2,IF(AND($C34="Milestone",GD$8&gt;=$G34,GD$8&lt;=$G34+$H34-1),1,""))</f>
        <v/>
      </c>
      <c r="GE34" s="69" t="str">
        <f ca="1">IF(AND($C34="Goal",GE$8&gt;=$G34,GE$8&lt;=$G34+$H34-1),2,IF(AND($C34="Milestone",GE$8&gt;=$G34,GE$8&lt;=$G34+$H34-1),1,""))</f>
        <v/>
      </c>
      <c r="GF34" s="69" t="str">
        <f ca="1">IF(AND($C34="Goal",GF$8&gt;=$G34,GF$8&lt;=$G34+$H34-1),2,IF(AND($C34="Milestone",GF$8&gt;=$G34,GF$8&lt;=$G34+$H34-1),1,""))</f>
        <v/>
      </c>
      <c r="GG34" s="69" t="str">
        <f ca="1">IF(AND($C34="Goal",GG$8&gt;=$G34,GG$8&lt;=$G34+$H34-1),2,IF(AND($C34="Milestone",GG$8&gt;=$G34,GG$8&lt;=$G34+$H34-1),1,""))</f>
        <v/>
      </c>
      <c r="GH34" s="69" t="str">
        <f ca="1">IF(AND($C34="Goal",GH$8&gt;=$G34,GH$8&lt;=$G34+$H34-1),2,IF(AND($C34="Milestone",GH$8&gt;=$G34,GH$8&lt;=$G34+$H34-1),1,""))</f>
        <v/>
      </c>
      <c r="GI34" s="69" t="str">
        <f ca="1">IF(AND($C34="Goal",GI$8&gt;=$G34,GI$8&lt;=$G34+$H34-1),2,IF(AND($C34="Milestone",GI$8&gt;=$G34,GI$8&lt;=$G34+$H34-1),1,""))</f>
        <v/>
      </c>
      <c r="GJ34" s="69" t="str">
        <f ca="1">IF(AND($C34="Goal",GJ$8&gt;=$G34,GJ$8&lt;=$G34+$H34-1),2,IF(AND($C34="Milestone",GJ$8&gt;=$G34,GJ$8&lt;=$G34+$H34-1),1,""))</f>
        <v/>
      </c>
      <c r="GK34" s="69" t="str">
        <f ca="1">IF(AND($C34="Goal",GK$8&gt;=$G34,GK$8&lt;=$G34+$H34-1),2,IF(AND($C34="Milestone",GK$8&gt;=$G34,GK$8&lt;=$G34+$H34-1),1,""))</f>
        <v/>
      </c>
      <c r="GL34" s="69" t="str">
        <f ca="1">IF(AND($C34="Goal",GL$8&gt;=$G34,GL$8&lt;=$G34+$H34-1),2,IF(AND($C34="Milestone",GL$8&gt;=$G34,GL$8&lt;=$G34+$H34-1),1,""))</f>
        <v/>
      </c>
      <c r="GM34" s="69" t="str">
        <f ca="1">IF(AND($C34="Goal",GM$8&gt;=$G34,GM$8&lt;=$G34+$H34-1),2,IF(AND($C34="Milestone",GM$8&gt;=$G34,GM$8&lt;=$G34+$H34-1),1,""))</f>
        <v/>
      </c>
      <c r="GN34" s="69" t="str">
        <f ca="1">IF(AND($C34="Goal",GN$8&gt;=$G34,GN$8&lt;=$G34+$H34-1),2,IF(AND($C34="Milestone",GN$8&gt;=$G34,GN$8&lt;=$G34+$H34-1),1,""))</f>
        <v/>
      </c>
      <c r="GO34" s="69" t="str">
        <f ca="1">IF(AND($C34="Goal",GO$8&gt;=$G34,GO$8&lt;=$G34+$H34-1),2,IF(AND($C34="Milestone",GO$8&gt;=$G34,GO$8&lt;=$G34+$H34-1),1,""))</f>
        <v/>
      </c>
      <c r="GP34" s="69" t="str">
        <f ca="1">IF(AND($C34="Goal",GP$8&gt;=$G34,GP$8&lt;=$G34+$H34-1),2,IF(AND($C34="Milestone",GP$8&gt;=$G34,GP$8&lt;=$G34+$H34-1),1,""))</f>
        <v/>
      </c>
      <c r="GQ34" s="69" t="str">
        <f ca="1">IF(AND($C34="Goal",GQ$8&gt;=$G34,GQ$8&lt;=$G34+$H34-1),2,IF(AND($C34="Milestone",GQ$8&gt;=$G34,GQ$8&lt;=$G34+$H34-1),1,""))</f>
        <v/>
      </c>
      <c r="GR34" s="69" t="str">
        <f ca="1">IF(AND($C34="Goal",GR$8&gt;=$G34,GR$8&lt;=$G34+$H34-1),2,IF(AND($C34="Milestone",GR$8&gt;=$G34,GR$8&lt;=$G34+$H34-1),1,""))</f>
        <v/>
      </c>
      <c r="GS34" s="69" t="str">
        <f ca="1">IF(AND($C34="Goal",GS$8&gt;=$G34,GS$8&lt;=$G34+$H34-1),2,IF(AND($C34="Milestone",GS$8&gt;=$G34,GS$8&lt;=$G34+$H34-1),1,""))</f>
        <v/>
      </c>
      <c r="GT34" s="69" t="str">
        <f ca="1">IF(AND($C34="Goal",GT$8&gt;=$G34,GT$8&lt;=$G34+$H34-1),2,IF(AND($C34="Milestone",GT$8&gt;=$G34,GT$8&lt;=$G34+$H34-1),1,""))</f>
        <v/>
      </c>
      <c r="GU34" s="69" t="str">
        <f ca="1">IF(AND($C34="Goal",GU$8&gt;=$G34,GU$8&lt;=$G34+$H34-1),2,IF(AND($C34="Milestone",GU$8&gt;=$G34,GU$8&lt;=$G34+$H34-1),1,""))</f>
        <v/>
      </c>
      <c r="GV34" s="69" t="str">
        <f ca="1">IF(AND($C34="Goal",GV$8&gt;=$G34,GV$8&lt;=$G34+$H34-1),2,IF(AND($C34="Milestone",GV$8&gt;=$G34,GV$8&lt;=$G34+$H34-1),1,""))</f>
        <v/>
      </c>
      <c r="GW34" s="69" t="str">
        <f ca="1">IF(AND($C34="Goal",GW$8&gt;=$G34,GW$8&lt;=$G34+$H34-1),2,IF(AND($C34="Milestone",GW$8&gt;=$G34,GW$8&lt;=$G34+$H34-1),1,""))</f>
        <v/>
      </c>
      <c r="GX34" s="69" t="str">
        <f ca="1">IF(AND($C34="Goal",GX$8&gt;=$G34,GX$8&lt;=$G34+$H34-1),2,IF(AND($C34="Milestone",GX$8&gt;=$G34,GX$8&lt;=$G34+$H34-1),1,""))</f>
        <v/>
      </c>
      <c r="GY34" s="69" t="str">
        <f ca="1">IF(AND($C34="Goal",GY$8&gt;=$G34,GY$8&lt;=$G34+$H34-1),2,IF(AND($C34="Milestone",GY$8&gt;=$G34,GY$8&lt;=$G34+$H34-1),1,""))</f>
        <v/>
      </c>
      <c r="GZ34" s="69" t="str">
        <f ca="1">IF(AND($C34="Goal",GZ$8&gt;=$G34,GZ$8&lt;=$G34+$H34-1),2,IF(AND($C34="Milestone",GZ$8&gt;=$G34,GZ$8&lt;=$G34+$H34-1),1,""))</f>
        <v/>
      </c>
      <c r="HA34" s="69" t="str">
        <f ca="1">IF(AND($C34="Goal",HA$8&gt;=$G34,HA$8&lt;=$G34+$H34-1),2,IF(AND($C34="Milestone",HA$8&gt;=$G34,HA$8&lt;=$G34+$H34-1),1,""))</f>
        <v/>
      </c>
      <c r="HB34" s="69" t="str">
        <f ca="1">IF(AND($C34="Goal",HB$8&gt;=$G34,HB$8&lt;=$G34+$H34-1),2,IF(AND($C34="Milestone",HB$8&gt;=$G34,HB$8&lt;=$G34+$H34-1),1,""))</f>
        <v/>
      </c>
      <c r="HC34" s="69" t="str">
        <f ca="1">IF(AND($C34="Goal",HC$8&gt;=$G34,HC$8&lt;=$G34+$H34-1),2,IF(AND($C34="Milestone",HC$8&gt;=$G34,HC$8&lt;=$G34+$H34-1),1,""))</f>
        <v/>
      </c>
      <c r="HD34" s="69" t="str">
        <f ca="1">IF(AND($C34="Goal",HD$8&gt;=$G34,HD$8&lt;=$G34+$H34-1),2,IF(AND($C34="Milestone",HD$8&gt;=$G34,HD$8&lt;=$G34+$H34-1),1,""))</f>
        <v/>
      </c>
      <c r="HE34" s="69" t="str">
        <f ca="1">IF(AND($C34="Goal",HE$8&gt;=$G34,HE$8&lt;=$G34+$H34-1),2,IF(AND($C34="Milestone",HE$8&gt;=$G34,HE$8&lt;=$G34+$H34-1),1,""))</f>
        <v/>
      </c>
      <c r="HF34" s="69" t="str">
        <f ca="1">IF(AND($C34="Goal",HF$8&gt;=$G34,HF$8&lt;=$G34+$H34-1),2,IF(AND($C34="Milestone",HF$8&gt;=$G34,HF$8&lt;=$G34+$H34-1),1,""))</f>
        <v/>
      </c>
      <c r="HG34" s="69" t="str">
        <f ca="1">IF(AND($C34="Goal",HG$8&gt;=$G34,HG$8&lt;=$G34+$H34-1),2,IF(AND($C34="Milestone",HG$8&gt;=$G34,HG$8&lt;=$G34+$H34-1),1,""))</f>
        <v/>
      </c>
      <c r="HH34" s="69" t="str">
        <f ca="1">IF(AND($C34="Goal",HH$8&gt;=$G34,HH$8&lt;=$G34+$H34-1),2,IF(AND($C34="Milestone",HH$8&gt;=$G34,HH$8&lt;=$G34+$H34-1),1,""))</f>
        <v/>
      </c>
      <c r="HI34" s="69" t="str">
        <f ca="1">IF(AND($C34="Goal",HI$8&gt;=$G34,HI$8&lt;=$G34+$H34-1),2,IF(AND($C34="Milestone",HI$8&gt;=$G34,HI$8&lt;=$G34+$H34-1),1,""))</f>
        <v/>
      </c>
      <c r="HJ34" s="69" t="str">
        <f ca="1">IF(AND($C34="Goal",HJ$8&gt;=$G34,HJ$8&lt;=$G34+$H34-1),2,IF(AND($C34="Milestone",HJ$8&gt;=$G34,HJ$8&lt;=$G34+$H34-1),1,""))</f>
        <v/>
      </c>
      <c r="HK34" s="69" t="str">
        <f ca="1">IF(AND($C34="Goal",HK$8&gt;=$G34,HK$8&lt;=$G34+$H34-1),2,IF(AND($C34="Milestone",HK$8&gt;=$G34,HK$8&lt;=$G34+$H34-1),1,""))</f>
        <v/>
      </c>
      <c r="HL34" s="69" t="str">
        <f ca="1">IF(AND($C34="Goal",HL$8&gt;=$G34,HL$8&lt;=$G34+$H34-1),2,IF(AND($C34="Milestone",HL$8&gt;=$G34,HL$8&lt;=$G34+$H34-1),1,""))</f>
        <v/>
      </c>
      <c r="HM34" s="69" t="str">
        <f ca="1">IF(AND($C34="Goal",HM$8&gt;=$G34,HM$8&lt;=$G34+$H34-1),2,IF(AND($C34="Milestone",HM$8&gt;=$G34,HM$8&lt;=$G34+$H34-1),1,""))</f>
        <v/>
      </c>
      <c r="HN34" s="69" t="str">
        <f ca="1">IF(AND($C34="Goal",HN$8&gt;=$G34,HN$8&lt;=$G34+$H34-1),2,IF(AND($C34="Milestone",HN$8&gt;=$G34,HN$8&lt;=$G34+$H34-1),1,""))</f>
        <v/>
      </c>
      <c r="HO34" s="69" t="str">
        <f ca="1">IF(AND($C34="Goal",HO$8&gt;=$G34,HO$8&lt;=$G34+$H34-1),2,IF(AND($C34="Milestone",HO$8&gt;=$G34,HO$8&lt;=$G34+$H34-1),1,""))</f>
        <v/>
      </c>
      <c r="HP34" s="69" t="str">
        <f ca="1">IF(AND($C34="Goal",HP$8&gt;=$G34,HP$8&lt;=$G34+$H34-1),2,IF(AND($C34="Milestone",HP$8&gt;=$G34,HP$8&lt;=$G34+$H34-1),1,""))</f>
        <v/>
      </c>
      <c r="HQ34" s="69" t="str">
        <f ca="1">IF(AND($C34="Goal",HQ$8&gt;=$G34,HQ$8&lt;=$G34+$H34-1),2,IF(AND($C34="Milestone",HQ$8&gt;=$G34,HQ$8&lt;=$G34+$H34-1),1,""))</f>
        <v/>
      </c>
      <c r="HR34" s="69" t="str">
        <f ca="1">IF(AND($C34="Goal",HR$8&gt;=$G34,HR$8&lt;=$G34+$H34-1),2,IF(AND($C34="Milestone",HR$8&gt;=$G34,HR$8&lt;=$G34+$H34-1),1,""))</f>
        <v/>
      </c>
      <c r="HS34" s="69" t="str">
        <f ca="1">IF(AND($C34="Goal",HS$8&gt;=$G34,HS$8&lt;=$G34+$H34-1),2,IF(AND($C34="Milestone",HS$8&gt;=$G34,HS$8&lt;=$G34+$H34-1),1,""))</f>
        <v/>
      </c>
      <c r="HT34" s="69" t="str">
        <f ca="1">IF(AND($C34="Goal",HT$8&gt;=$G34,HT$8&lt;=$G34+$H34-1),2,IF(AND($C34="Milestone",HT$8&gt;=$G34,HT$8&lt;=$G34+$H34-1),1,""))</f>
        <v/>
      </c>
      <c r="HU34" s="69" t="str">
        <f ca="1">IF(AND($C34="Goal",HU$8&gt;=$G34,HU$8&lt;=$G34+$H34-1),2,IF(AND($C34="Milestone",HU$8&gt;=$G34,HU$8&lt;=$G34+$H34-1),1,""))</f>
        <v/>
      </c>
      <c r="HV34" s="69" t="str">
        <f ca="1">IF(AND($C34="Goal",HV$8&gt;=$G34,HV$8&lt;=$G34+$H34-1),2,IF(AND($C34="Milestone",HV$8&gt;=$G34,HV$8&lt;=$G34+$H34-1),1,""))</f>
        <v/>
      </c>
      <c r="HW34" s="69" t="str">
        <f ca="1">IF(AND($C34="Goal",HW$8&gt;=$G34,HW$8&lt;=$G34+$H34-1),2,IF(AND($C34="Milestone",HW$8&gt;=$G34,HW$8&lt;=$G34+$H34-1),1,""))</f>
        <v/>
      </c>
      <c r="HX34" s="69" t="str">
        <f ca="1">IF(AND($C34="Goal",HX$8&gt;=$G34,HX$8&lt;=$G34+$H34-1),2,IF(AND($C34="Milestone",HX$8&gt;=$G34,HX$8&lt;=$G34+$H34-1),1,""))</f>
        <v/>
      </c>
      <c r="HY34" s="69" t="str">
        <f ca="1">IF(AND($C34="Goal",HY$8&gt;=$G34,HY$8&lt;=$G34+$H34-1),2,IF(AND($C34="Milestone",HY$8&gt;=$G34,HY$8&lt;=$G34+$H34-1),1,""))</f>
        <v/>
      </c>
      <c r="HZ34" s="69" t="str">
        <f ca="1">IF(AND($C34="Goal",HZ$8&gt;=$G34,HZ$8&lt;=$G34+$H34-1),2,IF(AND($C34="Milestone",HZ$8&gt;=$G34,HZ$8&lt;=$G34+$H34-1),1,""))</f>
        <v/>
      </c>
      <c r="IA34" s="69" t="str">
        <f ca="1">IF(AND($C34="Goal",IA$8&gt;=$G34,IA$8&lt;=$G34+$H34-1),2,IF(AND($C34="Milestone",IA$8&gt;=$G34,IA$8&lt;=$G34+$H34-1),1,""))</f>
        <v/>
      </c>
      <c r="IB34" s="69" t="str">
        <f ca="1">IF(AND($C34="Goal",IB$8&gt;=$G34,IB$8&lt;=$G34+$H34-1),2,IF(AND($C34="Milestone",IB$8&gt;=$G34,IB$8&lt;=$G34+$H34-1),1,""))</f>
        <v/>
      </c>
      <c r="IC34" s="69" t="str">
        <f ca="1">IF(AND($C34="Goal",IC$8&gt;=$G34,IC$8&lt;=$G34+$H34-1),2,IF(AND($C34="Milestone",IC$8&gt;=$G34,IC$8&lt;=$G34+$H34-1),1,""))</f>
        <v/>
      </c>
      <c r="ID34" s="69" t="str">
        <f ca="1">IF(AND($C34="Goal",ID$8&gt;=$G34,ID$8&lt;=$G34+$H34-1),2,IF(AND($C34="Milestone",ID$8&gt;=$G34,ID$8&lt;=$G34+$H34-1),1,""))</f>
        <v/>
      </c>
      <c r="IE34" s="69" t="str">
        <f ca="1">IF(AND($C34="Goal",IE$8&gt;=$G34,IE$8&lt;=$G34+$H34-1),2,IF(AND($C34="Milestone",IE$8&gt;=$G34,IE$8&lt;=$G34+$H34-1),1,""))</f>
        <v/>
      </c>
      <c r="IF34" s="69" t="str">
        <f ca="1">IF(AND($C34="Goal",IF$8&gt;=$G34,IF$8&lt;=$G34+$H34-1),2,IF(AND($C34="Milestone",IF$8&gt;=$G34,IF$8&lt;=$G34+$H34-1),1,""))</f>
        <v/>
      </c>
      <c r="IG34" s="69" t="str">
        <f ca="1">IF(AND($C34="Goal",IG$8&gt;=$G34,IG$8&lt;=$G34+$H34-1),2,IF(AND($C34="Milestone",IG$8&gt;=$G34,IG$8&lt;=$G34+$H34-1),1,""))</f>
        <v/>
      </c>
      <c r="IH34" s="69" t="str">
        <f ca="1">IF(AND($C34="Goal",IH$8&gt;=$G34,IH$8&lt;=$G34+$H34-1),2,IF(AND($C34="Milestone",IH$8&gt;=$G34,IH$8&lt;=$G34+$H34-1),1,""))</f>
        <v/>
      </c>
      <c r="II34" s="69" t="str">
        <f ca="1">IF(AND($C34="Goal",II$8&gt;=$G34,II$8&lt;=$G34+$H34-1),2,IF(AND($C34="Milestone",II$8&gt;=$G34,II$8&lt;=$G34+$H34-1),1,""))</f>
        <v/>
      </c>
      <c r="IJ34" s="69" t="str">
        <f ca="1">IF(AND($C34="Goal",IJ$8&gt;=$G34,IJ$8&lt;=$G34+$H34-1),2,IF(AND($C34="Milestone",IJ$8&gt;=$G34,IJ$8&lt;=$G34+$H34-1),1,""))</f>
        <v/>
      </c>
      <c r="IK34" s="69" t="str">
        <f ca="1">IF(AND($C34="Goal",IK$8&gt;=$G34,IK$8&lt;=$G34+$H34-1),2,IF(AND($C34="Milestone",IK$8&gt;=$G34,IK$8&lt;=$G34+$H34-1),1,""))</f>
        <v/>
      </c>
      <c r="IL34" s="69" t="str">
        <f ca="1">IF(AND($C34="Goal",IL$8&gt;=$G34,IL$8&lt;=$G34+$H34-1),2,IF(AND($C34="Milestone",IL$8&gt;=$G34,IL$8&lt;=$G34+$H34-1),1,""))</f>
        <v/>
      </c>
      <c r="IM34" s="69" t="str">
        <f ca="1">IF(AND($C34="Goal",IM$8&gt;=$G34,IM$8&lt;=$G34+$H34-1),2,IF(AND($C34="Milestone",IM$8&gt;=$G34,IM$8&lt;=$G34+$H34-1),1,""))</f>
        <v/>
      </c>
      <c r="IN34" s="69" t="str">
        <f ca="1">IF(AND($C34="Goal",IN$8&gt;=$G34,IN$8&lt;=$G34+$H34-1),2,IF(AND($C34="Milestone",IN$8&gt;=$G34,IN$8&lt;=$G34+$H34-1),1,""))</f>
        <v/>
      </c>
      <c r="IO34" s="69" t="str">
        <f ca="1">IF(AND($C34="Goal",IO$8&gt;=$G34,IO$8&lt;=$G34+$H34-1),2,IF(AND($C34="Milestone",IO$8&gt;=$G34,IO$8&lt;=$G34+$H34-1),1,""))</f>
        <v/>
      </c>
      <c r="IP34" s="69" t="str">
        <f ca="1">IF(AND($C34="Goal",IP$8&gt;=$G34,IP$8&lt;=$G34+$H34-1),2,IF(AND($C34="Milestone",IP$8&gt;=$G34,IP$8&lt;=$G34+$H34-1),1,""))</f>
        <v/>
      </c>
      <c r="IQ34" s="69" t="str">
        <f ca="1">IF(AND($C34="Goal",IQ$8&gt;=$G34,IQ$8&lt;=$G34+$H34-1),2,IF(AND($C34="Milestone",IQ$8&gt;=$G34,IQ$8&lt;=$G34+$H34-1),1,""))</f>
        <v/>
      </c>
      <c r="IR34" s="69" t="str">
        <f ca="1">IF(AND($C34="Goal",IR$8&gt;=$G34,IR$8&lt;=$G34+$H34-1),2,IF(AND($C34="Milestone",IR$8&gt;=$G34,IR$8&lt;=$G34+$H34-1),1,""))</f>
        <v/>
      </c>
      <c r="IS34" s="69" t="str">
        <f ca="1">IF(AND($C34="Goal",IS$8&gt;=$G34,IS$8&lt;=$G34+$H34-1),2,IF(AND($C34="Milestone",IS$8&gt;=$G34,IS$8&lt;=$G34+$H34-1),1,""))</f>
        <v/>
      </c>
      <c r="IT34" s="69" t="str">
        <f ca="1">IF(AND($C34="Goal",IT$8&gt;=$G34,IT$8&lt;=$G34+$H34-1),2,IF(AND($C34="Milestone",IT$8&gt;=$G34,IT$8&lt;=$G34+$H34-1),1,""))</f>
        <v/>
      </c>
      <c r="IU34" s="69" t="str">
        <f ca="1">IF(AND($C34="Goal",IU$8&gt;=$G34,IU$8&lt;=$G34+$H34-1),2,IF(AND($C34="Milestone",IU$8&gt;=$G34,IU$8&lt;=$G34+$H34-1),1,""))</f>
        <v/>
      </c>
      <c r="IV34" s="69" t="str">
        <f ca="1">IF(AND($C34="Goal",IV$8&gt;=$G34,IV$8&lt;=$G34+$H34-1),2,IF(AND($C34="Milestone",IV$8&gt;=$G34,IV$8&lt;=$G34+$H34-1),1,""))</f>
        <v/>
      </c>
      <c r="IW34" s="69" t="str">
        <f ca="1">IF(AND($C34="Goal",IW$8&gt;=$G34,IW$8&lt;=$G34+$H34-1),2,IF(AND($C34="Milestone",IW$8&gt;=$G34,IW$8&lt;=$G34+$H34-1),1,""))</f>
        <v/>
      </c>
      <c r="IX34" s="69" t="str">
        <f ca="1">IF(AND($C34="Goal",IX$8&gt;=$G34,IX$8&lt;=$G34+$H34-1),2,IF(AND($C34="Milestone",IX$8&gt;=$G34,IX$8&lt;=$G34+$H34-1),1,""))</f>
        <v/>
      </c>
      <c r="IY34" s="69" t="str">
        <f ca="1">IF(AND($C34="Goal",IY$8&gt;=$G34,IY$8&lt;=$G34+$H34-1),2,IF(AND($C34="Milestone",IY$8&gt;=$G34,IY$8&lt;=$G34+$H34-1),1,""))</f>
        <v/>
      </c>
      <c r="IZ34" s="69" t="str">
        <f ca="1">IF(AND($C34="Goal",IZ$8&gt;=$G34,IZ$8&lt;=$G34+$H34-1),2,IF(AND($C34="Milestone",IZ$8&gt;=$G34,IZ$8&lt;=$G34+$H34-1),1,""))</f>
        <v/>
      </c>
      <c r="JA34" s="69" t="str">
        <f ca="1">IF(AND($C34="Goal",JA$8&gt;=$G34,JA$8&lt;=$G34+$H34-1),2,IF(AND($C34="Milestone",JA$8&gt;=$G34,JA$8&lt;=$G34+$H34-1),1,""))</f>
        <v/>
      </c>
      <c r="JB34" s="69" t="str">
        <f ca="1">IF(AND($C34="Goal",JB$8&gt;=$G34,JB$8&lt;=$G34+$H34-1),2,IF(AND($C34="Milestone",JB$8&gt;=$G34,JB$8&lt;=$G34+$H34-1),1,""))</f>
        <v/>
      </c>
      <c r="JC34" s="69" t="str">
        <f ca="1">IF(AND($C34="Goal",JC$8&gt;=$G34,JC$8&lt;=$G34+$H34-1),2,IF(AND($C34="Milestone",JC$8&gt;=$G34,JC$8&lt;=$G34+$H34-1),1,""))</f>
        <v/>
      </c>
      <c r="JD34" s="69" t="str">
        <f ca="1">IF(AND($C34="Goal",JD$8&gt;=$G34,JD$8&lt;=$G34+$H34-1),2,IF(AND($C34="Milestone",JD$8&gt;=$G34,JD$8&lt;=$G34+$H34-1),1,""))</f>
        <v/>
      </c>
      <c r="JE34" s="69" t="str">
        <f ca="1">IF(AND($C34="Goal",JE$8&gt;=$G34,JE$8&lt;=$G34+$H34-1),2,IF(AND($C34="Milestone",JE$8&gt;=$G34,JE$8&lt;=$G34+$H34-1),1,""))</f>
        <v/>
      </c>
      <c r="JF34" s="69" t="str">
        <f ca="1">IF(AND($C34="Goal",JF$8&gt;=$G34,JF$8&lt;=$G34+$H34-1),2,IF(AND($C34="Milestone",JF$8&gt;=$G34,JF$8&lt;=$G34+$H34-1),1,""))</f>
        <v/>
      </c>
      <c r="JG34" s="69" t="str">
        <f ca="1">IF(AND($C34="Goal",JG$8&gt;=$G34,JG$8&lt;=$G34+$H34-1),2,IF(AND($C34="Milestone",JG$8&gt;=$G34,JG$8&lt;=$G34+$H34-1),1,""))</f>
        <v/>
      </c>
      <c r="JH34" s="69" t="str">
        <f ca="1">IF(AND($C34="Goal",JH$8&gt;=$G34,JH$8&lt;=$G34+$H34-1),2,IF(AND($C34="Milestone",JH$8&gt;=$G34,JH$8&lt;=$G34+$H34-1),1,""))</f>
        <v/>
      </c>
      <c r="JI34" s="69" t="str">
        <f ca="1">IF(AND($C34="Goal",JI$8&gt;=$G34,JI$8&lt;=$G34+$H34-1),2,IF(AND($C34="Milestone",JI$8&gt;=$G34,JI$8&lt;=$G34+$H34-1),1,""))</f>
        <v/>
      </c>
      <c r="JJ34" s="69" t="str">
        <f ca="1">IF(AND($C34="Goal",JJ$8&gt;=$G34,JJ$8&lt;=$G34+$H34-1),2,IF(AND($C34="Milestone",JJ$8&gt;=$G34,JJ$8&lt;=$G34+$H34-1),1,""))</f>
        <v/>
      </c>
      <c r="JK34" s="69" t="str">
        <f ca="1">IF(AND($C34="Goal",JK$8&gt;=$G34,JK$8&lt;=$G34+$H34-1),2,IF(AND($C34="Milestone",JK$8&gt;=$G34,JK$8&lt;=$G34+$H34-1),1,""))</f>
        <v/>
      </c>
      <c r="JL34" s="69" t="str">
        <f ca="1">IF(AND($C34="Goal",JL$8&gt;=$G34,JL$8&lt;=$G34+$H34-1),2,IF(AND($C34="Milestone",JL$8&gt;=$G34,JL$8&lt;=$G34+$H34-1),1,""))</f>
        <v/>
      </c>
      <c r="JM34" s="69" t="str">
        <f ca="1">IF(AND($C34="Goal",JM$8&gt;=$G34,JM$8&lt;=$G34+$H34-1),2,IF(AND($C34="Milestone",JM$8&gt;=$G34,JM$8&lt;=$G34+$H34-1),1,""))</f>
        <v/>
      </c>
      <c r="JN34" s="69" t="str">
        <f ca="1">IF(AND($C34="Goal",JN$8&gt;=$G34,JN$8&lt;=$G34+$H34-1),2,IF(AND($C34="Milestone",JN$8&gt;=$G34,JN$8&lt;=$G34+$H34-1),1,""))</f>
        <v/>
      </c>
      <c r="JO34" s="69" t="str">
        <f ca="1">IF(AND($C34="Goal",JO$8&gt;=$G34,JO$8&lt;=$G34+$H34-1),2,IF(AND($C34="Milestone",JO$8&gt;=$G34,JO$8&lt;=$G34+$H34-1),1,""))</f>
        <v/>
      </c>
      <c r="JP34" s="69" t="str">
        <f ca="1">IF(AND($C34="Goal",JP$8&gt;=$G34,JP$8&lt;=$G34+$H34-1),2,IF(AND($C34="Milestone",JP$8&gt;=$G34,JP$8&lt;=$G34+$H34-1),1,""))</f>
        <v/>
      </c>
      <c r="JQ34" s="69" t="str">
        <f ca="1">IF(AND($C34="Goal",JQ$8&gt;=$G34,JQ$8&lt;=$G34+$H34-1),2,IF(AND($C34="Milestone",JQ$8&gt;=$G34,JQ$8&lt;=$G34+$H34-1),1,""))</f>
        <v/>
      </c>
      <c r="JR34" s="69" t="str">
        <f ca="1">IF(AND($C34="Goal",JR$8&gt;=$G34,JR$8&lt;=$G34+$H34-1),2,IF(AND($C34="Milestone",JR$8&gt;=$G34,JR$8&lt;=$G34+$H34-1),1,""))</f>
        <v/>
      </c>
      <c r="JS34" s="69" t="str">
        <f ca="1">IF(AND($C34="Goal",JS$8&gt;=$G34,JS$8&lt;=$G34+$H34-1),2,IF(AND($C34="Milestone",JS$8&gt;=$G34,JS$8&lt;=$G34+$H34-1),1,""))</f>
        <v/>
      </c>
      <c r="JT34" s="69" t="str">
        <f ca="1">IF(AND($C34="Goal",JT$8&gt;=$G34,JT$8&lt;=$G34+$H34-1),2,IF(AND($C34="Milestone",JT$8&gt;=$G34,JT$8&lt;=$G34+$H34-1),1,""))</f>
        <v/>
      </c>
      <c r="JU34" s="69" t="str">
        <f ca="1">IF(AND($C34="Goal",JU$8&gt;=$G34,JU$8&lt;=$G34+$H34-1),2,IF(AND($C34="Milestone",JU$8&gt;=$G34,JU$8&lt;=$G34+$H34-1),1,""))</f>
        <v/>
      </c>
      <c r="JV34" s="69" t="str">
        <f ca="1">IF(AND($C34="Goal",JV$8&gt;=$G34,JV$8&lt;=$G34+$H34-1),2,IF(AND($C34="Milestone",JV$8&gt;=$G34,JV$8&lt;=$G34+$H34-1),1,""))</f>
        <v/>
      </c>
      <c r="JW34" s="69" t="str">
        <f ca="1">IF(AND($C34="Goal",JW$8&gt;=$G34,JW$8&lt;=$G34+$H34-1),2,IF(AND($C34="Milestone",JW$8&gt;=$G34,JW$8&lt;=$G34+$H34-1),1,""))</f>
        <v/>
      </c>
      <c r="JX34" s="69" t="str">
        <f ca="1">IF(AND($C34="Goal",JX$8&gt;=$G34,JX$8&lt;=$G34+$H34-1),2,IF(AND($C34="Milestone",JX$8&gt;=$G34,JX$8&lt;=$G34+$H34-1),1,""))</f>
        <v/>
      </c>
      <c r="JY34" s="69" t="str">
        <f ca="1">IF(AND($C34="Goal",JY$8&gt;=$G34,JY$8&lt;=$G34+$H34-1),2,IF(AND($C34="Milestone",JY$8&gt;=$G34,JY$8&lt;=$G34+$H34-1),1,""))</f>
        <v/>
      </c>
      <c r="JZ34" s="69" t="str">
        <f ca="1">IF(AND($C34="Goal",JZ$8&gt;=$G34,JZ$8&lt;=$G34+$H34-1),2,IF(AND($C34="Milestone",JZ$8&gt;=$G34,JZ$8&lt;=$G34+$H34-1),1,""))</f>
        <v/>
      </c>
      <c r="KA34" s="69" t="str">
        <f ca="1">IF(AND($C34="Goal",KA$8&gt;=$G34,KA$8&lt;=$G34+$H34-1),2,IF(AND($C34="Milestone",KA$8&gt;=$G34,KA$8&lt;=$G34+$H34-1),1,""))</f>
        <v/>
      </c>
      <c r="KB34" s="69" t="str">
        <f ca="1">IF(AND($C34="Goal",KB$8&gt;=$G34,KB$8&lt;=$G34+$H34-1),2,IF(AND($C34="Milestone",KB$8&gt;=$G34,KB$8&lt;=$G34+$H34-1),1,""))</f>
        <v/>
      </c>
      <c r="KC34" s="69" t="str">
        <f ca="1">IF(AND($C34="Goal",KC$8&gt;=$G34,KC$8&lt;=$G34+$H34-1),2,IF(AND($C34="Milestone",KC$8&gt;=$G34,KC$8&lt;=$G34+$H34-1),1,""))</f>
        <v/>
      </c>
      <c r="KD34" s="69" t="str">
        <f ca="1">IF(AND($C34="Goal",KD$8&gt;=$G34,KD$8&lt;=$G34+$H34-1),2,IF(AND($C34="Milestone",KD$8&gt;=$G34,KD$8&lt;=$G34+$H34-1),1,""))</f>
        <v/>
      </c>
      <c r="KE34" s="69" t="str">
        <f ca="1">IF(AND($C34="Goal",KE$8&gt;=$G34,KE$8&lt;=$G34+$H34-1),2,IF(AND($C34="Milestone",KE$8&gt;=$G34,KE$8&lt;=$G34+$H34-1),1,""))</f>
        <v/>
      </c>
      <c r="KF34" s="69" t="str">
        <f ca="1">IF(AND($C34="Goal",KF$8&gt;=$G34,KF$8&lt;=$G34+$H34-1),2,IF(AND($C34="Milestone",KF$8&gt;=$G34,KF$8&lt;=$G34+$H34-1),1,""))</f>
        <v/>
      </c>
      <c r="KG34" s="69" t="str">
        <f ca="1">IF(AND($C34="Goal",KG$8&gt;=$G34,KG$8&lt;=$G34+$H34-1),2,IF(AND($C34="Milestone",KG$8&gt;=$G34,KG$8&lt;=$G34+$H34-1),1,""))</f>
        <v/>
      </c>
      <c r="KH34" s="69" t="str">
        <f ca="1">IF(AND($C34="Goal",KH$8&gt;=$G34,KH$8&lt;=$G34+$H34-1),2,IF(AND($C34="Milestone",KH$8&gt;=$G34,KH$8&lt;=$G34+$H34-1),1,""))</f>
        <v/>
      </c>
      <c r="KI34" s="69" t="str">
        <f ca="1">IF(AND($C34="Goal",KI$8&gt;=$G34,KI$8&lt;=$G34+$H34-1),2,IF(AND($C34="Milestone",KI$8&gt;=$G34,KI$8&lt;=$G34+$H34-1),1,""))</f>
        <v/>
      </c>
      <c r="KJ34" s="69" t="str">
        <f ca="1">IF(AND($C34="Goal",KJ$8&gt;=$G34,KJ$8&lt;=$G34+$H34-1),2,IF(AND($C34="Milestone",KJ$8&gt;=$G34,KJ$8&lt;=$G34+$H34-1),1,""))</f>
        <v/>
      </c>
      <c r="KK34" s="69" t="str">
        <f ca="1">IF(AND($C34="Goal",KK$8&gt;=$G34,KK$8&lt;=$G34+$H34-1),2,IF(AND($C34="Milestone",KK$8&gt;=$G34,KK$8&lt;=$G34+$H34-1),1,""))</f>
        <v/>
      </c>
      <c r="KL34" s="69" t="str">
        <f ca="1">IF(AND($C34="Goal",KL$8&gt;=$G34,KL$8&lt;=$G34+$H34-1),2,IF(AND($C34="Milestone",KL$8&gt;=$G34,KL$8&lt;=$G34+$H34-1),1,""))</f>
        <v/>
      </c>
      <c r="KM34" s="69" t="str">
        <f ca="1">IF(AND($C34="Goal",KM$8&gt;=$G34,KM$8&lt;=$G34+$H34-1),2,IF(AND($C34="Milestone",KM$8&gt;=$G34,KM$8&lt;=$G34+$H34-1),1,""))</f>
        <v/>
      </c>
      <c r="KN34" s="69" t="str">
        <f ca="1">IF(AND($C34="Goal",KN$8&gt;=$G34,KN$8&lt;=$G34+$H34-1),2,IF(AND($C34="Milestone",KN$8&gt;=$G34,KN$8&lt;=$G34+$H34-1),1,""))</f>
        <v/>
      </c>
      <c r="KO34" s="69" t="str">
        <f ca="1">IF(AND($C34="Goal",KO$8&gt;=$G34,KO$8&lt;=$G34+$H34-1),2,IF(AND($C34="Milestone",KO$8&gt;=$G34,KO$8&lt;=$G34+$H34-1),1,""))</f>
        <v/>
      </c>
      <c r="KP34" s="69" t="str">
        <f ca="1">IF(AND($C34="Goal",KP$8&gt;=$G34,KP$8&lt;=$G34+$H34-1),2,IF(AND($C34="Milestone",KP$8&gt;=$G34,KP$8&lt;=$G34+$H34-1),1,""))</f>
        <v/>
      </c>
      <c r="KQ34" s="69" t="str">
        <f ca="1">IF(AND($C34="Goal",KQ$8&gt;=$G34,KQ$8&lt;=$G34+$H34-1),2,IF(AND($C34="Milestone",KQ$8&gt;=$G34,KQ$8&lt;=$G34+$H34-1),1,""))</f>
        <v/>
      </c>
      <c r="KR34" s="69" t="str">
        <f ca="1">IF(AND($C34="Goal",KR$8&gt;=$G34,KR$8&lt;=$G34+$H34-1),2,IF(AND($C34="Milestone",KR$8&gt;=$G34,KR$8&lt;=$G34+$H34-1),1,""))</f>
        <v/>
      </c>
      <c r="KS34" s="69" t="str">
        <f ca="1">IF(AND($C34="Goal",KS$8&gt;=$G34,KS$8&lt;=$G34+$H34-1),2,IF(AND($C34="Milestone",KS$8&gt;=$G34,KS$8&lt;=$G34+$H34-1),1,""))</f>
        <v/>
      </c>
      <c r="KT34" s="69" t="str">
        <f ca="1">IF(AND($C34="Goal",KT$8&gt;=$G34,KT$8&lt;=$G34+$H34-1),2,IF(AND($C34="Milestone",KT$8&gt;=$G34,KT$8&lt;=$G34+$H34-1),1,""))</f>
        <v/>
      </c>
      <c r="KU34" s="69" t="str">
        <f ca="1">IF(AND($C34="Goal",KU$8&gt;=$G34,KU$8&lt;=$G34+$H34-1),2,IF(AND($C34="Milestone",KU$8&gt;=$G34,KU$8&lt;=$G34+$H34-1),1,""))</f>
        <v/>
      </c>
      <c r="KV34" s="69" t="str">
        <f ca="1">IF(AND($C34="Goal",KV$8&gt;=$G34,KV$8&lt;=$G34+$H34-1),2,IF(AND($C34="Milestone",KV$8&gt;=$G34,KV$8&lt;=$G34+$H34-1),1,""))</f>
        <v/>
      </c>
      <c r="KW34" s="69" t="str">
        <f ca="1">IF(AND($C34="Goal",KW$8&gt;=$G34,KW$8&lt;=$G34+$H34-1),2,IF(AND($C34="Milestone",KW$8&gt;=$G34,KW$8&lt;=$G34+$H34-1),1,""))</f>
        <v/>
      </c>
      <c r="KX34" s="69" t="str">
        <f ca="1">IF(AND($C34="Goal",KX$8&gt;=$G34,KX$8&lt;=$G34+$H34-1),2,IF(AND($C34="Milestone",KX$8&gt;=$G34,KX$8&lt;=$G34+$H34-1),1,""))</f>
        <v/>
      </c>
      <c r="KY34" s="69" t="str">
        <f ca="1">IF(AND($C34="Goal",KY$8&gt;=$G34,KY$8&lt;=$G34+$H34-1),2,IF(AND($C34="Milestone",KY$8&gt;=$G34,KY$8&lt;=$G34+$H34-1),1,""))</f>
        <v/>
      </c>
      <c r="KZ34" s="69" t="str">
        <f ca="1">IF(AND($C34="Goal",KZ$8&gt;=$G34,KZ$8&lt;=$G34+$H34-1),2,IF(AND($C34="Milestone",KZ$8&gt;=$G34,KZ$8&lt;=$G34+$H34-1),1,""))</f>
        <v/>
      </c>
      <c r="LA34" s="69" t="str">
        <f ca="1">IF(AND($C34="Goal",LA$8&gt;=$G34,LA$8&lt;=$G34+$H34-1),2,IF(AND($C34="Milestone",LA$8&gt;=$G34,LA$8&lt;=$G34+$H34-1),1,""))</f>
        <v/>
      </c>
      <c r="LB34" s="69" t="str">
        <f ca="1">IF(AND($C34="Goal",LB$8&gt;=$G34,LB$8&lt;=$G34+$H34-1),2,IF(AND($C34="Milestone",LB$8&gt;=$G34,LB$8&lt;=$G34+$H34-1),1,""))</f>
        <v/>
      </c>
      <c r="LC34" s="69" t="str">
        <f ca="1">IF(AND($C34="Goal",LC$8&gt;=$G34,LC$8&lt;=$G34+$H34-1),2,IF(AND($C34="Milestone",LC$8&gt;=$G34,LC$8&lt;=$G34+$H34-1),1,""))</f>
        <v/>
      </c>
      <c r="LD34" s="69" t="str">
        <f ca="1">IF(AND($C34="Goal",LD$8&gt;=$G34,LD$8&lt;=$G34+$H34-1),2,IF(AND($C34="Milestone",LD$8&gt;=$G34,LD$8&lt;=$G34+$H34-1),1,""))</f>
        <v/>
      </c>
      <c r="LE34" s="69" t="str">
        <f ca="1">IF(AND($C34="Goal",LE$8&gt;=$G34,LE$8&lt;=$G34+$H34-1),2,IF(AND($C34="Milestone",LE$8&gt;=$G34,LE$8&lt;=$G34+$H34-1),1,""))</f>
        <v/>
      </c>
      <c r="LF34" s="69" t="str">
        <f ca="1">IF(AND($C34="Goal",LF$8&gt;=$G34,LF$8&lt;=$G34+$H34-1),2,IF(AND($C34="Milestone",LF$8&gt;=$G34,LF$8&lt;=$G34+$H34-1),1,""))</f>
        <v/>
      </c>
      <c r="LG34" s="69" t="str">
        <f ca="1">IF(AND($C34="Goal",LG$8&gt;=$G34,LG$8&lt;=$G34+$H34-1),2,IF(AND($C34="Milestone",LG$8&gt;=$G34,LG$8&lt;=$G34+$H34-1),1,""))</f>
        <v/>
      </c>
      <c r="LH34" s="69" t="str">
        <f ca="1">IF(AND($C34="Goal",LH$8&gt;=$G34,LH$8&lt;=$G34+$H34-1),2,IF(AND($C34="Milestone",LH$8&gt;=$G34,LH$8&lt;=$G34+$H34-1),1,""))</f>
        <v/>
      </c>
      <c r="LI34" s="69" t="str">
        <f ca="1">IF(AND($C34="Goal",LI$8&gt;=$G34,LI$8&lt;=$G34+$H34-1),2,IF(AND($C34="Milestone",LI$8&gt;=$G34,LI$8&lt;=$G34+$H34-1),1,""))</f>
        <v/>
      </c>
      <c r="LJ34" s="69" t="str">
        <f ca="1">IF(AND($C34="Goal",LJ$8&gt;=$G34,LJ$8&lt;=$G34+$H34-1),2,IF(AND($C34="Milestone",LJ$8&gt;=$G34,LJ$8&lt;=$G34+$H34-1),1,""))</f>
        <v/>
      </c>
      <c r="LK34" s="69" t="str">
        <f ca="1">IF(AND($C34="Goal",LK$8&gt;=$G34,LK$8&lt;=$G34+$H34-1),2,IF(AND($C34="Milestone",LK$8&gt;=$G34,LK$8&lt;=$G34+$H34-1),1,""))</f>
        <v/>
      </c>
      <c r="LL34" s="69" t="str">
        <f ca="1">IF(AND($C34="Goal",LL$8&gt;=$G34,LL$8&lt;=$G34+$H34-1),2,IF(AND($C34="Milestone",LL$8&gt;=$G34,LL$8&lt;=$G34+$H34-1),1,""))</f>
        <v/>
      </c>
      <c r="LM34" s="69" t="str">
        <f ca="1">IF(AND($C34="Goal",LM$8&gt;=$G34,LM$8&lt;=$G34+$H34-1),2,IF(AND($C34="Milestone",LM$8&gt;=$G34,LM$8&lt;=$G34+$H34-1),1,""))</f>
        <v/>
      </c>
      <c r="LN34" s="69" t="str">
        <f ca="1">IF(AND($C34="Goal",LN$8&gt;=$G34,LN$8&lt;=$G34+$H34-1),2,IF(AND($C34="Milestone",LN$8&gt;=$G34,LN$8&lt;=$G34+$H34-1),1,""))</f>
        <v/>
      </c>
      <c r="LO34" s="69" t="str">
        <f ca="1">IF(AND($C34="Goal",LO$8&gt;=$G34,LO$8&lt;=$G34+$H34-1),2,IF(AND($C34="Milestone",LO$8&gt;=$G34,LO$8&lt;=$G34+$H34-1),1,""))</f>
        <v/>
      </c>
      <c r="LP34" s="69" t="str">
        <f ca="1">IF(AND($C34="Goal",LP$8&gt;=$G34,LP$8&lt;=$G34+$H34-1),2,IF(AND($C34="Milestone",LP$8&gt;=$G34,LP$8&lt;=$G34+$H34-1),1,""))</f>
        <v/>
      </c>
      <c r="LQ34" s="69" t="str">
        <f ca="1">IF(AND($C34="Goal",LQ$8&gt;=$G34,LQ$8&lt;=$G34+$H34-1),2,IF(AND($C34="Milestone",LQ$8&gt;=$G34,LQ$8&lt;=$G34+$H34-1),1,""))</f>
        <v/>
      </c>
      <c r="LR34" s="69" t="str">
        <f ca="1">IF(AND($C34="Goal",LR$8&gt;=$G34,LR$8&lt;=$G34+$H34-1),2,IF(AND($C34="Milestone",LR$8&gt;=$G34,LR$8&lt;=$G34+$H34-1),1,""))</f>
        <v/>
      </c>
      <c r="LS34" s="69" t="str">
        <f ca="1">IF(AND($C34="Goal",LS$8&gt;=$G34,LS$8&lt;=$G34+$H34-1),2,IF(AND($C34="Milestone",LS$8&gt;=$G34,LS$8&lt;=$G34+$H34-1),1,""))</f>
        <v/>
      </c>
      <c r="LT34" s="69" t="str">
        <f ca="1">IF(AND($C34="Goal",LT$8&gt;=$G34,LT$8&lt;=$G34+$H34-1),2,IF(AND($C34="Milestone",LT$8&gt;=$G34,LT$8&lt;=$G34+$H34-1),1,""))</f>
        <v/>
      </c>
      <c r="LU34" s="69" t="str">
        <f ca="1">IF(AND($C34="Goal",LU$8&gt;=$G34,LU$8&lt;=$G34+$H34-1),2,IF(AND($C34="Milestone",LU$8&gt;=$G34,LU$8&lt;=$G34+$H34-1),1,""))</f>
        <v/>
      </c>
      <c r="LV34" s="69" t="str">
        <f ca="1">IF(AND($C34="Goal",LV$8&gt;=$G34,LV$8&lt;=$G34+$H34-1),2,IF(AND($C34="Milestone",LV$8&gt;=$G34,LV$8&lt;=$G34+$H34-1),1,""))</f>
        <v/>
      </c>
      <c r="LW34" s="69" t="str">
        <f ca="1">IF(AND($C34="Goal",LW$8&gt;=$G34,LW$8&lt;=$G34+$H34-1),2,IF(AND($C34="Milestone",LW$8&gt;=$G34,LW$8&lt;=$G34+$H34-1),1,""))</f>
        <v/>
      </c>
      <c r="LX34" s="69" t="str">
        <f ca="1">IF(AND($C34="Goal",LX$8&gt;=$G34,LX$8&lt;=$G34+$H34-1),2,IF(AND($C34="Milestone",LX$8&gt;=$G34,LX$8&lt;=$G34+$H34-1),1,""))</f>
        <v/>
      </c>
    </row>
    <row r="35" spans="1:336" s="1" customFormat="1" ht="25.25" customHeight="1" x14ac:dyDescent="0.25">
      <c r="A35" s="6"/>
      <c r="B35" s="47" t="s">
        <v>37</v>
      </c>
      <c r="C35" s="58"/>
      <c r="D35" s="58" t="str">
        <f ca="1">IF(G35="","",
IF(G35+Milestones4352[[#This Row],[Days]]="","",
IF(OR(F35=1,F35=100%),"Complete",
CHOOSE(
  1
  + --(((1-IF(F35&gt;1,F35/100,F35))*POWER(2.718281828,(60-MAX(0,G35+Milestones4352[[#This Row],[Days]]-TODAY()))/12))&gt;=0.6)
  + --(((1-IF(F35&gt;1,F35/100,F35))*POWER(2.718281828,(60-MAX(0,G35+Milestones4352[[#This Row],[Days]]-TODAY()))/12))&gt;=1.2)
  + --(((1-IF(F35&gt;1,F35/100,F35))*POWER(2.718281828,(60-MAX(0,G35+Milestones4352[[#This Row],[Days]]-TODAY()))/12))&gt;=2),
  "On track","Low risk","Medium risk","High risk"
))))</f>
        <v>On track</v>
      </c>
      <c r="E35" s="58"/>
      <c r="F35" s="56">
        <v>0</v>
      </c>
      <c r="G35" s="71">
        <f>G32+H32</f>
        <v>46092</v>
      </c>
      <c r="H35" s="57">
        <v>2</v>
      </c>
      <c r="I35" s="57">
        <f t="shared" si="207"/>
        <v>3</v>
      </c>
      <c r="J35" s="12">
        <f ca="1">IF(OR(Milestones4352[[#This Row],[Start]]="",Milestones4352[[#This Row],[Days]]=""),"",(Milestones4352[[#This Row],[Start]]+Milestones4352[[#This Row],[Days]])-TODAY())</f>
        <v>145</v>
      </c>
      <c r="K35" s="9"/>
      <c r="L35" s="69" t="str">
        <f ca="1">IF(AND($C35="Goal",L$8&gt;=$G35,L$8&lt;=$G35+$H35-1),2,IF(AND($C35="Milestone",L$8&gt;=$G35,L$8&lt;=$G35+$H35-1),1,""))</f>
        <v/>
      </c>
      <c r="M35" s="69" t="str">
        <f ca="1">IF(AND($C35="Goal",M$8&gt;=$G35,M$8&lt;=$G35+$H35-1),2,IF(AND($C35="Milestone",M$8&gt;=$G35,M$8&lt;=$G35+$H35-1),1,""))</f>
        <v/>
      </c>
      <c r="N35" s="69" t="str">
        <f ca="1">IF(AND($C35="Goal",N$8&gt;=$G35,N$8&lt;=$G35+$H35-1),2,IF(AND($C35="Milestone",N$8&gt;=$G35,N$8&lt;=$G35+$H35-1),1,""))</f>
        <v/>
      </c>
      <c r="O35" s="69" t="str">
        <f ca="1">IF(AND($C35="Goal",O$8&gt;=$G35,O$8&lt;=$G35+$H35-1),2,IF(AND($C35="Milestone",O$8&gt;=$G35,O$8&lt;=$G35+$H35-1),1,""))</f>
        <v/>
      </c>
      <c r="P35" s="69" t="str">
        <f ca="1">IF(AND($C35="Goal",P$8&gt;=$G35,P$8&lt;=$G35+$H35-1),2,IF(AND($C35="Milestone",P$8&gt;=$G35,P$8&lt;=$G35+$H35-1),1,""))</f>
        <v/>
      </c>
      <c r="Q35" s="69" t="str">
        <f ca="1">IF(AND($C35="Goal",Q$8&gt;=$G35,Q$8&lt;=$G35+$H35-1),2,IF(AND($C35="Milestone",Q$8&gt;=$G35,Q$8&lt;=$G35+$H35-1),1,""))</f>
        <v/>
      </c>
      <c r="R35" s="69" t="str">
        <f ca="1">IF(AND($C35="Goal",R$8&gt;=$G35,R$8&lt;=$G35+$H35-1),2,IF(AND($C35="Milestone",R$8&gt;=$G35,R$8&lt;=$G35+$H35-1),1,""))</f>
        <v/>
      </c>
      <c r="S35" s="69" t="str">
        <f ca="1">IF(AND($C35="Goal",S$8&gt;=$G35,S$8&lt;=$G35+$H35-1),2,IF(AND($C35="Milestone",S$8&gt;=$G35,S$8&lt;=$G35+$H35-1),1,""))</f>
        <v/>
      </c>
      <c r="T35" s="69" t="str">
        <f ca="1">IF(AND($C35="Goal",T$8&gt;=$G35,T$8&lt;=$G35+$H35-1),2,IF(AND($C35="Milestone",T$8&gt;=$G35,T$8&lt;=$G35+$H35-1),1,""))</f>
        <v/>
      </c>
      <c r="U35" s="69" t="str">
        <f ca="1">IF(AND($C35="Goal",U$8&gt;=$G35,U$8&lt;=$G35+$H35-1),2,IF(AND($C35="Milestone",U$8&gt;=$G35,U$8&lt;=$G35+$H35-1),1,""))</f>
        <v/>
      </c>
      <c r="V35" s="69" t="str">
        <f ca="1">IF(AND($C35="Goal",V$8&gt;=$G35,V$8&lt;=$G35+$H35-1),2,IF(AND($C35="Milestone",V$8&gt;=$G35,V$8&lt;=$G35+$H35-1),1,""))</f>
        <v/>
      </c>
      <c r="W35" s="69" t="str">
        <f ca="1">IF(AND($C35="Goal",W$8&gt;=$G35,W$8&lt;=$G35+$H35-1),2,IF(AND($C35="Milestone",W$8&gt;=$G35,W$8&lt;=$G35+$H35-1),1,""))</f>
        <v/>
      </c>
      <c r="X35" s="69" t="str">
        <f ca="1">IF(AND($C35="Goal",X$8&gt;=$G35,X$8&lt;=$G35+$H35-1),2,IF(AND($C35="Milestone",X$8&gt;=$G35,X$8&lt;=$G35+$H35-1),1,""))</f>
        <v/>
      </c>
      <c r="Y35" s="69" t="str">
        <f ca="1">IF(AND($C35="Goal",Y$8&gt;=$G35,Y$8&lt;=$G35+$H35-1),2,IF(AND($C35="Milestone",Y$8&gt;=$G35,Y$8&lt;=$G35+$H35-1),1,""))</f>
        <v/>
      </c>
      <c r="Z35" s="69" t="str">
        <f ca="1">IF(AND($C35="Goal",Z$8&gt;=$G35,Z$8&lt;=$G35+$H35-1),2,IF(AND($C35="Milestone",Z$8&gt;=$G35,Z$8&lt;=$G35+$H35-1),1,""))</f>
        <v/>
      </c>
      <c r="AA35" s="69" t="str">
        <f ca="1">IF(AND($C35="Goal",AA$8&gt;=$G35,AA$8&lt;=$G35+$H35-1),2,IF(AND($C35="Milestone",AA$8&gt;=$G35,AA$8&lt;=$G35+$H35-1),1,""))</f>
        <v/>
      </c>
      <c r="AB35" s="69" t="str">
        <f ca="1">IF(AND($C35="Goal",AB$8&gt;=$G35,AB$8&lt;=$G35+$H35-1),2,IF(AND($C35="Milestone",AB$8&gt;=$G35,AB$8&lt;=$G35+$H35-1),1,""))</f>
        <v/>
      </c>
      <c r="AC35" s="69" t="str">
        <f ca="1">IF(AND($C35="Goal",AC$8&gt;=$G35,AC$8&lt;=$G35+$H35-1),2,IF(AND($C35="Milestone",AC$8&gt;=$G35,AC$8&lt;=$G35+$H35-1),1,""))</f>
        <v/>
      </c>
      <c r="AD35" s="69" t="str">
        <f ca="1">IF(AND($C35="Goal",AD$8&gt;=$G35,AD$8&lt;=$G35+$H35-1),2,IF(AND($C35="Milestone",AD$8&gt;=$G35,AD$8&lt;=$G35+$H35-1),1,""))</f>
        <v/>
      </c>
      <c r="AE35" s="69" t="str">
        <f ca="1">IF(AND($C35="Goal",AE$8&gt;=$G35,AE$8&lt;=$G35+$H35-1),2,IF(AND($C35="Milestone",AE$8&gt;=$G35,AE$8&lt;=$G35+$H35-1),1,""))</f>
        <v/>
      </c>
      <c r="AF35" s="69" t="str">
        <f ca="1">IF(AND($C35="Goal",AF$8&gt;=$G35,AF$8&lt;=$G35+$H35-1),2,IF(AND($C35="Milestone",AF$8&gt;=$G35,AF$8&lt;=$G35+$H35-1),1,""))</f>
        <v/>
      </c>
      <c r="AG35" s="69" t="str">
        <f ca="1">IF(AND($C35="Goal",AG$8&gt;=$G35,AG$8&lt;=$G35+$H35-1),2,IF(AND($C35="Milestone",AG$8&gt;=$G35,AG$8&lt;=$G35+$H35-1),1,""))</f>
        <v/>
      </c>
      <c r="AH35" s="69" t="str">
        <f ca="1">IF(AND($C35="Goal",AH$8&gt;=$G35,AH$8&lt;=$G35+$H35-1),2,IF(AND($C35="Milestone",AH$8&gt;=$G35,AH$8&lt;=$G35+$H35-1),1,""))</f>
        <v/>
      </c>
      <c r="AI35" s="69" t="str">
        <f ca="1">IF(AND($C35="Goal",AI$8&gt;=$G35,AI$8&lt;=$G35+$H35-1),2,IF(AND($C35="Milestone",AI$8&gt;=$G35,AI$8&lt;=$G35+$H35-1),1,""))</f>
        <v/>
      </c>
      <c r="AJ35" s="69" t="str">
        <f ca="1">IF(AND($C35="Goal",AJ$8&gt;=$G35,AJ$8&lt;=$G35+$H35-1),2,IF(AND($C35="Milestone",AJ$8&gt;=$G35,AJ$8&lt;=$G35+$H35-1),1,""))</f>
        <v/>
      </c>
      <c r="AK35" s="69" t="str">
        <f ca="1">IF(AND($C35="Goal",AK$8&gt;=$G35,AK$8&lt;=$G35+$H35-1),2,IF(AND($C35="Milestone",AK$8&gt;=$G35,AK$8&lt;=$G35+$H35-1),1,""))</f>
        <v/>
      </c>
      <c r="AL35" s="69" t="str">
        <f ca="1">IF(AND($C35="Goal",AL$8&gt;=$G35,AL$8&lt;=$G35+$H35-1),2,IF(AND($C35="Milestone",AL$8&gt;=$G35,AL$8&lt;=$G35+$H35-1),1,""))</f>
        <v/>
      </c>
      <c r="AM35" s="69" t="str">
        <f ca="1">IF(AND($C35="Goal",AM$8&gt;=$G35,AM$8&lt;=$G35+$H35-1),2,IF(AND($C35="Milestone",AM$8&gt;=$G35,AM$8&lt;=$G35+$H35-1),1,""))</f>
        <v/>
      </c>
      <c r="AN35" s="69" t="str">
        <f ca="1">IF(AND($C35="Goal",AN$8&gt;=$G35,AN$8&lt;=$G35+$H35-1),2,IF(AND($C35="Milestone",AN$8&gt;=$G35,AN$8&lt;=$G35+$H35-1),1,""))</f>
        <v/>
      </c>
      <c r="AO35" s="69" t="str">
        <f ca="1">IF(AND($C35="Goal",AO$8&gt;=$G35,AO$8&lt;=$G35+$H35-1),2,IF(AND($C35="Milestone",AO$8&gt;=$G35,AO$8&lt;=$G35+$H35-1),1,""))</f>
        <v/>
      </c>
      <c r="AP35" s="69" t="str">
        <f ca="1">IF(AND($C35="Goal",AP$8&gt;=$G35,AP$8&lt;=$G35+$H35-1),2,IF(AND($C35="Milestone",AP$8&gt;=$G35,AP$8&lt;=$G35+$H35-1),1,""))</f>
        <v/>
      </c>
      <c r="AQ35" s="69" t="str">
        <f ca="1">IF(AND($C35="Goal",AQ$8&gt;=$G35,AQ$8&lt;=$G35+$H35-1),2,IF(AND($C35="Milestone",AQ$8&gt;=$G35,AQ$8&lt;=$G35+$H35-1),1,""))</f>
        <v/>
      </c>
      <c r="AR35" s="69" t="str">
        <f ca="1">IF(AND($C35="Goal",AR$8&gt;=$G35,AR$8&lt;=$G35+$H35-1),2,IF(AND($C35="Milestone",AR$8&gt;=$G35,AR$8&lt;=$G35+$H35-1),1,""))</f>
        <v/>
      </c>
      <c r="AS35" s="69" t="str">
        <f ca="1">IF(AND($C35="Goal",AS$8&gt;=$G35,AS$8&lt;=$G35+$H35-1),2,IF(AND($C35="Milestone",AS$8&gt;=$G35,AS$8&lt;=$G35+$H35-1),1,""))</f>
        <v/>
      </c>
      <c r="AT35" s="69" t="str">
        <f ca="1">IF(AND($C35="Goal",AT$8&gt;=$G35,AT$8&lt;=$G35+$H35-1),2,IF(AND($C35="Milestone",AT$8&gt;=$G35,AT$8&lt;=$G35+$H35-1),1,""))</f>
        <v/>
      </c>
      <c r="AU35" s="69" t="str">
        <f ca="1">IF(AND($C35="Goal",AU$8&gt;=$G35,AU$8&lt;=$G35+$H35-1),2,IF(AND($C35="Milestone",AU$8&gt;=$G35,AU$8&lt;=$G35+$H35-1),1,""))</f>
        <v/>
      </c>
      <c r="AV35" s="69" t="str">
        <f ca="1">IF(AND($C35="Goal",AV$8&gt;=$G35,AV$8&lt;=$G35+$H35-1),2,IF(AND($C35="Milestone",AV$8&gt;=$G35,AV$8&lt;=$G35+$H35-1),1,""))</f>
        <v/>
      </c>
      <c r="AW35" s="69" t="str">
        <f ca="1">IF(AND($C35="Goal",AW$8&gt;=$G35,AW$8&lt;=$G35+$H35-1),2,IF(AND($C35="Milestone",AW$8&gt;=$G35,AW$8&lt;=$G35+$H35-1),1,""))</f>
        <v/>
      </c>
      <c r="AX35" s="69" t="str">
        <f ca="1">IF(AND($C35="Goal",AX$8&gt;=$G35,AX$8&lt;=$G35+$H35-1),2,IF(AND($C35="Milestone",AX$8&gt;=$G35,AX$8&lt;=$G35+$H35-1),1,""))</f>
        <v/>
      </c>
      <c r="AY35" s="69" t="str">
        <f ca="1">IF(AND($C35="Goal",AY$8&gt;=$G35,AY$8&lt;=$G35+$H35-1),2,IF(AND($C35="Milestone",AY$8&gt;=$G35,AY$8&lt;=$G35+$H35-1),1,""))</f>
        <v/>
      </c>
      <c r="AZ35" s="69" t="str">
        <f ca="1">IF(AND($C35="Goal",AZ$8&gt;=$G35,AZ$8&lt;=$G35+$H35-1),2,IF(AND($C35="Milestone",AZ$8&gt;=$G35,AZ$8&lt;=$G35+$H35-1),1,""))</f>
        <v/>
      </c>
      <c r="BA35" s="69" t="str">
        <f ca="1">IF(AND($C35="Goal",BA$8&gt;=$G35,BA$8&lt;=$G35+$H35-1),2,IF(AND($C35="Milestone",BA$8&gt;=$G35,BA$8&lt;=$G35+$H35-1),1,""))</f>
        <v/>
      </c>
      <c r="BB35" s="69" t="str">
        <f ca="1">IF(AND($C35="Goal",BB$8&gt;=$G35,BB$8&lt;=$G35+$H35-1),2,IF(AND($C35="Milestone",BB$8&gt;=$G35,BB$8&lt;=$G35+$H35-1),1,""))</f>
        <v/>
      </c>
      <c r="BC35" s="69" t="str">
        <f ca="1">IF(AND($C35="Goal",BC$8&gt;=$G35,BC$8&lt;=$G35+$H35-1),2,IF(AND($C35="Milestone",BC$8&gt;=$G35,BC$8&lt;=$G35+$H35-1),1,""))</f>
        <v/>
      </c>
      <c r="BD35" s="69" t="str">
        <f ca="1">IF(AND($C35="Goal",BD$8&gt;=$G35,BD$8&lt;=$G35+$H35-1),2,IF(AND($C35="Milestone",BD$8&gt;=$G35,BD$8&lt;=$G35+$H35-1),1,""))</f>
        <v/>
      </c>
      <c r="BE35" s="69" t="str">
        <f ca="1">IF(AND($C35="Goal",BE$8&gt;=$G35,BE$8&lt;=$G35+$H35-1),2,IF(AND($C35="Milestone",BE$8&gt;=$G35,BE$8&lt;=$G35+$H35-1),1,""))</f>
        <v/>
      </c>
      <c r="BF35" s="69" t="str">
        <f ca="1">IF(AND($C35="Goal",BF$8&gt;=$G35,BF$8&lt;=$G35+$H35-1),2,IF(AND($C35="Milestone",BF$8&gt;=$G35,BF$8&lt;=$G35+$H35-1),1,""))</f>
        <v/>
      </c>
      <c r="BG35" s="69" t="str">
        <f ca="1">IF(AND($C35="Goal",BG$8&gt;=$G35,BG$8&lt;=$G35+$H35-1),2,IF(AND($C35="Milestone",BG$8&gt;=$G35,BG$8&lt;=$G35+$H35-1),1,""))</f>
        <v/>
      </c>
      <c r="BH35" s="69" t="str">
        <f ca="1">IF(AND($C35="Goal",BH$8&gt;=$G35,BH$8&lt;=$G35+$H35-1),2,IF(AND($C35="Milestone",BH$8&gt;=$G35,BH$8&lt;=$G35+$H35-1),1,""))</f>
        <v/>
      </c>
      <c r="BI35" s="69" t="str">
        <f ca="1">IF(AND($C35="Goal",BI$8&gt;=$G35,BI$8&lt;=$G35+$H35-1),2,IF(AND($C35="Milestone",BI$8&gt;=$G35,BI$8&lt;=$G35+$H35-1),1,""))</f>
        <v/>
      </c>
      <c r="BJ35" s="69" t="str">
        <f ca="1">IF(AND($C35="Goal",BJ$8&gt;=$G35,BJ$8&lt;=$G35+$H35-1),2,IF(AND($C35="Milestone",BJ$8&gt;=$G35,BJ$8&lt;=$G35+$H35-1),1,""))</f>
        <v/>
      </c>
      <c r="BK35" s="69" t="str">
        <f ca="1">IF(AND($C35="Goal",BK$8&gt;=$G35,BK$8&lt;=$G35+$H35-1),2,IF(AND($C35="Milestone",BK$8&gt;=$G35,BK$8&lt;=$G35+$H35-1),1,""))</f>
        <v/>
      </c>
      <c r="BL35" s="69" t="str">
        <f ca="1">IF(AND($C35="Goal",BL$8&gt;=$G35,BL$8&lt;=$G35+$H35-1),2,IF(AND($C35="Milestone",BL$8&gt;=$G35,BL$8&lt;=$G35+$H35-1),1,""))</f>
        <v/>
      </c>
      <c r="BM35" s="69" t="str">
        <f ca="1">IF(AND($C35="Goal",BM$8&gt;=$G35,BM$8&lt;=$G35+$H35-1),2,IF(AND($C35="Milestone",BM$8&gt;=$G35,BM$8&lt;=$G35+$H35-1),1,""))</f>
        <v/>
      </c>
      <c r="BN35" s="69" t="str">
        <f ca="1">IF(AND($C35="Goal",BN$8&gt;=$G35,BN$8&lt;=$G35+$H35-1),2,IF(AND($C35="Milestone",BN$8&gt;=$G35,BN$8&lt;=$G35+$H35-1),1,""))</f>
        <v/>
      </c>
      <c r="BO35" s="69" t="str">
        <f ca="1">IF(AND($C35="Goal",BO$8&gt;=$G35,BO$8&lt;=$G35+$H35-1),2,IF(AND($C35="Milestone",BO$8&gt;=$G35,BO$8&lt;=$G35+$H35-1),1,""))</f>
        <v/>
      </c>
      <c r="BP35" s="69" t="str">
        <f ca="1">IF(AND($C35="Goal",BP$8&gt;=$G35,BP$8&lt;=$G35+$H35-1),2,IF(AND($C35="Milestone",BP$8&gt;=$G35,BP$8&lt;=$G35+$H35-1),1,""))</f>
        <v/>
      </c>
      <c r="BQ35" s="69" t="str">
        <f ca="1">IF(AND($C35="Goal",BQ$8&gt;=$G35,BQ$8&lt;=$G35+$H35-1),2,IF(AND($C35="Milestone",BQ$8&gt;=$G35,BQ$8&lt;=$G35+$H35-1),1,""))</f>
        <v/>
      </c>
      <c r="BR35" s="69" t="str">
        <f ca="1">IF(AND($C35="Goal",BR$8&gt;=$G35,BR$8&lt;=$G35+$H35-1),2,IF(AND($C35="Milestone",BR$8&gt;=$G35,BR$8&lt;=$G35+$H35-1),1,""))</f>
        <v/>
      </c>
      <c r="BS35" s="69" t="str">
        <f ca="1">IF(AND($C35="Goal",BS$8&gt;=$G35,BS$8&lt;=$G35+$H35-1),2,IF(AND($C35="Milestone",BS$8&gt;=$G35,BS$8&lt;=$G35+$H35-1),1,""))</f>
        <v/>
      </c>
      <c r="BT35" s="69" t="str">
        <f ca="1">IF(AND($C35="Goal",BT$8&gt;=$G35,BT$8&lt;=$G35+$H35-1),2,IF(AND($C35="Milestone",BT$8&gt;=$G35,BT$8&lt;=$G35+$H35-1),1,""))</f>
        <v/>
      </c>
      <c r="BU35" s="69" t="str">
        <f ca="1">IF(AND($C35="Goal",BU$8&gt;=$G35,BU$8&lt;=$G35+$H35-1),2,IF(AND($C35="Milestone",BU$8&gt;=$G35,BU$8&lt;=$G35+$H35-1),1,""))</f>
        <v/>
      </c>
      <c r="BV35" s="69" t="str">
        <f ca="1">IF(AND($C35="Goal",BV$8&gt;=$G35,BV$8&lt;=$G35+$H35-1),2,IF(AND($C35="Milestone",BV$8&gt;=$G35,BV$8&lt;=$G35+$H35-1),1,""))</f>
        <v/>
      </c>
      <c r="BW35" s="69" t="str">
        <f ca="1">IF(AND($C35="Goal",BW$8&gt;=$G35,BW$8&lt;=$G35+$H35-1),2,IF(AND($C35="Milestone",BW$8&gt;=$G35,BW$8&lt;=$G35+$H35-1),1,""))</f>
        <v/>
      </c>
      <c r="BX35" s="69" t="str">
        <f ca="1">IF(AND($C35="Goal",BX$8&gt;=$G35,BX$8&lt;=$G35+$H35-1),2,IF(AND($C35="Milestone",BX$8&gt;=$G35,BX$8&lt;=$G35+$H35-1),1,""))</f>
        <v/>
      </c>
      <c r="BY35" s="69" t="str">
        <f ca="1">IF(AND($C35="Goal",BY$8&gt;=$G35,BY$8&lt;=$G35+$H35-1),2,IF(AND($C35="Milestone",BY$8&gt;=$G35,BY$8&lt;=$G35+$H35-1),1,""))</f>
        <v/>
      </c>
      <c r="BZ35" s="69" t="str">
        <f ca="1">IF(AND($C35="Goal",BZ$8&gt;=$G35,BZ$8&lt;=$G35+$H35-1),2,IF(AND($C35="Milestone",BZ$8&gt;=$G35,BZ$8&lt;=$G35+$H35-1),1,""))</f>
        <v/>
      </c>
      <c r="CA35" s="69" t="str">
        <f ca="1">IF(AND($C35="Goal",CA$8&gt;=$G35,CA$8&lt;=$G35+$H35-1),2,IF(AND($C35="Milestone",CA$8&gt;=$G35,CA$8&lt;=$G35+$H35-1),1,""))</f>
        <v/>
      </c>
      <c r="CB35" s="69" t="str">
        <f ca="1">IF(AND($C35="Goal",CB$8&gt;=$G35,CB$8&lt;=$G35+$H35-1),2,IF(AND($C35="Milestone",CB$8&gt;=$G35,CB$8&lt;=$G35+$H35-1),1,""))</f>
        <v/>
      </c>
      <c r="CC35" s="69" t="str">
        <f ca="1">IF(AND($C35="Goal",CC$8&gt;=$G35,CC$8&lt;=$G35+$H35-1),2,IF(AND($C35="Milestone",CC$8&gt;=$G35,CC$8&lt;=$G35+$H35-1),1,""))</f>
        <v/>
      </c>
      <c r="CD35" s="69" t="str">
        <f ca="1">IF(AND($C35="Goal",CD$8&gt;=$G35,CD$8&lt;=$G35+$H35-1),2,IF(AND($C35="Milestone",CD$8&gt;=$G35,CD$8&lt;=$G35+$H35-1),1,""))</f>
        <v/>
      </c>
      <c r="CE35" s="69" t="str">
        <f ca="1">IF(AND($C35="Goal",CE$8&gt;=$G35,CE$8&lt;=$G35+$H35-1),2,IF(AND($C35="Milestone",CE$8&gt;=$G35,CE$8&lt;=$G35+$H35-1),1,""))</f>
        <v/>
      </c>
      <c r="CF35" s="69" t="str">
        <f ca="1">IF(AND($C35="Goal",CF$8&gt;=$G35,CF$8&lt;=$G35+$H35-1),2,IF(AND($C35="Milestone",CF$8&gt;=$G35,CF$8&lt;=$G35+$H35-1),1,""))</f>
        <v/>
      </c>
      <c r="CG35" s="69" t="str">
        <f ca="1">IF(AND($C35="Goal",CG$8&gt;=$G35,CG$8&lt;=$G35+$H35-1),2,IF(AND($C35="Milestone",CG$8&gt;=$G35,CG$8&lt;=$G35+$H35-1),1,""))</f>
        <v/>
      </c>
      <c r="CH35" s="69" t="str">
        <f ca="1">IF(AND($C35="Goal",CH$8&gt;=$G35,CH$8&lt;=$G35+$H35-1),2,IF(AND($C35="Milestone",CH$8&gt;=$G35,CH$8&lt;=$G35+$H35-1),1,""))</f>
        <v/>
      </c>
      <c r="CI35" s="69" t="str">
        <f ca="1">IF(AND($C35="Goal",CI$8&gt;=$G35,CI$8&lt;=$G35+$H35-1),2,IF(AND($C35="Milestone",CI$8&gt;=$G35,CI$8&lt;=$G35+$H35-1),1,""))</f>
        <v/>
      </c>
      <c r="CJ35" s="69" t="str">
        <f ca="1">IF(AND($C35="Goal",CJ$8&gt;=$G35,CJ$8&lt;=$G35+$H35-1),2,IF(AND($C35="Milestone",CJ$8&gt;=$G35,CJ$8&lt;=$G35+$H35-1),1,""))</f>
        <v/>
      </c>
      <c r="CK35" s="69" t="str">
        <f ca="1">IF(AND($C35="Goal",CK$8&gt;=$G35,CK$8&lt;=$G35+$H35-1),2,IF(AND($C35="Milestone",CK$8&gt;=$G35,CK$8&lt;=$G35+$H35-1),1,""))</f>
        <v/>
      </c>
      <c r="CL35" s="69" t="str">
        <f ca="1">IF(AND($C35="Goal",CL$8&gt;=$G35,CL$8&lt;=$G35+$H35-1),2,IF(AND($C35="Milestone",CL$8&gt;=$G35,CL$8&lt;=$G35+$H35-1),1,""))</f>
        <v/>
      </c>
      <c r="CM35" s="69" t="str">
        <f ca="1">IF(AND($C35="Goal",CM$8&gt;=$G35,CM$8&lt;=$G35+$H35-1),2,IF(AND($C35="Milestone",CM$8&gt;=$G35,CM$8&lt;=$G35+$H35-1),1,""))</f>
        <v/>
      </c>
      <c r="CN35" s="69" t="str">
        <f ca="1">IF(AND($C35="Goal",CN$8&gt;=$G35,CN$8&lt;=$G35+$H35-1),2,IF(AND($C35="Milestone",CN$8&gt;=$G35,CN$8&lt;=$G35+$H35-1),1,""))</f>
        <v/>
      </c>
      <c r="CO35" s="69" t="str">
        <f ca="1">IF(AND($C35="Goal",CO$8&gt;=$G35,CO$8&lt;=$G35+$H35-1),2,IF(AND($C35="Milestone",CO$8&gt;=$G35,CO$8&lt;=$G35+$H35-1),1,""))</f>
        <v/>
      </c>
      <c r="CP35" s="69" t="str">
        <f ca="1">IF(AND($C35="Goal",CP$8&gt;=$G35,CP$8&lt;=$G35+$H35-1),2,IF(AND($C35="Milestone",CP$8&gt;=$G35,CP$8&lt;=$G35+$H35-1),1,""))</f>
        <v/>
      </c>
      <c r="CQ35" s="69" t="str">
        <f ca="1">IF(AND($C35="Goal",CQ$8&gt;=$G35,CQ$8&lt;=$G35+$H35-1),2,IF(AND($C35="Milestone",CQ$8&gt;=$G35,CQ$8&lt;=$G35+$H35-1),1,""))</f>
        <v/>
      </c>
      <c r="CR35" s="69" t="str">
        <f ca="1">IF(AND($C35="Goal",CR$8&gt;=$G35,CR$8&lt;=$G35+$H35-1),2,IF(AND($C35="Milestone",CR$8&gt;=$G35,CR$8&lt;=$G35+$H35-1),1,""))</f>
        <v/>
      </c>
      <c r="CS35" s="69" t="str">
        <f ca="1">IF(AND($C35="Goal",CS$8&gt;=$G35,CS$8&lt;=$G35+$H35-1),2,IF(AND($C35="Milestone",CS$8&gt;=$G35,CS$8&lt;=$G35+$H35-1),1,""))</f>
        <v/>
      </c>
      <c r="CT35" s="69" t="str">
        <f ca="1">IF(AND($C35="Goal",CT$8&gt;=$G35,CT$8&lt;=$G35+$H35-1),2,IF(AND($C35="Milestone",CT$8&gt;=$G35,CT$8&lt;=$G35+$H35-1),1,""))</f>
        <v/>
      </c>
      <c r="CU35" s="69" t="str">
        <f ca="1">IF(AND($C35="Goal",CU$8&gt;=$G35,CU$8&lt;=$G35+$H35-1),2,IF(AND($C35="Milestone",CU$8&gt;=$G35,CU$8&lt;=$G35+$H35-1),1,""))</f>
        <v/>
      </c>
      <c r="CV35" s="69" t="str">
        <f ca="1">IF(AND($C35="Goal",CV$8&gt;=$G35,CV$8&lt;=$G35+$H35-1),2,IF(AND($C35="Milestone",CV$8&gt;=$G35,CV$8&lt;=$G35+$H35-1),1,""))</f>
        <v/>
      </c>
      <c r="CW35" s="69" t="str">
        <f ca="1">IF(AND($C35="Goal",CW$8&gt;=$G35,CW$8&lt;=$G35+$H35-1),2,IF(AND($C35="Milestone",CW$8&gt;=$G35,CW$8&lt;=$G35+$H35-1),1,""))</f>
        <v/>
      </c>
      <c r="CX35" s="69" t="str">
        <f ca="1">IF(AND($C35="Goal",CX$8&gt;=$G35,CX$8&lt;=$G35+$H35-1),2,IF(AND($C35="Milestone",CX$8&gt;=$G35,CX$8&lt;=$G35+$H35-1),1,""))</f>
        <v/>
      </c>
      <c r="CY35" s="69" t="str">
        <f ca="1">IF(AND($C35="Goal",CY$8&gt;=$G35,CY$8&lt;=$G35+$H35-1),2,IF(AND($C35="Milestone",CY$8&gt;=$G35,CY$8&lt;=$G35+$H35-1),1,""))</f>
        <v/>
      </c>
      <c r="CZ35" s="69" t="str">
        <f ca="1">IF(AND($C35="Goal",CZ$8&gt;=$G35,CZ$8&lt;=$G35+$H35-1),2,IF(AND($C35="Milestone",CZ$8&gt;=$G35,CZ$8&lt;=$G35+$H35-1),1,""))</f>
        <v/>
      </c>
      <c r="DA35" s="69" t="str">
        <f ca="1">IF(AND($C35="Goal",DA$8&gt;=$G35,DA$8&lt;=$G35+$H35-1),2,IF(AND($C35="Milestone",DA$8&gt;=$G35,DA$8&lt;=$G35+$H35-1),1,""))</f>
        <v/>
      </c>
      <c r="DB35" s="69" t="str">
        <f ca="1">IF(AND($C35="Goal",DB$8&gt;=$G35,DB$8&lt;=$G35+$H35-1),2,IF(AND($C35="Milestone",DB$8&gt;=$G35,DB$8&lt;=$G35+$H35-1),1,""))</f>
        <v/>
      </c>
      <c r="DC35" s="69" t="str">
        <f ca="1">IF(AND($C35="Goal",DC$8&gt;=$G35,DC$8&lt;=$G35+$H35-1),2,IF(AND($C35="Milestone",DC$8&gt;=$G35,DC$8&lt;=$G35+$H35-1),1,""))</f>
        <v/>
      </c>
      <c r="DD35" s="69" t="str">
        <f ca="1">IF(AND($C35="Goal",DD$8&gt;=$G35,DD$8&lt;=$G35+$H35-1),2,IF(AND($C35="Milestone",DD$8&gt;=$G35,DD$8&lt;=$G35+$H35-1),1,""))</f>
        <v/>
      </c>
      <c r="DE35" s="69" t="str">
        <f ca="1">IF(AND($C35="Goal",DE$8&gt;=$G35,DE$8&lt;=$G35+$H35-1),2,IF(AND($C35="Milestone",DE$8&gt;=$G35,DE$8&lt;=$G35+$H35-1),1,""))</f>
        <v/>
      </c>
      <c r="DF35" s="69" t="str">
        <f ca="1">IF(AND($C35="Goal",DF$8&gt;=$G35,DF$8&lt;=$G35+$H35-1),2,IF(AND($C35="Milestone",DF$8&gt;=$G35,DF$8&lt;=$G35+$H35-1),1,""))</f>
        <v/>
      </c>
      <c r="DG35" s="69" t="str">
        <f ca="1">IF(AND($C35="Goal",DG$8&gt;=$G35,DG$8&lt;=$G35+$H35-1),2,IF(AND($C35="Milestone",DG$8&gt;=$G35,DG$8&lt;=$G35+$H35-1),1,""))</f>
        <v/>
      </c>
      <c r="DH35" s="69" t="str">
        <f ca="1">IF(AND($C35="Goal",DH$8&gt;=$G35,DH$8&lt;=$G35+$H35-1),2,IF(AND($C35="Milestone",DH$8&gt;=$G35,DH$8&lt;=$G35+$H35-1),1,""))</f>
        <v/>
      </c>
      <c r="DI35" s="69" t="str">
        <f ca="1">IF(AND($C35="Goal",DI$8&gt;=$G35,DI$8&lt;=$G35+$H35-1),2,IF(AND($C35="Milestone",DI$8&gt;=$G35,DI$8&lt;=$G35+$H35-1),1,""))</f>
        <v/>
      </c>
      <c r="DJ35" s="69" t="str">
        <f ca="1">IF(AND($C35="Goal",DJ$8&gt;=$G35,DJ$8&lt;=$G35+$H35-1),2,IF(AND($C35="Milestone",DJ$8&gt;=$G35,DJ$8&lt;=$G35+$H35-1),1,""))</f>
        <v/>
      </c>
      <c r="DK35" s="69" t="str">
        <f ca="1">IF(AND($C35="Goal",DK$8&gt;=$G35,DK$8&lt;=$G35+$H35-1),2,IF(AND($C35="Milestone",DK$8&gt;=$G35,DK$8&lt;=$G35+$H35-1),1,""))</f>
        <v/>
      </c>
      <c r="DL35" s="69" t="str">
        <f ca="1">IF(AND($C35="Goal",DL$8&gt;=$G35,DL$8&lt;=$G35+$H35-1),2,IF(AND($C35="Milestone",DL$8&gt;=$G35,DL$8&lt;=$G35+$H35-1),1,""))</f>
        <v/>
      </c>
      <c r="DM35" s="69" t="str">
        <f ca="1">IF(AND($C35="Goal",DM$8&gt;=$G35,DM$8&lt;=$G35+$H35-1),2,IF(AND($C35="Milestone",DM$8&gt;=$G35,DM$8&lt;=$G35+$H35-1),1,""))</f>
        <v/>
      </c>
      <c r="DN35" s="69" t="str">
        <f ca="1">IF(AND($C35="Goal",DN$8&gt;=$G35,DN$8&lt;=$G35+$H35-1),2,IF(AND($C35="Milestone",DN$8&gt;=$G35,DN$8&lt;=$G35+$H35-1),1,""))</f>
        <v/>
      </c>
      <c r="DO35" s="69" t="str">
        <f ca="1">IF(AND($C35="Goal",DO$8&gt;=$G35,DO$8&lt;=$G35+$H35-1),2,IF(AND($C35="Milestone",DO$8&gt;=$G35,DO$8&lt;=$G35+$H35-1),1,""))</f>
        <v/>
      </c>
      <c r="DP35" s="69" t="str">
        <f ca="1">IF(AND($C35="Goal",DP$8&gt;=$G35,DP$8&lt;=$G35+$H35-1),2,IF(AND($C35="Milestone",DP$8&gt;=$G35,DP$8&lt;=$G35+$H35-1),1,""))</f>
        <v/>
      </c>
      <c r="DQ35" s="69" t="str">
        <f ca="1">IF(AND($C35="Goal",DQ$8&gt;=$G35,DQ$8&lt;=$G35+$H35-1),2,IF(AND($C35="Milestone",DQ$8&gt;=$G35,DQ$8&lt;=$G35+$H35-1),1,""))</f>
        <v/>
      </c>
      <c r="DR35" s="69" t="str">
        <f ca="1">IF(AND($C35="Goal",DR$8&gt;=$G35,DR$8&lt;=$G35+$H35-1),2,IF(AND($C35="Milestone",DR$8&gt;=$G35,DR$8&lt;=$G35+$H35-1),1,""))</f>
        <v/>
      </c>
      <c r="DS35" s="69" t="str">
        <f ca="1">IF(AND($C35="Goal",DS$8&gt;=$G35,DS$8&lt;=$G35+$H35-1),2,IF(AND($C35="Milestone",DS$8&gt;=$G35,DS$8&lt;=$G35+$H35-1),1,""))</f>
        <v/>
      </c>
      <c r="DT35" s="69" t="str">
        <f ca="1">IF(AND($C35="Goal",DT$8&gt;=$G35,DT$8&lt;=$G35+$H35-1),2,IF(AND($C35="Milestone",DT$8&gt;=$G35,DT$8&lt;=$G35+$H35-1),1,""))</f>
        <v/>
      </c>
      <c r="DU35" s="69" t="str">
        <f ca="1">IF(AND($C35="Goal",DU$8&gt;=$G35,DU$8&lt;=$G35+$H35-1),2,IF(AND($C35="Milestone",DU$8&gt;=$G35,DU$8&lt;=$G35+$H35-1),1,""))</f>
        <v/>
      </c>
      <c r="DV35" s="69" t="str">
        <f ca="1">IF(AND($C35="Goal",DV$8&gt;=$G35,DV$8&lt;=$G35+$H35-1),2,IF(AND($C35="Milestone",DV$8&gt;=$G35,DV$8&lt;=$G35+$H35-1),1,""))</f>
        <v/>
      </c>
      <c r="DW35" s="69" t="str">
        <f ca="1">IF(AND($C35="Goal",DW$8&gt;=$G35,DW$8&lt;=$G35+$H35-1),2,IF(AND($C35="Milestone",DW$8&gt;=$G35,DW$8&lt;=$G35+$H35-1),1,""))</f>
        <v/>
      </c>
      <c r="DX35" s="69" t="str">
        <f ca="1">IF(AND($C35="Goal",DX$8&gt;=$G35,DX$8&lt;=$G35+$H35-1),2,IF(AND($C35="Milestone",DX$8&gt;=$G35,DX$8&lt;=$G35+$H35-1),1,""))</f>
        <v/>
      </c>
      <c r="DY35" s="69" t="str">
        <f ca="1">IF(AND($C35="Goal",DY$8&gt;=$G35,DY$8&lt;=$G35+$H35-1),2,IF(AND($C35="Milestone",DY$8&gt;=$G35,DY$8&lt;=$G35+$H35-1),1,""))</f>
        <v/>
      </c>
      <c r="DZ35" s="69" t="str">
        <f ca="1">IF(AND($C35="Goal",DZ$8&gt;=$G35,DZ$8&lt;=$G35+$H35-1),2,IF(AND($C35="Milestone",DZ$8&gt;=$G35,DZ$8&lt;=$G35+$H35-1),1,""))</f>
        <v/>
      </c>
      <c r="EA35" s="69" t="str">
        <f ca="1">IF(AND($C35="Goal",EA$8&gt;=$G35,EA$8&lt;=$G35+$H35-1),2,IF(AND($C35="Milestone",EA$8&gt;=$G35,EA$8&lt;=$G35+$H35-1),1,""))</f>
        <v/>
      </c>
      <c r="EB35" s="69" t="str">
        <f ca="1">IF(AND($C35="Goal",EB$8&gt;=$G35,EB$8&lt;=$G35+$H35-1),2,IF(AND($C35="Milestone",EB$8&gt;=$G35,EB$8&lt;=$G35+$H35-1),1,""))</f>
        <v/>
      </c>
      <c r="EC35" s="69" t="str">
        <f ca="1">IF(AND($C35="Goal",EC$8&gt;=$G35,EC$8&lt;=$G35+$H35-1),2,IF(AND($C35="Milestone",EC$8&gt;=$G35,EC$8&lt;=$G35+$H35-1),1,""))</f>
        <v/>
      </c>
      <c r="ED35" s="69" t="str">
        <f ca="1">IF(AND($C35="Goal",ED$8&gt;=$G35,ED$8&lt;=$G35+$H35-1),2,IF(AND($C35="Milestone",ED$8&gt;=$G35,ED$8&lt;=$G35+$H35-1),1,""))</f>
        <v/>
      </c>
      <c r="EE35" s="69" t="str">
        <f ca="1">IF(AND($C35="Goal",EE$8&gt;=$G35,EE$8&lt;=$G35+$H35-1),2,IF(AND($C35="Milestone",EE$8&gt;=$G35,EE$8&lt;=$G35+$H35-1),1,""))</f>
        <v/>
      </c>
      <c r="EF35" s="69" t="str">
        <f ca="1">IF(AND($C35="Goal",EF$8&gt;=$G35,EF$8&lt;=$G35+$H35-1),2,IF(AND($C35="Milestone",EF$8&gt;=$G35,EF$8&lt;=$G35+$H35-1),1,""))</f>
        <v/>
      </c>
      <c r="EG35" s="69" t="str">
        <f ca="1">IF(AND($C35="Goal",EG$8&gt;=$G35,EG$8&lt;=$G35+$H35-1),2,IF(AND($C35="Milestone",EG$8&gt;=$G35,EG$8&lt;=$G35+$H35-1),1,""))</f>
        <v/>
      </c>
      <c r="EH35" s="69" t="str">
        <f ca="1">IF(AND($C35="Goal",EH$8&gt;=$G35,EH$8&lt;=$G35+$H35-1),2,IF(AND($C35="Milestone",EH$8&gt;=$G35,EH$8&lt;=$G35+$H35-1),1,""))</f>
        <v/>
      </c>
      <c r="EI35" s="69" t="str">
        <f ca="1">IF(AND($C35="Goal",EI$8&gt;=$G35,EI$8&lt;=$G35+$H35-1),2,IF(AND($C35="Milestone",EI$8&gt;=$G35,EI$8&lt;=$G35+$H35-1),1,""))</f>
        <v/>
      </c>
      <c r="EJ35" s="69" t="str">
        <f ca="1">IF(AND($C35="Goal",EJ$8&gt;=$G35,EJ$8&lt;=$G35+$H35-1),2,IF(AND($C35="Milestone",EJ$8&gt;=$G35,EJ$8&lt;=$G35+$H35-1),1,""))</f>
        <v/>
      </c>
      <c r="EK35" s="69" t="str">
        <f ca="1">IF(AND($C35="Goal",EK$8&gt;=$G35,EK$8&lt;=$G35+$H35-1),2,IF(AND($C35="Milestone",EK$8&gt;=$G35,EK$8&lt;=$G35+$H35-1),1,""))</f>
        <v/>
      </c>
      <c r="EL35" s="69" t="str">
        <f ca="1">IF(AND($C35="Goal",EL$8&gt;=$G35,EL$8&lt;=$G35+$H35-1),2,IF(AND($C35="Milestone",EL$8&gt;=$G35,EL$8&lt;=$G35+$H35-1),1,""))</f>
        <v/>
      </c>
      <c r="EM35" s="69" t="str">
        <f ca="1">IF(AND($C35="Goal",EM$8&gt;=$G35,EM$8&lt;=$G35+$H35-1),2,IF(AND($C35="Milestone",EM$8&gt;=$G35,EM$8&lt;=$G35+$H35-1),1,""))</f>
        <v/>
      </c>
      <c r="EN35" s="69" t="str">
        <f ca="1">IF(AND($C35="Goal",EN$8&gt;=$G35,EN$8&lt;=$G35+$H35-1),2,IF(AND($C35="Milestone",EN$8&gt;=$G35,EN$8&lt;=$G35+$H35-1),1,""))</f>
        <v/>
      </c>
      <c r="EO35" s="69" t="str">
        <f ca="1">IF(AND($C35="Goal",EO$8&gt;=$G35,EO$8&lt;=$G35+$H35-1),2,IF(AND($C35="Milestone",EO$8&gt;=$G35,EO$8&lt;=$G35+$H35-1),1,""))</f>
        <v/>
      </c>
      <c r="EP35" s="69" t="str">
        <f ca="1">IF(AND($C35="Goal",EP$8&gt;=$G35,EP$8&lt;=$G35+$H35-1),2,IF(AND($C35="Milestone",EP$8&gt;=$G35,EP$8&lt;=$G35+$H35-1),1,""))</f>
        <v/>
      </c>
      <c r="EQ35" s="69" t="str">
        <f ca="1">IF(AND($C35="Goal",EQ$8&gt;=$G35,EQ$8&lt;=$G35+$H35-1),2,IF(AND($C35="Milestone",EQ$8&gt;=$G35,EQ$8&lt;=$G35+$H35-1),1,""))</f>
        <v/>
      </c>
      <c r="ER35" s="69" t="str">
        <f ca="1">IF(AND($C35="Goal",ER$8&gt;=$G35,ER$8&lt;=$G35+$H35-1),2,IF(AND($C35="Milestone",ER$8&gt;=$G35,ER$8&lt;=$G35+$H35-1),1,""))</f>
        <v/>
      </c>
      <c r="ES35" s="69" t="str">
        <f ca="1">IF(AND($C35="Goal",ES$8&gt;=$G35,ES$8&lt;=$G35+$H35-1),2,IF(AND($C35="Milestone",ES$8&gt;=$G35,ES$8&lt;=$G35+$H35-1),1,""))</f>
        <v/>
      </c>
      <c r="ET35" s="69" t="str">
        <f ca="1">IF(AND($C35="Goal",ET$8&gt;=$G35,ET$8&lt;=$G35+$H35-1),2,IF(AND($C35="Milestone",ET$8&gt;=$G35,ET$8&lt;=$G35+$H35-1),1,""))</f>
        <v/>
      </c>
      <c r="EU35" s="69" t="str">
        <f ca="1">IF(AND($C35="Goal",EU$8&gt;=$G35,EU$8&lt;=$G35+$H35-1),2,IF(AND($C35="Milestone",EU$8&gt;=$G35,EU$8&lt;=$G35+$H35-1),1,""))</f>
        <v/>
      </c>
      <c r="EV35" s="69" t="str">
        <f ca="1">IF(AND($C35="Goal",EV$8&gt;=$G35,EV$8&lt;=$G35+$H35-1),2,IF(AND($C35="Milestone",EV$8&gt;=$G35,EV$8&lt;=$G35+$H35-1),1,""))</f>
        <v/>
      </c>
      <c r="EW35" s="69" t="str">
        <f ca="1">IF(AND($C35="Goal",EW$8&gt;=$G35,EW$8&lt;=$G35+$H35-1),2,IF(AND($C35="Milestone",EW$8&gt;=$G35,EW$8&lt;=$G35+$H35-1),1,""))</f>
        <v/>
      </c>
      <c r="EX35" s="69" t="str">
        <f ca="1">IF(AND($C35="Goal",EX$8&gt;=$G35,EX$8&lt;=$G35+$H35-1),2,IF(AND($C35="Milestone",EX$8&gt;=$G35,EX$8&lt;=$G35+$H35-1),1,""))</f>
        <v/>
      </c>
      <c r="EY35" s="69" t="str">
        <f ca="1">IF(AND($C35="Goal",EY$8&gt;=$G35,EY$8&lt;=$G35+$H35-1),2,IF(AND($C35="Milestone",EY$8&gt;=$G35,EY$8&lt;=$G35+$H35-1),1,""))</f>
        <v/>
      </c>
      <c r="EZ35" s="69" t="str">
        <f ca="1">IF(AND($C35="Goal",EZ$8&gt;=$G35,EZ$8&lt;=$G35+$H35-1),2,IF(AND($C35="Milestone",EZ$8&gt;=$G35,EZ$8&lt;=$G35+$H35-1),1,""))</f>
        <v/>
      </c>
      <c r="FA35" s="69" t="str">
        <f ca="1">IF(AND($C35="Goal",FA$8&gt;=$G35,FA$8&lt;=$G35+$H35-1),2,IF(AND($C35="Milestone",FA$8&gt;=$G35,FA$8&lt;=$G35+$H35-1),1,""))</f>
        <v/>
      </c>
      <c r="FB35" s="69" t="str">
        <f ca="1">IF(AND($C35="Goal",FB$8&gt;=$G35,FB$8&lt;=$G35+$H35-1),2,IF(AND($C35="Milestone",FB$8&gt;=$G35,FB$8&lt;=$G35+$H35-1),1,""))</f>
        <v/>
      </c>
      <c r="FC35" s="69" t="str">
        <f ca="1">IF(AND($C35="Goal",FC$8&gt;=$G35,FC$8&lt;=$G35+$H35-1),2,IF(AND($C35="Milestone",FC$8&gt;=$G35,FC$8&lt;=$G35+$H35-1),1,""))</f>
        <v/>
      </c>
      <c r="FD35" s="69" t="str">
        <f ca="1">IF(AND($C35="Goal",FD$8&gt;=$G35,FD$8&lt;=$G35+$H35-1),2,IF(AND($C35="Milestone",FD$8&gt;=$G35,FD$8&lt;=$G35+$H35-1),1,""))</f>
        <v/>
      </c>
      <c r="FE35" s="69" t="str">
        <f ca="1">IF(AND($C35="Goal",FE$8&gt;=$G35,FE$8&lt;=$G35+$H35-1),2,IF(AND($C35="Milestone",FE$8&gt;=$G35,FE$8&lt;=$G35+$H35-1),1,""))</f>
        <v/>
      </c>
      <c r="FF35" s="69" t="str">
        <f ca="1">IF(AND($C35="Goal",FF$8&gt;=$G35,FF$8&lt;=$G35+$H35-1),2,IF(AND($C35="Milestone",FF$8&gt;=$G35,FF$8&lt;=$G35+$H35-1),1,""))</f>
        <v/>
      </c>
      <c r="FG35" s="69" t="str">
        <f ca="1">IF(AND($C35="Goal",FG$8&gt;=$G35,FG$8&lt;=$G35+$H35-1),2,IF(AND($C35="Milestone",FG$8&gt;=$G35,FG$8&lt;=$G35+$H35-1),1,""))</f>
        <v/>
      </c>
      <c r="FH35" s="69" t="str">
        <f ca="1">IF(AND($C35="Goal",FH$8&gt;=$G35,FH$8&lt;=$G35+$H35-1),2,IF(AND($C35="Milestone",FH$8&gt;=$G35,FH$8&lt;=$G35+$H35-1),1,""))</f>
        <v/>
      </c>
      <c r="FI35" s="69" t="str">
        <f ca="1">IF(AND($C35="Goal",FI$8&gt;=$G35,FI$8&lt;=$G35+$H35-1),2,IF(AND($C35="Milestone",FI$8&gt;=$G35,FI$8&lt;=$G35+$H35-1),1,""))</f>
        <v/>
      </c>
      <c r="FJ35" s="69" t="str">
        <f ca="1">IF(AND($C35="Goal",FJ$8&gt;=$G35,FJ$8&lt;=$G35+$H35-1),2,IF(AND($C35="Milestone",FJ$8&gt;=$G35,FJ$8&lt;=$G35+$H35-1),1,""))</f>
        <v/>
      </c>
      <c r="FK35" s="69" t="str">
        <f ca="1">IF(AND($C35="Goal",FK$8&gt;=$G35,FK$8&lt;=$G35+$H35-1),2,IF(AND($C35="Milestone",FK$8&gt;=$G35,FK$8&lt;=$G35+$H35-1),1,""))</f>
        <v/>
      </c>
      <c r="FL35" s="69" t="str">
        <f ca="1">IF(AND($C35="Goal",FL$8&gt;=$G35,FL$8&lt;=$G35+$H35-1),2,IF(AND($C35="Milestone",FL$8&gt;=$G35,FL$8&lt;=$G35+$H35-1),1,""))</f>
        <v/>
      </c>
      <c r="FM35" s="69" t="str">
        <f ca="1">IF(AND($C35="Goal",FM$8&gt;=$G35,FM$8&lt;=$G35+$H35-1),2,IF(AND($C35="Milestone",FM$8&gt;=$G35,FM$8&lt;=$G35+$H35-1),1,""))</f>
        <v/>
      </c>
      <c r="FN35" s="69" t="str">
        <f ca="1">IF(AND($C35="Goal",FN$8&gt;=$G35,FN$8&lt;=$G35+$H35-1),2,IF(AND($C35="Milestone",FN$8&gt;=$G35,FN$8&lt;=$G35+$H35-1),1,""))</f>
        <v/>
      </c>
      <c r="FO35" s="69" t="str">
        <f ca="1">IF(AND($C35="Goal",FO$8&gt;=$G35,FO$8&lt;=$G35+$H35-1),2,IF(AND($C35="Milestone",FO$8&gt;=$G35,FO$8&lt;=$G35+$H35-1),1,""))</f>
        <v/>
      </c>
      <c r="FP35" s="69" t="str">
        <f ca="1">IF(AND($C35="Goal",FP$8&gt;=$G35,FP$8&lt;=$G35+$H35-1),2,IF(AND($C35="Milestone",FP$8&gt;=$G35,FP$8&lt;=$G35+$H35-1),1,""))</f>
        <v/>
      </c>
      <c r="FQ35" s="69" t="str">
        <f ca="1">IF(AND($C35="Goal",FQ$8&gt;=$G35,FQ$8&lt;=$G35+$H35-1),2,IF(AND($C35="Milestone",FQ$8&gt;=$G35,FQ$8&lt;=$G35+$H35-1),1,""))</f>
        <v/>
      </c>
      <c r="FR35" s="69" t="str">
        <f ca="1">IF(AND($C35="Goal",FR$8&gt;=$G35,FR$8&lt;=$G35+$H35-1),2,IF(AND($C35="Milestone",FR$8&gt;=$G35,FR$8&lt;=$G35+$H35-1),1,""))</f>
        <v/>
      </c>
      <c r="FS35" s="69" t="str">
        <f ca="1">IF(AND($C35="Goal",FS$8&gt;=$G35,FS$8&lt;=$G35+$H35-1),2,IF(AND($C35="Milestone",FS$8&gt;=$G35,FS$8&lt;=$G35+$H35-1),1,""))</f>
        <v/>
      </c>
      <c r="FT35" s="69" t="str">
        <f ca="1">IF(AND($C35="Goal",FT$8&gt;=$G35,FT$8&lt;=$G35+$H35-1),2,IF(AND($C35="Milestone",FT$8&gt;=$G35,FT$8&lt;=$G35+$H35-1),1,""))</f>
        <v/>
      </c>
      <c r="FU35" s="69" t="str">
        <f ca="1">IF(AND($C35="Goal",FU$8&gt;=$G35,FU$8&lt;=$G35+$H35-1),2,IF(AND($C35="Milestone",FU$8&gt;=$G35,FU$8&lt;=$G35+$H35-1),1,""))</f>
        <v/>
      </c>
      <c r="FV35" s="69" t="str">
        <f ca="1">IF(AND($C35="Goal",FV$8&gt;=$G35,FV$8&lt;=$G35+$H35-1),2,IF(AND($C35="Milestone",FV$8&gt;=$G35,FV$8&lt;=$G35+$H35-1),1,""))</f>
        <v/>
      </c>
      <c r="FW35" s="69" t="str">
        <f ca="1">IF(AND($C35="Goal",FW$8&gt;=$G35,FW$8&lt;=$G35+$H35-1),2,IF(AND($C35="Milestone",FW$8&gt;=$G35,FW$8&lt;=$G35+$H35-1),1,""))</f>
        <v/>
      </c>
      <c r="FX35" s="69" t="str">
        <f ca="1">IF(AND($C35="Goal",FX$8&gt;=$G35,FX$8&lt;=$G35+$H35-1),2,IF(AND($C35="Milestone",FX$8&gt;=$G35,FX$8&lt;=$G35+$H35-1),1,""))</f>
        <v/>
      </c>
      <c r="FY35" s="69" t="str">
        <f ca="1">IF(AND($C35="Goal",FY$8&gt;=$G35,FY$8&lt;=$G35+$H35-1),2,IF(AND($C35="Milestone",FY$8&gt;=$G35,FY$8&lt;=$G35+$H35-1),1,""))</f>
        <v/>
      </c>
      <c r="FZ35" s="69" t="str">
        <f ca="1">IF(AND($C35="Goal",FZ$8&gt;=$G35,FZ$8&lt;=$G35+$H35-1),2,IF(AND($C35="Milestone",FZ$8&gt;=$G35,FZ$8&lt;=$G35+$H35-1),1,""))</f>
        <v/>
      </c>
      <c r="GA35" s="69" t="str">
        <f ca="1">IF(AND($C35="Goal",GA$8&gt;=$G35,GA$8&lt;=$G35+$H35-1),2,IF(AND($C35="Milestone",GA$8&gt;=$G35,GA$8&lt;=$G35+$H35-1),1,""))</f>
        <v/>
      </c>
      <c r="GB35" s="69" t="str">
        <f ca="1">IF(AND($C35="Goal",GB$8&gt;=$G35,GB$8&lt;=$G35+$H35-1),2,IF(AND($C35="Milestone",GB$8&gt;=$G35,GB$8&lt;=$G35+$H35-1),1,""))</f>
        <v/>
      </c>
      <c r="GC35" s="69" t="str">
        <f ca="1">IF(AND($C35="Goal",GC$8&gt;=$G35,GC$8&lt;=$G35+$H35-1),2,IF(AND($C35="Milestone",GC$8&gt;=$G35,GC$8&lt;=$G35+$H35-1),1,""))</f>
        <v/>
      </c>
      <c r="GD35" s="69" t="str">
        <f ca="1">IF(AND($C35="Goal",GD$8&gt;=$G35,GD$8&lt;=$G35+$H35-1),2,IF(AND($C35="Milestone",GD$8&gt;=$G35,GD$8&lt;=$G35+$H35-1),1,""))</f>
        <v/>
      </c>
      <c r="GE35" s="69" t="str">
        <f ca="1">IF(AND($C35="Goal",GE$8&gt;=$G35,GE$8&lt;=$G35+$H35-1),2,IF(AND($C35="Milestone",GE$8&gt;=$G35,GE$8&lt;=$G35+$H35-1),1,""))</f>
        <v/>
      </c>
      <c r="GF35" s="69" t="str">
        <f ca="1">IF(AND($C35="Goal",GF$8&gt;=$G35,GF$8&lt;=$G35+$H35-1),2,IF(AND($C35="Milestone",GF$8&gt;=$G35,GF$8&lt;=$G35+$H35-1),1,""))</f>
        <v/>
      </c>
      <c r="GG35" s="69" t="str">
        <f ca="1">IF(AND($C35="Goal",GG$8&gt;=$G35,GG$8&lt;=$G35+$H35-1),2,IF(AND($C35="Milestone",GG$8&gt;=$G35,GG$8&lt;=$G35+$H35-1),1,""))</f>
        <v/>
      </c>
      <c r="GH35" s="69" t="str">
        <f ca="1">IF(AND($C35="Goal",GH$8&gt;=$G35,GH$8&lt;=$G35+$H35-1),2,IF(AND($C35="Milestone",GH$8&gt;=$G35,GH$8&lt;=$G35+$H35-1),1,""))</f>
        <v/>
      </c>
      <c r="GI35" s="69" t="str">
        <f ca="1">IF(AND($C35="Goal",GI$8&gt;=$G35,GI$8&lt;=$G35+$H35-1),2,IF(AND($C35="Milestone",GI$8&gt;=$G35,GI$8&lt;=$G35+$H35-1),1,""))</f>
        <v/>
      </c>
      <c r="GJ35" s="69" t="str">
        <f ca="1">IF(AND($C35="Goal",GJ$8&gt;=$G35,GJ$8&lt;=$G35+$H35-1),2,IF(AND($C35="Milestone",GJ$8&gt;=$G35,GJ$8&lt;=$G35+$H35-1),1,""))</f>
        <v/>
      </c>
      <c r="GK35" s="69" t="str">
        <f ca="1">IF(AND($C35="Goal",GK$8&gt;=$G35,GK$8&lt;=$G35+$H35-1),2,IF(AND($C35="Milestone",GK$8&gt;=$G35,GK$8&lt;=$G35+$H35-1),1,""))</f>
        <v/>
      </c>
      <c r="GL35" s="69" t="str">
        <f ca="1">IF(AND($C35="Goal",GL$8&gt;=$G35,GL$8&lt;=$G35+$H35-1),2,IF(AND($C35="Milestone",GL$8&gt;=$G35,GL$8&lt;=$G35+$H35-1),1,""))</f>
        <v/>
      </c>
      <c r="GM35" s="69" t="str">
        <f ca="1">IF(AND($C35="Goal",GM$8&gt;=$G35,GM$8&lt;=$G35+$H35-1),2,IF(AND($C35="Milestone",GM$8&gt;=$G35,GM$8&lt;=$G35+$H35-1),1,""))</f>
        <v/>
      </c>
      <c r="GN35" s="69" t="str">
        <f ca="1">IF(AND($C35="Goal",GN$8&gt;=$G35,GN$8&lt;=$G35+$H35-1),2,IF(AND($C35="Milestone",GN$8&gt;=$G35,GN$8&lt;=$G35+$H35-1),1,""))</f>
        <v/>
      </c>
      <c r="GO35" s="69" t="str">
        <f ca="1">IF(AND($C35="Goal",GO$8&gt;=$G35,GO$8&lt;=$G35+$H35-1),2,IF(AND($C35="Milestone",GO$8&gt;=$G35,GO$8&lt;=$G35+$H35-1),1,""))</f>
        <v/>
      </c>
      <c r="GP35" s="69" t="str">
        <f ca="1">IF(AND($C35="Goal",GP$8&gt;=$G35,GP$8&lt;=$G35+$H35-1),2,IF(AND($C35="Milestone",GP$8&gt;=$G35,GP$8&lt;=$G35+$H35-1),1,""))</f>
        <v/>
      </c>
      <c r="GQ35" s="69" t="str">
        <f ca="1">IF(AND($C35="Goal",GQ$8&gt;=$G35,GQ$8&lt;=$G35+$H35-1),2,IF(AND($C35="Milestone",GQ$8&gt;=$G35,GQ$8&lt;=$G35+$H35-1),1,""))</f>
        <v/>
      </c>
      <c r="GR35" s="69" t="str">
        <f ca="1">IF(AND($C35="Goal",GR$8&gt;=$G35,GR$8&lt;=$G35+$H35-1),2,IF(AND($C35="Milestone",GR$8&gt;=$G35,GR$8&lt;=$G35+$H35-1),1,""))</f>
        <v/>
      </c>
      <c r="GS35" s="69" t="str">
        <f ca="1">IF(AND($C35="Goal",GS$8&gt;=$G35,GS$8&lt;=$G35+$H35-1),2,IF(AND($C35="Milestone",GS$8&gt;=$G35,GS$8&lt;=$G35+$H35-1),1,""))</f>
        <v/>
      </c>
      <c r="GT35" s="69" t="str">
        <f ca="1">IF(AND($C35="Goal",GT$8&gt;=$G35,GT$8&lt;=$G35+$H35-1),2,IF(AND($C35="Milestone",GT$8&gt;=$G35,GT$8&lt;=$G35+$H35-1),1,""))</f>
        <v/>
      </c>
      <c r="GU35" s="69" t="str">
        <f ca="1">IF(AND($C35="Goal",GU$8&gt;=$G35,GU$8&lt;=$G35+$H35-1),2,IF(AND($C35="Milestone",GU$8&gt;=$G35,GU$8&lt;=$G35+$H35-1),1,""))</f>
        <v/>
      </c>
      <c r="GV35" s="69" t="str">
        <f ca="1">IF(AND($C35="Goal",GV$8&gt;=$G35,GV$8&lt;=$G35+$H35-1),2,IF(AND($C35="Milestone",GV$8&gt;=$G35,GV$8&lt;=$G35+$H35-1),1,""))</f>
        <v/>
      </c>
      <c r="GW35" s="69" t="str">
        <f ca="1">IF(AND($C35="Goal",GW$8&gt;=$G35,GW$8&lt;=$G35+$H35-1),2,IF(AND($C35="Milestone",GW$8&gt;=$G35,GW$8&lt;=$G35+$H35-1),1,""))</f>
        <v/>
      </c>
      <c r="GX35" s="69" t="str">
        <f ca="1">IF(AND($C35="Goal",GX$8&gt;=$G35,GX$8&lt;=$G35+$H35-1),2,IF(AND($C35="Milestone",GX$8&gt;=$G35,GX$8&lt;=$G35+$H35-1),1,""))</f>
        <v/>
      </c>
      <c r="GY35" s="69" t="str">
        <f ca="1">IF(AND($C35="Goal",GY$8&gt;=$G35,GY$8&lt;=$G35+$H35-1),2,IF(AND($C35="Milestone",GY$8&gt;=$G35,GY$8&lt;=$G35+$H35-1),1,""))</f>
        <v/>
      </c>
      <c r="GZ35" s="69" t="str">
        <f ca="1">IF(AND($C35="Goal",GZ$8&gt;=$G35,GZ$8&lt;=$G35+$H35-1),2,IF(AND($C35="Milestone",GZ$8&gt;=$G35,GZ$8&lt;=$G35+$H35-1),1,""))</f>
        <v/>
      </c>
      <c r="HA35" s="69" t="str">
        <f ca="1">IF(AND($C35="Goal",HA$8&gt;=$G35,HA$8&lt;=$G35+$H35-1),2,IF(AND($C35="Milestone",HA$8&gt;=$G35,HA$8&lt;=$G35+$H35-1),1,""))</f>
        <v/>
      </c>
      <c r="HB35" s="69" t="str">
        <f ca="1">IF(AND($C35="Goal",HB$8&gt;=$G35,HB$8&lt;=$G35+$H35-1),2,IF(AND($C35="Milestone",HB$8&gt;=$G35,HB$8&lt;=$G35+$H35-1),1,""))</f>
        <v/>
      </c>
      <c r="HC35" s="69" t="str">
        <f ca="1">IF(AND($C35="Goal",HC$8&gt;=$G35,HC$8&lt;=$G35+$H35-1),2,IF(AND($C35="Milestone",HC$8&gt;=$G35,HC$8&lt;=$G35+$H35-1),1,""))</f>
        <v/>
      </c>
      <c r="HD35" s="69" t="str">
        <f ca="1">IF(AND($C35="Goal",HD$8&gt;=$G35,HD$8&lt;=$G35+$H35-1),2,IF(AND($C35="Milestone",HD$8&gt;=$G35,HD$8&lt;=$G35+$H35-1),1,""))</f>
        <v/>
      </c>
      <c r="HE35" s="69" t="str">
        <f ca="1">IF(AND($C35="Goal",HE$8&gt;=$G35,HE$8&lt;=$G35+$H35-1),2,IF(AND($C35="Milestone",HE$8&gt;=$G35,HE$8&lt;=$G35+$H35-1),1,""))</f>
        <v/>
      </c>
      <c r="HF35" s="69" t="str">
        <f ca="1">IF(AND($C35="Goal",HF$8&gt;=$G35,HF$8&lt;=$G35+$H35-1),2,IF(AND($C35="Milestone",HF$8&gt;=$G35,HF$8&lt;=$G35+$H35-1),1,""))</f>
        <v/>
      </c>
      <c r="HG35" s="69" t="str">
        <f ca="1">IF(AND($C35="Goal",HG$8&gt;=$G35,HG$8&lt;=$G35+$H35-1),2,IF(AND($C35="Milestone",HG$8&gt;=$G35,HG$8&lt;=$G35+$H35-1),1,""))</f>
        <v/>
      </c>
      <c r="HH35" s="69" t="str">
        <f ca="1">IF(AND($C35="Goal",HH$8&gt;=$G35,HH$8&lt;=$G35+$H35-1),2,IF(AND($C35="Milestone",HH$8&gt;=$G35,HH$8&lt;=$G35+$H35-1),1,""))</f>
        <v/>
      </c>
      <c r="HI35" s="69" t="str">
        <f ca="1">IF(AND($C35="Goal",HI$8&gt;=$G35,HI$8&lt;=$G35+$H35-1),2,IF(AND($C35="Milestone",HI$8&gt;=$G35,HI$8&lt;=$G35+$H35-1),1,""))</f>
        <v/>
      </c>
      <c r="HJ35" s="69" t="str">
        <f ca="1">IF(AND($C35="Goal",HJ$8&gt;=$G35,HJ$8&lt;=$G35+$H35-1),2,IF(AND($C35="Milestone",HJ$8&gt;=$G35,HJ$8&lt;=$G35+$H35-1),1,""))</f>
        <v/>
      </c>
      <c r="HK35" s="69" t="str">
        <f ca="1">IF(AND($C35="Goal",HK$8&gt;=$G35,HK$8&lt;=$G35+$H35-1),2,IF(AND($C35="Milestone",HK$8&gt;=$G35,HK$8&lt;=$G35+$H35-1),1,""))</f>
        <v/>
      </c>
      <c r="HL35" s="69" t="str">
        <f ca="1">IF(AND($C35="Goal",HL$8&gt;=$G35,HL$8&lt;=$G35+$H35-1),2,IF(AND($C35="Milestone",HL$8&gt;=$G35,HL$8&lt;=$G35+$H35-1),1,""))</f>
        <v/>
      </c>
      <c r="HM35" s="69" t="str">
        <f ca="1">IF(AND($C35="Goal",HM$8&gt;=$G35,HM$8&lt;=$G35+$H35-1),2,IF(AND($C35="Milestone",HM$8&gt;=$G35,HM$8&lt;=$G35+$H35-1),1,""))</f>
        <v/>
      </c>
      <c r="HN35" s="69" t="str">
        <f ca="1">IF(AND($C35="Goal",HN$8&gt;=$G35,HN$8&lt;=$G35+$H35-1),2,IF(AND($C35="Milestone",HN$8&gt;=$G35,HN$8&lt;=$G35+$H35-1),1,""))</f>
        <v/>
      </c>
      <c r="HO35" s="69" t="str">
        <f ca="1">IF(AND($C35="Goal",HO$8&gt;=$G35,HO$8&lt;=$G35+$H35-1),2,IF(AND($C35="Milestone",HO$8&gt;=$G35,HO$8&lt;=$G35+$H35-1),1,""))</f>
        <v/>
      </c>
      <c r="HP35" s="69" t="str">
        <f ca="1">IF(AND($C35="Goal",HP$8&gt;=$G35,HP$8&lt;=$G35+$H35-1),2,IF(AND($C35="Milestone",HP$8&gt;=$G35,HP$8&lt;=$G35+$H35-1),1,""))</f>
        <v/>
      </c>
      <c r="HQ35" s="69" t="str">
        <f ca="1">IF(AND($C35="Goal",HQ$8&gt;=$G35,HQ$8&lt;=$G35+$H35-1),2,IF(AND($C35="Milestone",HQ$8&gt;=$G35,HQ$8&lt;=$G35+$H35-1),1,""))</f>
        <v/>
      </c>
      <c r="HR35" s="69" t="str">
        <f ca="1">IF(AND($C35="Goal",HR$8&gt;=$G35,HR$8&lt;=$G35+$H35-1),2,IF(AND($C35="Milestone",HR$8&gt;=$G35,HR$8&lt;=$G35+$H35-1),1,""))</f>
        <v/>
      </c>
      <c r="HS35" s="69" t="str">
        <f ca="1">IF(AND($C35="Goal",HS$8&gt;=$G35,HS$8&lt;=$G35+$H35-1),2,IF(AND($C35="Milestone",HS$8&gt;=$G35,HS$8&lt;=$G35+$H35-1),1,""))</f>
        <v/>
      </c>
      <c r="HT35" s="69" t="str">
        <f ca="1">IF(AND($C35="Goal",HT$8&gt;=$G35,HT$8&lt;=$G35+$H35-1),2,IF(AND($C35="Milestone",HT$8&gt;=$G35,HT$8&lt;=$G35+$H35-1),1,""))</f>
        <v/>
      </c>
      <c r="HU35" s="69" t="str">
        <f ca="1">IF(AND($C35="Goal",HU$8&gt;=$G35,HU$8&lt;=$G35+$H35-1),2,IF(AND($C35="Milestone",HU$8&gt;=$G35,HU$8&lt;=$G35+$H35-1),1,""))</f>
        <v/>
      </c>
      <c r="HV35" s="69" t="str">
        <f ca="1">IF(AND($C35="Goal",HV$8&gt;=$G35,HV$8&lt;=$G35+$H35-1),2,IF(AND($C35="Milestone",HV$8&gt;=$G35,HV$8&lt;=$G35+$H35-1),1,""))</f>
        <v/>
      </c>
      <c r="HW35" s="69" t="str">
        <f ca="1">IF(AND($C35="Goal",HW$8&gt;=$G35,HW$8&lt;=$G35+$H35-1),2,IF(AND($C35="Milestone",HW$8&gt;=$G35,HW$8&lt;=$G35+$H35-1),1,""))</f>
        <v/>
      </c>
      <c r="HX35" s="69" t="str">
        <f ca="1">IF(AND($C35="Goal",HX$8&gt;=$G35,HX$8&lt;=$G35+$H35-1),2,IF(AND($C35="Milestone",HX$8&gt;=$G35,HX$8&lt;=$G35+$H35-1),1,""))</f>
        <v/>
      </c>
      <c r="HY35" s="69" t="str">
        <f ca="1">IF(AND($C35="Goal",HY$8&gt;=$G35,HY$8&lt;=$G35+$H35-1),2,IF(AND($C35="Milestone",HY$8&gt;=$G35,HY$8&lt;=$G35+$H35-1),1,""))</f>
        <v/>
      </c>
      <c r="HZ35" s="69" t="str">
        <f ca="1">IF(AND($C35="Goal",HZ$8&gt;=$G35,HZ$8&lt;=$G35+$H35-1),2,IF(AND($C35="Milestone",HZ$8&gt;=$G35,HZ$8&lt;=$G35+$H35-1),1,""))</f>
        <v/>
      </c>
      <c r="IA35" s="69" t="str">
        <f ca="1">IF(AND($C35="Goal",IA$8&gt;=$G35,IA$8&lt;=$G35+$H35-1),2,IF(AND($C35="Milestone",IA$8&gt;=$G35,IA$8&lt;=$G35+$H35-1),1,""))</f>
        <v/>
      </c>
      <c r="IB35" s="69" t="str">
        <f ca="1">IF(AND($C35="Goal",IB$8&gt;=$G35,IB$8&lt;=$G35+$H35-1),2,IF(AND($C35="Milestone",IB$8&gt;=$G35,IB$8&lt;=$G35+$H35-1),1,""))</f>
        <v/>
      </c>
      <c r="IC35" s="69" t="str">
        <f ca="1">IF(AND($C35="Goal",IC$8&gt;=$G35,IC$8&lt;=$G35+$H35-1),2,IF(AND($C35="Milestone",IC$8&gt;=$G35,IC$8&lt;=$G35+$H35-1),1,""))</f>
        <v/>
      </c>
      <c r="ID35" s="69" t="str">
        <f ca="1">IF(AND($C35="Goal",ID$8&gt;=$G35,ID$8&lt;=$G35+$H35-1),2,IF(AND($C35="Milestone",ID$8&gt;=$G35,ID$8&lt;=$G35+$H35-1),1,""))</f>
        <v/>
      </c>
      <c r="IE35" s="69" t="str">
        <f ca="1">IF(AND($C35="Goal",IE$8&gt;=$G35,IE$8&lt;=$G35+$H35-1),2,IF(AND($C35="Milestone",IE$8&gt;=$G35,IE$8&lt;=$G35+$H35-1),1,""))</f>
        <v/>
      </c>
      <c r="IF35" s="69" t="str">
        <f ca="1">IF(AND($C35="Goal",IF$8&gt;=$G35,IF$8&lt;=$G35+$H35-1),2,IF(AND($C35="Milestone",IF$8&gt;=$G35,IF$8&lt;=$G35+$H35-1),1,""))</f>
        <v/>
      </c>
      <c r="IG35" s="69" t="str">
        <f ca="1">IF(AND($C35="Goal",IG$8&gt;=$G35,IG$8&lt;=$G35+$H35-1),2,IF(AND($C35="Milestone",IG$8&gt;=$G35,IG$8&lt;=$G35+$H35-1),1,""))</f>
        <v/>
      </c>
      <c r="IH35" s="69" t="str">
        <f ca="1">IF(AND($C35="Goal",IH$8&gt;=$G35,IH$8&lt;=$G35+$H35-1),2,IF(AND($C35="Milestone",IH$8&gt;=$G35,IH$8&lt;=$G35+$H35-1),1,""))</f>
        <v/>
      </c>
      <c r="II35" s="69" t="str">
        <f ca="1">IF(AND($C35="Goal",II$8&gt;=$G35,II$8&lt;=$G35+$H35-1),2,IF(AND($C35="Milestone",II$8&gt;=$G35,II$8&lt;=$G35+$H35-1),1,""))</f>
        <v/>
      </c>
      <c r="IJ35" s="69" t="str">
        <f ca="1">IF(AND($C35="Goal",IJ$8&gt;=$G35,IJ$8&lt;=$G35+$H35-1),2,IF(AND($C35="Milestone",IJ$8&gt;=$G35,IJ$8&lt;=$G35+$H35-1),1,""))</f>
        <v/>
      </c>
      <c r="IK35" s="69" t="str">
        <f ca="1">IF(AND($C35="Goal",IK$8&gt;=$G35,IK$8&lt;=$G35+$H35-1),2,IF(AND($C35="Milestone",IK$8&gt;=$G35,IK$8&lt;=$G35+$H35-1),1,""))</f>
        <v/>
      </c>
      <c r="IL35" s="69" t="str">
        <f ca="1">IF(AND($C35="Goal",IL$8&gt;=$G35,IL$8&lt;=$G35+$H35-1),2,IF(AND($C35="Milestone",IL$8&gt;=$G35,IL$8&lt;=$G35+$H35-1),1,""))</f>
        <v/>
      </c>
      <c r="IM35" s="69" t="str">
        <f ca="1">IF(AND($C35="Goal",IM$8&gt;=$G35,IM$8&lt;=$G35+$H35-1),2,IF(AND($C35="Milestone",IM$8&gt;=$G35,IM$8&lt;=$G35+$H35-1),1,""))</f>
        <v/>
      </c>
      <c r="IN35" s="69" t="str">
        <f ca="1">IF(AND($C35="Goal",IN$8&gt;=$G35,IN$8&lt;=$G35+$H35-1),2,IF(AND($C35="Milestone",IN$8&gt;=$G35,IN$8&lt;=$G35+$H35-1),1,""))</f>
        <v/>
      </c>
      <c r="IO35" s="69" t="str">
        <f ca="1">IF(AND($C35="Goal",IO$8&gt;=$G35,IO$8&lt;=$G35+$H35-1),2,IF(AND($C35="Milestone",IO$8&gt;=$G35,IO$8&lt;=$G35+$H35-1),1,""))</f>
        <v/>
      </c>
      <c r="IP35" s="69" t="str">
        <f ca="1">IF(AND($C35="Goal",IP$8&gt;=$G35,IP$8&lt;=$G35+$H35-1),2,IF(AND($C35="Milestone",IP$8&gt;=$G35,IP$8&lt;=$G35+$H35-1),1,""))</f>
        <v/>
      </c>
      <c r="IQ35" s="69" t="str">
        <f ca="1">IF(AND($C35="Goal",IQ$8&gt;=$G35,IQ$8&lt;=$G35+$H35-1),2,IF(AND($C35="Milestone",IQ$8&gt;=$G35,IQ$8&lt;=$G35+$H35-1),1,""))</f>
        <v/>
      </c>
      <c r="IR35" s="69" t="str">
        <f ca="1">IF(AND($C35="Goal",IR$8&gt;=$G35,IR$8&lt;=$G35+$H35-1),2,IF(AND($C35="Milestone",IR$8&gt;=$G35,IR$8&lt;=$G35+$H35-1),1,""))</f>
        <v/>
      </c>
      <c r="IS35" s="69" t="str">
        <f ca="1">IF(AND($C35="Goal",IS$8&gt;=$G35,IS$8&lt;=$G35+$H35-1),2,IF(AND($C35="Milestone",IS$8&gt;=$G35,IS$8&lt;=$G35+$H35-1),1,""))</f>
        <v/>
      </c>
      <c r="IT35" s="69" t="str">
        <f ca="1">IF(AND($C35="Goal",IT$8&gt;=$G35,IT$8&lt;=$G35+$H35-1),2,IF(AND($C35="Milestone",IT$8&gt;=$G35,IT$8&lt;=$G35+$H35-1),1,""))</f>
        <v/>
      </c>
      <c r="IU35" s="69" t="str">
        <f ca="1">IF(AND($C35="Goal",IU$8&gt;=$G35,IU$8&lt;=$G35+$H35-1),2,IF(AND($C35="Milestone",IU$8&gt;=$G35,IU$8&lt;=$G35+$H35-1),1,""))</f>
        <v/>
      </c>
      <c r="IV35" s="69" t="str">
        <f ca="1">IF(AND($C35="Goal",IV$8&gt;=$G35,IV$8&lt;=$G35+$H35-1),2,IF(AND($C35="Milestone",IV$8&gt;=$G35,IV$8&lt;=$G35+$H35-1),1,""))</f>
        <v/>
      </c>
      <c r="IW35" s="69" t="str">
        <f ca="1">IF(AND($C35="Goal",IW$8&gt;=$G35,IW$8&lt;=$G35+$H35-1),2,IF(AND($C35="Milestone",IW$8&gt;=$G35,IW$8&lt;=$G35+$H35-1),1,""))</f>
        <v/>
      </c>
      <c r="IX35" s="69" t="str">
        <f ca="1">IF(AND($C35="Goal",IX$8&gt;=$G35,IX$8&lt;=$G35+$H35-1),2,IF(AND($C35="Milestone",IX$8&gt;=$G35,IX$8&lt;=$G35+$H35-1),1,""))</f>
        <v/>
      </c>
      <c r="IY35" s="69" t="str">
        <f ca="1">IF(AND($C35="Goal",IY$8&gt;=$G35,IY$8&lt;=$G35+$H35-1),2,IF(AND($C35="Milestone",IY$8&gt;=$G35,IY$8&lt;=$G35+$H35-1),1,""))</f>
        <v/>
      </c>
      <c r="IZ35" s="69" t="str">
        <f ca="1">IF(AND($C35="Goal",IZ$8&gt;=$G35,IZ$8&lt;=$G35+$H35-1),2,IF(AND($C35="Milestone",IZ$8&gt;=$G35,IZ$8&lt;=$G35+$H35-1),1,""))</f>
        <v/>
      </c>
      <c r="JA35" s="69" t="str">
        <f ca="1">IF(AND($C35="Goal",JA$8&gt;=$G35,JA$8&lt;=$G35+$H35-1),2,IF(AND($C35="Milestone",JA$8&gt;=$G35,JA$8&lt;=$G35+$H35-1),1,""))</f>
        <v/>
      </c>
      <c r="JB35" s="69" t="str">
        <f ca="1">IF(AND($C35="Goal",JB$8&gt;=$G35,JB$8&lt;=$G35+$H35-1),2,IF(AND($C35="Milestone",JB$8&gt;=$G35,JB$8&lt;=$G35+$H35-1),1,""))</f>
        <v/>
      </c>
      <c r="JC35" s="69" t="str">
        <f ca="1">IF(AND($C35="Goal",JC$8&gt;=$G35,JC$8&lt;=$G35+$H35-1),2,IF(AND($C35="Milestone",JC$8&gt;=$G35,JC$8&lt;=$G35+$H35-1),1,""))</f>
        <v/>
      </c>
      <c r="JD35" s="69" t="str">
        <f ca="1">IF(AND($C35="Goal",JD$8&gt;=$G35,JD$8&lt;=$G35+$H35-1),2,IF(AND($C35="Milestone",JD$8&gt;=$G35,JD$8&lt;=$G35+$H35-1),1,""))</f>
        <v/>
      </c>
      <c r="JE35" s="69" t="str">
        <f ca="1">IF(AND($C35="Goal",JE$8&gt;=$G35,JE$8&lt;=$G35+$H35-1),2,IF(AND($C35="Milestone",JE$8&gt;=$G35,JE$8&lt;=$G35+$H35-1),1,""))</f>
        <v/>
      </c>
      <c r="JF35" s="69" t="str">
        <f ca="1">IF(AND($C35="Goal",JF$8&gt;=$G35,JF$8&lt;=$G35+$H35-1),2,IF(AND($C35="Milestone",JF$8&gt;=$G35,JF$8&lt;=$G35+$H35-1),1,""))</f>
        <v/>
      </c>
      <c r="JG35" s="69" t="str">
        <f ca="1">IF(AND($C35="Goal",JG$8&gt;=$G35,JG$8&lt;=$G35+$H35-1),2,IF(AND($C35="Milestone",JG$8&gt;=$G35,JG$8&lt;=$G35+$H35-1),1,""))</f>
        <v/>
      </c>
      <c r="JH35" s="69" t="str">
        <f ca="1">IF(AND($C35="Goal",JH$8&gt;=$G35,JH$8&lt;=$G35+$H35-1),2,IF(AND($C35="Milestone",JH$8&gt;=$G35,JH$8&lt;=$G35+$H35-1),1,""))</f>
        <v/>
      </c>
      <c r="JI35" s="69" t="str">
        <f ca="1">IF(AND($C35="Goal",JI$8&gt;=$G35,JI$8&lt;=$G35+$H35-1),2,IF(AND($C35="Milestone",JI$8&gt;=$G35,JI$8&lt;=$G35+$H35-1),1,""))</f>
        <v/>
      </c>
      <c r="JJ35" s="69" t="str">
        <f ca="1">IF(AND($C35="Goal",JJ$8&gt;=$G35,JJ$8&lt;=$G35+$H35-1),2,IF(AND($C35="Milestone",JJ$8&gt;=$G35,JJ$8&lt;=$G35+$H35-1),1,""))</f>
        <v/>
      </c>
      <c r="JK35" s="69" t="str">
        <f ca="1">IF(AND($C35="Goal",JK$8&gt;=$G35,JK$8&lt;=$G35+$H35-1),2,IF(AND($C35="Milestone",JK$8&gt;=$G35,JK$8&lt;=$G35+$H35-1),1,""))</f>
        <v/>
      </c>
      <c r="JL35" s="69" t="str">
        <f ca="1">IF(AND($C35="Goal",JL$8&gt;=$G35,JL$8&lt;=$G35+$H35-1),2,IF(AND($C35="Milestone",JL$8&gt;=$G35,JL$8&lt;=$G35+$H35-1),1,""))</f>
        <v/>
      </c>
      <c r="JM35" s="69" t="str">
        <f ca="1">IF(AND($C35="Goal",JM$8&gt;=$G35,JM$8&lt;=$G35+$H35-1),2,IF(AND($C35="Milestone",JM$8&gt;=$G35,JM$8&lt;=$G35+$H35-1),1,""))</f>
        <v/>
      </c>
      <c r="JN35" s="69" t="str">
        <f ca="1">IF(AND($C35="Goal",JN$8&gt;=$G35,JN$8&lt;=$G35+$H35-1),2,IF(AND($C35="Milestone",JN$8&gt;=$G35,JN$8&lt;=$G35+$H35-1),1,""))</f>
        <v/>
      </c>
      <c r="JO35" s="69" t="str">
        <f ca="1">IF(AND($C35="Goal",JO$8&gt;=$G35,JO$8&lt;=$G35+$H35-1),2,IF(AND($C35="Milestone",JO$8&gt;=$G35,JO$8&lt;=$G35+$H35-1),1,""))</f>
        <v/>
      </c>
      <c r="JP35" s="69" t="str">
        <f ca="1">IF(AND($C35="Goal",JP$8&gt;=$G35,JP$8&lt;=$G35+$H35-1),2,IF(AND($C35="Milestone",JP$8&gt;=$G35,JP$8&lt;=$G35+$H35-1),1,""))</f>
        <v/>
      </c>
      <c r="JQ35" s="69" t="str">
        <f ca="1">IF(AND($C35="Goal",JQ$8&gt;=$G35,JQ$8&lt;=$G35+$H35-1),2,IF(AND($C35="Milestone",JQ$8&gt;=$G35,JQ$8&lt;=$G35+$H35-1),1,""))</f>
        <v/>
      </c>
      <c r="JR35" s="69" t="str">
        <f ca="1">IF(AND($C35="Goal",JR$8&gt;=$G35,JR$8&lt;=$G35+$H35-1),2,IF(AND($C35="Milestone",JR$8&gt;=$G35,JR$8&lt;=$G35+$H35-1),1,""))</f>
        <v/>
      </c>
      <c r="JS35" s="69" t="str">
        <f ca="1">IF(AND($C35="Goal",JS$8&gt;=$G35,JS$8&lt;=$G35+$H35-1),2,IF(AND($C35="Milestone",JS$8&gt;=$G35,JS$8&lt;=$G35+$H35-1),1,""))</f>
        <v/>
      </c>
      <c r="JT35" s="69" t="str">
        <f ca="1">IF(AND($C35="Goal",JT$8&gt;=$G35,JT$8&lt;=$G35+$H35-1),2,IF(AND($C35="Milestone",JT$8&gt;=$G35,JT$8&lt;=$G35+$H35-1),1,""))</f>
        <v/>
      </c>
      <c r="JU35" s="69" t="str">
        <f ca="1">IF(AND($C35="Goal",JU$8&gt;=$G35,JU$8&lt;=$G35+$H35-1),2,IF(AND($C35="Milestone",JU$8&gt;=$G35,JU$8&lt;=$G35+$H35-1),1,""))</f>
        <v/>
      </c>
      <c r="JV35" s="69" t="str">
        <f ca="1">IF(AND($C35="Goal",JV$8&gt;=$G35,JV$8&lt;=$G35+$H35-1),2,IF(AND($C35="Milestone",JV$8&gt;=$G35,JV$8&lt;=$G35+$H35-1),1,""))</f>
        <v/>
      </c>
      <c r="JW35" s="69" t="str">
        <f ca="1">IF(AND($C35="Goal",JW$8&gt;=$G35,JW$8&lt;=$G35+$H35-1),2,IF(AND($C35="Milestone",JW$8&gt;=$G35,JW$8&lt;=$G35+$H35-1),1,""))</f>
        <v/>
      </c>
      <c r="JX35" s="69" t="str">
        <f ca="1">IF(AND($C35="Goal",JX$8&gt;=$G35,JX$8&lt;=$G35+$H35-1),2,IF(AND($C35="Milestone",JX$8&gt;=$G35,JX$8&lt;=$G35+$H35-1),1,""))</f>
        <v/>
      </c>
      <c r="JY35" s="69" t="str">
        <f ca="1">IF(AND($C35="Goal",JY$8&gt;=$G35,JY$8&lt;=$G35+$H35-1),2,IF(AND($C35="Milestone",JY$8&gt;=$G35,JY$8&lt;=$G35+$H35-1),1,""))</f>
        <v/>
      </c>
      <c r="JZ35" s="69" t="str">
        <f ca="1">IF(AND($C35="Goal",JZ$8&gt;=$G35,JZ$8&lt;=$G35+$H35-1),2,IF(AND($C35="Milestone",JZ$8&gt;=$G35,JZ$8&lt;=$G35+$H35-1),1,""))</f>
        <v/>
      </c>
      <c r="KA35" s="69" t="str">
        <f ca="1">IF(AND($C35="Goal",KA$8&gt;=$G35,KA$8&lt;=$G35+$H35-1),2,IF(AND($C35="Milestone",KA$8&gt;=$G35,KA$8&lt;=$G35+$H35-1),1,""))</f>
        <v/>
      </c>
      <c r="KB35" s="69" t="str">
        <f ca="1">IF(AND($C35="Goal",KB$8&gt;=$G35,KB$8&lt;=$G35+$H35-1),2,IF(AND($C35="Milestone",KB$8&gt;=$G35,KB$8&lt;=$G35+$H35-1),1,""))</f>
        <v/>
      </c>
      <c r="KC35" s="69" t="str">
        <f ca="1">IF(AND($C35="Goal",KC$8&gt;=$G35,KC$8&lt;=$G35+$H35-1),2,IF(AND($C35="Milestone",KC$8&gt;=$G35,KC$8&lt;=$G35+$H35-1),1,""))</f>
        <v/>
      </c>
      <c r="KD35" s="69" t="str">
        <f ca="1">IF(AND($C35="Goal",KD$8&gt;=$G35,KD$8&lt;=$G35+$H35-1),2,IF(AND($C35="Milestone",KD$8&gt;=$G35,KD$8&lt;=$G35+$H35-1),1,""))</f>
        <v/>
      </c>
      <c r="KE35" s="69" t="str">
        <f ca="1">IF(AND($C35="Goal",KE$8&gt;=$G35,KE$8&lt;=$G35+$H35-1),2,IF(AND($C35="Milestone",KE$8&gt;=$G35,KE$8&lt;=$G35+$H35-1),1,""))</f>
        <v/>
      </c>
      <c r="KF35" s="69" t="str">
        <f ca="1">IF(AND($C35="Goal",KF$8&gt;=$G35,KF$8&lt;=$G35+$H35-1),2,IF(AND($C35="Milestone",KF$8&gt;=$G35,KF$8&lt;=$G35+$H35-1),1,""))</f>
        <v/>
      </c>
      <c r="KG35" s="69" t="str">
        <f ca="1">IF(AND($C35="Goal",KG$8&gt;=$G35,KG$8&lt;=$G35+$H35-1),2,IF(AND($C35="Milestone",KG$8&gt;=$G35,KG$8&lt;=$G35+$H35-1),1,""))</f>
        <v/>
      </c>
      <c r="KH35" s="69" t="str">
        <f ca="1">IF(AND($C35="Goal",KH$8&gt;=$G35,KH$8&lt;=$G35+$H35-1),2,IF(AND($C35="Milestone",KH$8&gt;=$G35,KH$8&lt;=$G35+$H35-1),1,""))</f>
        <v/>
      </c>
      <c r="KI35" s="69" t="str">
        <f ca="1">IF(AND($C35="Goal",KI$8&gt;=$G35,KI$8&lt;=$G35+$H35-1),2,IF(AND($C35="Milestone",KI$8&gt;=$G35,KI$8&lt;=$G35+$H35-1),1,""))</f>
        <v/>
      </c>
      <c r="KJ35" s="69" t="str">
        <f ca="1">IF(AND($C35="Goal",KJ$8&gt;=$G35,KJ$8&lt;=$G35+$H35-1),2,IF(AND($C35="Milestone",KJ$8&gt;=$G35,KJ$8&lt;=$G35+$H35-1),1,""))</f>
        <v/>
      </c>
      <c r="KK35" s="69" t="str">
        <f ca="1">IF(AND($C35="Goal",KK$8&gt;=$G35,KK$8&lt;=$G35+$H35-1),2,IF(AND($C35="Milestone",KK$8&gt;=$G35,KK$8&lt;=$G35+$H35-1),1,""))</f>
        <v/>
      </c>
      <c r="KL35" s="69" t="str">
        <f ca="1">IF(AND($C35="Goal",KL$8&gt;=$G35,KL$8&lt;=$G35+$H35-1),2,IF(AND($C35="Milestone",KL$8&gt;=$G35,KL$8&lt;=$G35+$H35-1),1,""))</f>
        <v/>
      </c>
      <c r="KM35" s="69" t="str">
        <f ca="1">IF(AND($C35="Goal",KM$8&gt;=$G35,KM$8&lt;=$G35+$H35-1),2,IF(AND($C35="Milestone",KM$8&gt;=$G35,KM$8&lt;=$G35+$H35-1),1,""))</f>
        <v/>
      </c>
      <c r="KN35" s="69" t="str">
        <f ca="1">IF(AND($C35="Goal",KN$8&gt;=$G35,KN$8&lt;=$G35+$H35-1),2,IF(AND($C35="Milestone",KN$8&gt;=$G35,KN$8&lt;=$G35+$H35-1),1,""))</f>
        <v/>
      </c>
      <c r="KO35" s="69" t="str">
        <f ca="1">IF(AND($C35="Goal",KO$8&gt;=$G35,KO$8&lt;=$G35+$H35-1),2,IF(AND($C35="Milestone",KO$8&gt;=$G35,KO$8&lt;=$G35+$H35-1),1,""))</f>
        <v/>
      </c>
      <c r="KP35" s="69" t="str">
        <f ca="1">IF(AND($C35="Goal",KP$8&gt;=$G35,KP$8&lt;=$G35+$H35-1),2,IF(AND($C35="Milestone",KP$8&gt;=$G35,KP$8&lt;=$G35+$H35-1),1,""))</f>
        <v/>
      </c>
      <c r="KQ35" s="69" t="str">
        <f ca="1">IF(AND($C35="Goal",KQ$8&gt;=$G35,KQ$8&lt;=$G35+$H35-1),2,IF(AND($C35="Milestone",KQ$8&gt;=$G35,KQ$8&lt;=$G35+$H35-1),1,""))</f>
        <v/>
      </c>
      <c r="KR35" s="69" t="str">
        <f ca="1">IF(AND($C35="Goal",KR$8&gt;=$G35,KR$8&lt;=$G35+$H35-1),2,IF(AND($C35="Milestone",KR$8&gt;=$G35,KR$8&lt;=$G35+$H35-1),1,""))</f>
        <v/>
      </c>
      <c r="KS35" s="69" t="str">
        <f ca="1">IF(AND($C35="Goal",KS$8&gt;=$G35,KS$8&lt;=$G35+$H35-1),2,IF(AND($C35="Milestone",KS$8&gt;=$G35,KS$8&lt;=$G35+$H35-1),1,""))</f>
        <v/>
      </c>
      <c r="KT35" s="69" t="str">
        <f ca="1">IF(AND($C35="Goal",KT$8&gt;=$G35,KT$8&lt;=$G35+$H35-1),2,IF(AND($C35="Milestone",KT$8&gt;=$G35,KT$8&lt;=$G35+$H35-1),1,""))</f>
        <v/>
      </c>
      <c r="KU35" s="69" t="str">
        <f ca="1">IF(AND($C35="Goal",KU$8&gt;=$G35,KU$8&lt;=$G35+$H35-1),2,IF(AND($C35="Milestone",KU$8&gt;=$G35,KU$8&lt;=$G35+$H35-1),1,""))</f>
        <v/>
      </c>
      <c r="KV35" s="69" t="str">
        <f ca="1">IF(AND($C35="Goal",KV$8&gt;=$G35,KV$8&lt;=$G35+$H35-1),2,IF(AND($C35="Milestone",KV$8&gt;=$G35,KV$8&lt;=$G35+$H35-1),1,""))</f>
        <v/>
      </c>
      <c r="KW35" s="69" t="str">
        <f ca="1">IF(AND($C35="Goal",KW$8&gt;=$G35,KW$8&lt;=$G35+$H35-1),2,IF(AND($C35="Milestone",KW$8&gt;=$G35,KW$8&lt;=$G35+$H35-1),1,""))</f>
        <v/>
      </c>
      <c r="KX35" s="69" t="str">
        <f ca="1">IF(AND($C35="Goal",KX$8&gt;=$G35,KX$8&lt;=$G35+$H35-1),2,IF(AND($C35="Milestone",KX$8&gt;=$G35,KX$8&lt;=$G35+$H35-1),1,""))</f>
        <v/>
      </c>
      <c r="KY35" s="69" t="str">
        <f ca="1">IF(AND($C35="Goal",KY$8&gt;=$G35,KY$8&lt;=$G35+$H35-1),2,IF(AND($C35="Milestone",KY$8&gt;=$G35,KY$8&lt;=$G35+$H35-1),1,""))</f>
        <v/>
      </c>
      <c r="KZ35" s="69" t="str">
        <f ca="1">IF(AND($C35="Goal",KZ$8&gt;=$G35,KZ$8&lt;=$G35+$H35-1),2,IF(AND($C35="Milestone",KZ$8&gt;=$G35,KZ$8&lt;=$G35+$H35-1),1,""))</f>
        <v/>
      </c>
      <c r="LA35" s="69" t="str">
        <f ca="1">IF(AND($C35="Goal",LA$8&gt;=$G35,LA$8&lt;=$G35+$H35-1),2,IF(AND($C35="Milestone",LA$8&gt;=$G35,LA$8&lt;=$G35+$H35-1),1,""))</f>
        <v/>
      </c>
      <c r="LB35" s="69" t="str">
        <f ca="1">IF(AND($C35="Goal",LB$8&gt;=$G35,LB$8&lt;=$G35+$H35-1),2,IF(AND($C35="Milestone",LB$8&gt;=$G35,LB$8&lt;=$G35+$H35-1),1,""))</f>
        <v/>
      </c>
      <c r="LC35" s="69" t="str">
        <f ca="1">IF(AND($C35="Goal",LC$8&gt;=$G35,LC$8&lt;=$G35+$H35-1),2,IF(AND($C35="Milestone",LC$8&gt;=$G35,LC$8&lt;=$G35+$H35-1),1,""))</f>
        <v/>
      </c>
      <c r="LD35" s="69" t="str">
        <f ca="1">IF(AND($C35="Goal",LD$8&gt;=$G35,LD$8&lt;=$G35+$H35-1),2,IF(AND($C35="Milestone",LD$8&gt;=$G35,LD$8&lt;=$G35+$H35-1),1,""))</f>
        <v/>
      </c>
      <c r="LE35" s="69" t="str">
        <f ca="1">IF(AND($C35="Goal",LE$8&gt;=$G35,LE$8&lt;=$G35+$H35-1),2,IF(AND($C35="Milestone",LE$8&gt;=$G35,LE$8&lt;=$G35+$H35-1),1,""))</f>
        <v/>
      </c>
      <c r="LF35" s="69" t="str">
        <f ca="1">IF(AND($C35="Goal",LF$8&gt;=$G35,LF$8&lt;=$G35+$H35-1),2,IF(AND($C35="Milestone",LF$8&gt;=$G35,LF$8&lt;=$G35+$H35-1),1,""))</f>
        <v/>
      </c>
      <c r="LG35" s="69" t="str">
        <f ca="1">IF(AND($C35="Goal",LG$8&gt;=$G35,LG$8&lt;=$G35+$H35-1),2,IF(AND($C35="Milestone",LG$8&gt;=$G35,LG$8&lt;=$G35+$H35-1),1,""))</f>
        <v/>
      </c>
      <c r="LH35" s="69" t="str">
        <f ca="1">IF(AND($C35="Goal",LH$8&gt;=$G35,LH$8&lt;=$G35+$H35-1),2,IF(AND($C35="Milestone",LH$8&gt;=$G35,LH$8&lt;=$G35+$H35-1),1,""))</f>
        <v/>
      </c>
      <c r="LI35" s="69" t="str">
        <f ca="1">IF(AND($C35="Goal",LI$8&gt;=$G35,LI$8&lt;=$G35+$H35-1),2,IF(AND($C35="Milestone",LI$8&gt;=$G35,LI$8&lt;=$G35+$H35-1),1,""))</f>
        <v/>
      </c>
      <c r="LJ35" s="69" t="str">
        <f ca="1">IF(AND($C35="Goal",LJ$8&gt;=$G35,LJ$8&lt;=$G35+$H35-1),2,IF(AND($C35="Milestone",LJ$8&gt;=$G35,LJ$8&lt;=$G35+$H35-1),1,""))</f>
        <v/>
      </c>
      <c r="LK35" s="69" t="str">
        <f ca="1">IF(AND($C35="Goal",LK$8&gt;=$G35,LK$8&lt;=$G35+$H35-1),2,IF(AND($C35="Milestone",LK$8&gt;=$G35,LK$8&lt;=$G35+$H35-1),1,""))</f>
        <v/>
      </c>
      <c r="LL35" s="69" t="str">
        <f ca="1">IF(AND($C35="Goal",LL$8&gt;=$G35,LL$8&lt;=$G35+$H35-1),2,IF(AND($C35="Milestone",LL$8&gt;=$G35,LL$8&lt;=$G35+$H35-1),1,""))</f>
        <v/>
      </c>
      <c r="LM35" s="69" t="str">
        <f ca="1">IF(AND($C35="Goal",LM$8&gt;=$G35,LM$8&lt;=$G35+$H35-1),2,IF(AND($C35="Milestone",LM$8&gt;=$G35,LM$8&lt;=$G35+$H35-1),1,""))</f>
        <v/>
      </c>
      <c r="LN35" s="69" t="str">
        <f ca="1">IF(AND($C35="Goal",LN$8&gt;=$G35,LN$8&lt;=$G35+$H35-1),2,IF(AND($C35="Milestone",LN$8&gt;=$G35,LN$8&lt;=$G35+$H35-1),1,""))</f>
        <v/>
      </c>
      <c r="LO35" s="69" t="str">
        <f ca="1">IF(AND($C35="Goal",LO$8&gt;=$G35,LO$8&lt;=$G35+$H35-1),2,IF(AND($C35="Milestone",LO$8&gt;=$G35,LO$8&lt;=$G35+$H35-1),1,""))</f>
        <v/>
      </c>
      <c r="LP35" s="69" t="str">
        <f ca="1">IF(AND($C35="Goal",LP$8&gt;=$G35,LP$8&lt;=$G35+$H35-1),2,IF(AND($C35="Milestone",LP$8&gt;=$G35,LP$8&lt;=$G35+$H35-1),1,""))</f>
        <v/>
      </c>
      <c r="LQ35" s="69" t="str">
        <f ca="1">IF(AND($C35="Goal",LQ$8&gt;=$G35,LQ$8&lt;=$G35+$H35-1),2,IF(AND($C35="Milestone",LQ$8&gt;=$G35,LQ$8&lt;=$G35+$H35-1),1,""))</f>
        <v/>
      </c>
      <c r="LR35" s="69" t="str">
        <f ca="1">IF(AND($C35="Goal",LR$8&gt;=$G35,LR$8&lt;=$G35+$H35-1),2,IF(AND($C35="Milestone",LR$8&gt;=$G35,LR$8&lt;=$G35+$H35-1),1,""))</f>
        <v/>
      </c>
      <c r="LS35" s="69" t="str">
        <f ca="1">IF(AND($C35="Goal",LS$8&gt;=$G35,LS$8&lt;=$G35+$H35-1),2,IF(AND($C35="Milestone",LS$8&gt;=$G35,LS$8&lt;=$G35+$H35-1),1,""))</f>
        <v/>
      </c>
      <c r="LT35" s="69" t="str">
        <f ca="1">IF(AND($C35="Goal",LT$8&gt;=$G35,LT$8&lt;=$G35+$H35-1),2,IF(AND($C35="Milestone",LT$8&gt;=$G35,LT$8&lt;=$G35+$H35-1),1,""))</f>
        <v/>
      </c>
      <c r="LU35" s="69" t="str">
        <f ca="1">IF(AND($C35="Goal",LU$8&gt;=$G35,LU$8&lt;=$G35+$H35-1),2,IF(AND($C35="Milestone",LU$8&gt;=$G35,LU$8&lt;=$G35+$H35-1),1,""))</f>
        <v/>
      </c>
      <c r="LV35" s="69" t="str">
        <f ca="1">IF(AND($C35="Goal",LV$8&gt;=$G35,LV$8&lt;=$G35+$H35-1),2,IF(AND($C35="Milestone",LV$8&gt;=$G35,LV$8&lt;=$G35+$H35-1),1,""))</f>
        <v/>
      </c>
      <c r="LW35" s="69" t="str">
        <f ca="1">IF(AND($C35="Goal",LW$8&gt;=$G35,LW$8&lt;=$G35+$H35-1),2,IF(AND($C35="Milestone",LW$8&gt;=$G35,LW$8&lt;=$G35+$H35-1),1,""))</f>
        <v/>
      </c>
      <c r="LX35" s="69" t="str">
        <f ca="1">IF(AND($C35="Goal",LX$8&gt;=$G35,LX$8&lt;=$G35+$H35-1),2,IF(AND($C35="Milestone",LX$8&gt;=$G35,LX$8&lt;=$G35+$H35-1),1,""))</f>
        <v/>
      </c>
    </row>
    <row r="36" spans="1:336" s="1" customFormat="1" ht="25.25" customHeight="1" x14ac:dyDescent="0.25">
      <c r="A36" s="6"/>
      <c r="B36" s="47" t="s">
        <v>38</v>
      </c>
      <c r="C36" s="58"/>
      <c r="D36" s="58" t="str">
        <f ca="1">IF(G36="","",
IF(G36+Milestones4352[[#This Row],[Days]]="","",
IF(OR(F36=1,F36=100%),"Complete",
CHOOSE(
  1
  + --(((1-IF(F36&gt;1,F36/100,F36))*POWER(2.718281828,(60-MAX(0,G36+Milestones4352[[#This Row],[Days]]-TODAY()))/12))&gt;=0.6)
  + --(((1-IF(F36&gt;1,F36/100,F36))*POWER(2.718281828,(60-MAX(0,G36+Milestones4352[[#This Row],[Days]]-TODAY()))/12))&gt;=1.2)
  + --(((1-IF(F36&gt;1,F36/100,F36))*POWER(2.718281828,(60-MAX(0,G36+Milestones4352[[#This Row],[Days]]-TODAY()))/12))&gt;=2),
  "On track","Low risk","Medium risk","High risk"
))))</f>
        <v>On track</v>
      </c>
      <c r="E36" s="58"/>
      <c r="F36" s="56">
        <v>0</v>
      </c>
      <c r="G36" s="70">
        <f t="shared" ref="G36:G37" si="212">G35+H35</f>
        <v>46094</v>
      </c>
      <c r="H36" s="57">
        <v>14</v>
      </c>
      <c r="I36" s="57">
        <f t="shared" si="207"/>
        <v>11</v>
      </c>
      <c r="J36" s="12">
        <f ca="1">IF(OR(Milestones4352[[#This Row],[Start]]="",Milestones4352[[#This Row],[Days]]=""),"",(Milestones4352[[#This Row],[Start]]+Milestones4352[[#This Row],[Days]])-TODAY())</f>
        <v>159</v>
      </c>
      <c r="K36" s="9"/>
      <c r="L36" s="69" t="str">
        <f ca="1">IF(AND($C36="Goal",L$8&gt;=$G36,L$8&lt;=$G36+$H36-1),2,IF(AND($C36="Milestone",L$8&gt;=$G36,L$8&lt;=$G36+$H36-1),1,""))</f>
        <v/>
      </c>
      <c r="M36" s="69" t="str">
        <f ca="1">IF(AND($C36="Goal",M$8&gt;=$G36,M$8&lt;=$G36+$H36-1),2,IF(AND($C36="Milestone",M$8&gt;=$G36,M$8&lt;=$G36+$H36-1),1,""))</f>
        <v/>
      </c>
      <c r="N36" s="69" t="str">
        <f ca="1">IF(AND($C36="Goal",N$8&gt;=$G36,N$8&lt;=$G36+$H36-1),2,IF(AND($C36="Milestone",N$8&gt;=$G36,N$8&lt;=$G36+$H36-1),1,""))</f>
        <v/>
      </c>
      <c r="O36" s="69" t="str">
        <f ca="1">IF(AND($C36="Goal",O$8&gt;=$G36,O$8&lt;=$G36+$H36-1),2,IF(AND($C36="Milestone",O$8&gt;=$G36,O$8&lt;=$G36+$H36-1),1,""))</f>
        <v/>
      </c>
      <c r="P36" s="69" t="str">
        <f ca="1">IF(AND($C36="Goal",P$8&gt;=$G36,P$8&lt;=$G36+$H36-1),2,IF(AND($C36="Milestone",P$8&gt;=$G36,P$8&lt;=$G36+$H36-1),1,""))</f>
        <v/>
      </c>
      <c r="Q36" s="69" t="str">
        <f ca="1">IF(AND($C36="Goal",Q$8&gt;=$G36,Q$8&lt;=$G36+$H36-1),2,IF(AND($C36="Milestone",Q$8&gt;=$G36,Q$8&lt;=$G36+$H36-1),1,""))</f>
        <v/>
      </c>
      <c r="R36" s="69" t="str">
        <f ca="1">IF(AND($C36="Goal",R$8&gt;=$G36,R$8&lt;=$G36+$H36-1),2,IF(AND($C36="Milestone",R$8&gt;=$G36,R$8&lt;=$G36+$H36-1),1,""))</f>
        <v/>
      </c>
      <c r="S36" s="69" t="str">
        <f ca="1">IF(AND($C36="Goal",S$8&gt;=$G36,S$8&lt;=$G36+$H36-1),2,IF(AND($C36="Milestone",S$8&gt;=$G36,S$8&lt;=$G36+$H36-1),1,""))</f>
        <v/>
      </c>
      <c r="T36" s="69" t="str">
        <f ca="1">IF(AND($C36="Goal",T$8&gt;=$G36,T$8&lt;=$G36+$H36-1),2,IF(AND($C36="Milestone",T$8&gt;=$G36,T$8&lt;=$G36+$H36-1),1,""))</f>
        <v/>
      </c>
      <c r="U36" s="69" t="str">
        <f ca="1">IF(AND($C36="Goal",U$8&gt;=$G36,U$8&lt;=$G36+$H36-1),2,IF(AND($C36="Milestone",U$8&gt;=$G36,U$8&lt;=$G36+$H36-1),1,""))</f>
        <v/>
      </c>
      <c r="V36" s="69" t="str">
        <f ca="1">IF(AND($C36="Goal",V$8&gt;=$G36,V$8&lt;=$G36+$H36-1),2,IF(AND($C36="Milestone",V$8&gt;=$G36,V$8&lt;=$G36+$H36-1),1,""))</f>
        <v/>
      </c>
      <c r="W36" s="69" t="str">
        <f ca="1">IF(AND($C36="Goal",W$8&gt;=$G36,W$8&lt;=$G36+$H36-1),2,IF(AND($C36="Milestone",W$8&gt;=$G36,W$8&lt;=$G36+$H36-1),1,""))</f>
        <v/>
      </c>
      <c r="X36" s="69" t="str">
        <f ca="1">IF(AND($C36="Goal",X$8&gt;=$G36,X$8&lt;=$G36+$H36-1),2,IF(AND($C36="Milestone",X$8&gt;=$G36,X$8&lt;=$G36+$H36-1),1,""))</f>
        <v/>
      </c>
      <c r="Y36" s="69" t="str">
        <f ca="1">IF(AND($C36="Goal",Y$8&gt;=$G36,Y$8&lt;=$G36+$H36-1),2,IF(AND($C36="Milestone",Y$8&gt;=$G36,Y$8&lt;=$G36+$H36-1),1,""))</f>
        <v/>
      </c>
      <c r="Z36" s="69" t="str">
        <f ca="1">IF(AND($C36="Goal",Z$8&gt;=$G36,Z$8&lt;=$G36+$H36-1),2,IF(AND($C36="Milestone",Z$8&gt;=$G36,Z$8&lt;=$G36+$H36-1),1,""))</f>
        <v/>
      </c>
      <c r="AA36" s="69" t="str">
        <f ca="1">IF(AND($C36="Goal",AA$8&gt;=$G36,AA$8&lt;=$G36+$H36-1),2,IF(AND($C36="Milestone",AA$8&gt;=$G36,AA$8&lt;=$G36+$H36-1),1,""))</f>
        <v/>
      </c>
      <c r="AB36" s="69" t="str">
        <f ca="1">IF(AND($C36="Goal",AB$8&gt;=$G36,AB$8&lt;=$G36+$H36-1),2,IF(AND($C36="Milestone",AB$8&gt;=$G36,AB$8&lt;=$G36+$H36-1),1,""))</f>
        <v/>
      </c>
      <c r="AC36" s="69" t="str">
        <f ca="1">IF(AND($C36="Goal",AC$8&gt;=$G36,AC$8&lt;=$G36+$H36-1),2,IF(AND($C36="Milestone",AC$8&gt;=$G36,AC$8&lt;=$G36+$H36-1),1,""))</f>
        <v/>
      </c>
      <c r="AD36" s="69" t="str">
        <f ca="1">IF(AND($C36="Goal",AD$8&gt;=$G36,AD$8&lt;=$G36+$H36-1),2,IF(AND($C36="Milestone",AD$8&gt;=$G36,AD$8&lt;=$G36+$H36-1),1,""))</f>
        <v/>
      </c>
      <c r="AE36" s="69" t="str">
        <f ca="1">IF(AND($C36="Goal",AE$8&gt;=$G36,AE$8&lt;=$G36+$H36-1),2,IF(AND($C36="Milestone",AE$8&gt;=$G36,AE$8&lt;=$G36+$H36-1),1,""))</f>
        <v/>
      </c>
      <c r="AF36" s="69" t="str">
        <f ca="1">IF(AND($C36="Goal",AF$8&gt;=$G36,AF$8&lt;=$G36+$H36-1),2,IF(AND($C36="Milestone",AF$8&gt;=$G36,AF$8&lt;=$G36+$H36-1),1,""))</f>
        <v/>
      </c>
      <c r="AG36" s="69" t="str">
        <f ca="1">IF(AND($C36="Goal",AG$8&gt;=$G36,AG$8&lt;=$G36+$H36-1),2,IF(AND($C36="Milestone",AG$8&gt;=$G36,AG$8&lt;=$G36+$H36-1),1,""))</f>
        <v/>
      </c>
      <c r="AH36" s="69" t="str">
        <f ca="1">IF(AND($C36="Goal",AH$8&gt;=$G36,AH$8&lt;=$G36+$H36-1),2,IF(AND($C36="Milestone",AH$8&gt;=$G36,AH$8&lt;=$G36+$H36-1),1,""))</f>
        <v/>
      </c>
      <c r="AI36" s="69" t="str">
        <f ca="1">IF(AND($C36="Goal",AI$8&gt;=$G36,AI$8&lt;=$G36+$H36-1),2,IF(AND($C36="Milestone",AI$8&gt;=$G36,AI$8&lt;=$G36+$H36-1),1,""))</f>
        <v/>
      </c>
      <c r="AJ36" s="69" t="str">
        <f ca="1">IF(AND($C36="Goal",AJ$8&gt;=$G36,AJ$8&lt;=$G36+$H36-1),2,IF(AND($C36="Milestone",AJ$8&gt;=$G36,AJ$8&lt;=$G36+$H36-1),1,""))</f>
        <v/>
      </c>
      <c r="AK36" s="69" t="str">
        <f ca="1">IF(AND($C36="Goal",AK$8&gt;=$G36,AK$8&lt;=$G36+$H36-1),2,IF(AND($C36="Milestone",AK$8&gt;=$G36,AK$8&lt;=$G36+$H36-1),1,""))</f>
        <v/>
      </c>
      <c r="AL36" s="69" t="str">
        <f ca="1">IF(AND($C36="Goal",AL$8&gt;=$G36,AL$8&lt;=$G36+$H36-1),2,IF(AND($C36="Milestone",AL$8&gt;=$G36,AL$8&lt;=$G36+$H36-1),1,""))</f>
        <v/>
      </c>
      <c r="AM36" s="69" t="str">
        <f ca="1">IF(AND($C36="Goal",AM$8&gt;=$G36,AM$8&lt;=$G36+$H36-1),2,IF(AND($C36="Milestone",AM$8&gt;=$G36,AM$8&lt;=$G36+$H36-1),1,""))</f>
        <v/>
      </c>
      <c r="AN36" s="69" t="str">
        <f ca="1">IF(AND($C36="Goal",AN$8&gt;=$G36,AN$8&lt;=$G36+$H36-1),2,IF(AND($C36="Milestone",AN$8&gt;=$G36,AN$8&lt;=$G36+$H36-1),1,""))</f>
        <v/>
      </c>
      <c r="AO36" s="69" t="str">
        <f ca="1">IF(AND($C36="Goal",AO$8&gt;=$G36,AO$8&lt;=$G36+$H36-1),2,IF(AND($C36="Milestone",AO$8&gt;=$G36,AO$8&lt;=$G36+$H36-1),1,""))</f>
        <v/>
      </c>
      <c r="AP36" s="69" t="str">
        <f ca="1">IF(AND($C36="Goal",AP$8&gt;=$G36,AP$8&lt;=$G36+$H36-1),2,IF(AND($C36="Milestone",AP$8&gt;=$G36,AP$8&lt;=$G36+$H36-1),1,""))</f>
        <v/>
      </c>
      <c r="AQ36" s="69" t="str">
        <f ca="1">IF(AND($C36="Goal",AQ$8&gt;=$G36,AQ$8&lt;=$G36+$H36-1),2,IF(AND($C36="Milestone",AQ$8&gt;=$G36,AQ$8&lt;=$G36+$H36-1),1,""))</f>
        <v/>
      </c>
      <c r="AR36" s="69" t="str">
        <f ca="1">IF(AND($C36="Goal",AR$8&gt;=$G36,AR$8&lt;=$G36+$H36-1),2,IF(AND($C36="Milestone",AR$8&gt;=$G36,AR$8&lt;=$G36+$H36-1),1,""))</f>
        <v/>
      </c>
      <c r="AS36" s="69" t="str">
        <f ca="1">IF(AND($C36="Goal",AS$8&gt;=$G36,AS$8&lt;=$G36+$H36-1),2,IF(AND($C36="Milestone",AS$8&gt;=$G36,AS$8&lt;=$G36+$H36-1),1,""))</f>
        <v/>
      </c>
      <c r="AT36" s="69" t="str">
        <f ca="1">IF(AND($C36="Goal",AT$8&gt;=$G36,AT$8&lt;=$G36+$H36-1),2,IF(AND($C36="Milestone",AT$8&gt;=$G36,AT$8&lt;=$G36+$H36-1),1,""))</f>
        <v/>
      </c>
      <c r="AU36" s="69" t="str">
        <f ca="1">IF(AND($C36="Goal",AU$8&gt;=$G36,AU$8&lt;=$G36+$H36-1),2,IF(AND($C36="Milestone",AU$8&gt;=$G36,AU$8&lt;=$G36+$H36-1),1,""))</f>
        <v/>
      </c>
      <c r="AV36" s="69" t="str">
        <f ca="1">IF(AND($C36="Goal",AV$8&gt;=$G36,AV$8&lt;=$G36+$H36-1),2,IF(AND($C36="Milestone",AV$8&gt;=$G36,AV$8&lt;=$G36+$H36-1),1,""))</f>
        <v/>
      </c>
      <c r="AW36" s="69" t="str">
        <f ca="1">IF(AND($C36="Goal",AW$8&gt;=$G36,AW$8&lt;=$G36+$H36-1),2,IF(AND($C36="Milestone",AW$8&gt;=$G36,AW$8&lt;=$G36+$H36-1),1,""))</f>
        <v/>
      </c>
      <c r="AX36" s="69" t="str">
        <f ca="1">IF(AND($C36="Goal",AX$8&gt;=$G36,AX$8&lt;=$G36+$H36-1),2,IF(AND($C36="Milestone",AX$8&gt;=$G36,AX$8&lt;=$G36+$H36-1),1,""))</f>
        <v/>
      </c>
      <c r="AY36" s="69" t="str">
        <f ca="1">IF(AND($C36="Goal",AY$8&gt;=$G36,AY$8&lt;=$G36+$H36-1),2,IF(AND($C36="Milestone",AY$8&gt;=$G36,AY$8&lt;=$G36+$H36-1),1,""))</f>
        <v/>
      </c>
      <c r="AZ36" s="69" t="str">
        <f ca="1">IF(AND($C36="Goal",AZ$8&gt;=$G36,AZ$8&lt;=$G36+$H36-1),2,IF(AND($C36="Milestone",AZ$8&gt;=$G36,AZ$8&lt;=$G36+$H36-1),1,""))</f>
        <v/>
      </c>
      <c r="BA36" s="69" t="str">
        <f ca="1">IF(AND($C36="Goal",BA$8&gt;=$G36,BA$8&lt;=$G36+$H36-1),2,IF(AND($C36="Milestone",BA$8&gt;=$G36,BA$8&lt;=$G36+$H36-1),1,""))</f>
        <v/>
      </c>
      <c r="BB36" s="69" t="str">
        <f ca="1">IF(AND($C36="Goal",BB$8&gt;=$G36,BB$8&lt;=$G36+$H36-1),2,IF(AND($C36="Milestone",BB$8&gt;=$G36,BB$8&lt;=$G36+$H36-1),1,""))</f>
        <v/>
      </c>
      <c r="BC36" s="69" t="str">
        <f ca="1">IF(AND($C36="Goal",BC$8&gt;=$G36,BC$8&lt;=$G36+$H36-1),2,IF(AND($C36="Milestone",BC$8&gt;=$G36,BC$8&lt;=$G36+$H36-1),1,""))</f>
        <v/>
      </c>
      <c r="BD36" s="69" t="str">
        <f ca="1">IF(AND($C36="Goal",BD$8&gt;=$G36,BD$8&lt;=$G36+$H36-1),2,IF(AND($C36="Milestone",BD$8&gt;=$G36,BD$8&lt;=$G36+$H36-1),1,""))</f>
        <v/>
      </c>
      <c r="BE36" s="69" t="str">
        <f ca="1">IF(AND($C36="Goal",BE$8&gt;=$G36,BE$8&lt;=$G36+$H36-1),2,IF(AND($C36="Milestone",BE$8&gt;=$G36,BE$8&lt;=$G36+$H36-1),1,""))</f>
        <v/>
      </c>
      <c r="BF36" s="69" t="str">
        <f ca="1">IF(AND($C36="Goal",BF$8&gt;=$G36,BF$8&lt;=$G36+$H36-1),2,IF(AND($C36="Milestone",BF$8&gt;=$G36,BF$8&lt;=$G36+$H36-1),1,""))</f>
        <v/>
      </c>
      <c r="BG36" s="69" t="str">
        <f ca="1">IF(AND($C36="Goal",BG$8&gt;=$G36,BG$8&lt;=$G36+$H36-1),2,IF(AND($C36="Milestone",BG$8&gt;=$G36,BG$8&lt;=$G36+$H36-1),1,""))</f>
        <v/>
      </c>
      <c r="BH36" s="69" t="str">
        <f ca="1">IF(AND($C36="Goal",BH$8&gt;=$G36,BH$8&lt;=$G36+$H36-1),2,IF(AND($C36="Milestone",BH$8&gt;=$G36,BH$8&lt;=$G36+$H36-1),1,""))</f>
        <v/>
      </c>
      <c r="BI36" s="69" t="str">
        <f ca="1">IF(AND($C36="Goal",BI$8&gt;=$G36,BI$8&lt;=$G36+$H36-1),2,IF(AND($C36="Milestone",BI$8&gt;=$G36,BI$8&lt;=$G36+$H36-1),1,""))</f>
        <v/>
      </c>
      <c r="BJ36" s="69" t="str">
        <f ca="1">IF(AND($C36="Goal",BJ$8&gt;=$G36,BJ$8&lt;=$G36+$H36-1),2,IF(AND($C36="Milestone",BJ$8&gt;=$G36,BJ$8&lt;=$G36+$H36-1),1,""))</f>
        <v/>
      </c>
      <c r="BK36" s="69" t="str">
        <f ca="1">IF(AND($C36="Goal",BK$8&gt;=$G36,BK$8&lt;=$G36+$H36-1),2,IF(AND($C36="Milestone",BK$8&gt;=$G36,BK$8&lt;=$G36+$H36-1),1,""))</f>
        <v/>
      </c>
      <c r="BL36" s="69" t="str">
        <f ca="1">IF(AND($C36="Goal",BL$8&gt;=$G36,BL$8&lt;=$G36+$H36-1),2,IF(AND($C36="Milestone",BL$8&gt;=$G36,BL$8&lt;=$G36+$H36-1),1,""))</f>
        <v/>
      </c>
      <c r="BM36" s="69" t="str">
        <f ca="1">IF(AND($C36="Goal",BM$8&gt;=$G36,BM$8&lt;=$G36+$H36-1),2,IF(AND($C36="Milestone",BM$8&gt;=$G36,BM$8&lt;=$G36+$H36-1),1,""))</f>
        <v/>
      </c>
      <c r="BN36" s="69" t="str">
        <f ca="1">IF(AND($C36="Goal",BN$8&gt;=$G36,BN$8&lt;=$G36+$H36-1),2,IF(AND($C36="Milestone",BN$8&gt;=$G36,BN$8&lt;=$G36+$H36-1),1,""))</f>
        <v/>
      </c>
      <c r="BO36" s="69" t="str">
        <f ca="1">IF(AND($C36="Goal",BO$8&gt;=$G36,BO$8&lt;=$G36+$H36-1),2,IF(AND($C36="Milestone",BO$8&gt;=$G36,BO$8&lt;=$G36+$H36-1),1,""))</f>
        <v/>
      </c>
      <c r="BP36" s="69" t="str">
        <f ca="1">IF(AND($C36="Goal",BP$8&gt;=$G36,BP$8&lt;=$G36+$H36-1),2,IF(AND($C36="Milestone",BP$8&gt;=$G36,BP$8&lt;=$G36+$H36-1),1,""))</f>
        <v/>
      </c>
      <c r="BQ36" s="69" t="str">
        <f ca="1">IF(AND($C36="Goal",BQ$8&gt;=$G36,BQ$8&lt;=$G36+$H36-1),2,IF(AND($C36="Milestone",BQ$8&gt;=$G36,BQ$8&lt;=$G36+$H36-1),1,""))</f>
        <v/>
      </c>
      <c r="BR36" s="69" t="str">
        <f ca="1">IF(AND($C36="Goal",BR$8&gt;=$G36,BR$8&lt;=$G36+$H36-1),2,IF(AND($C36="Milestone",BR$8&gt;=$G36,BR$8&lt;=$G36+$H36-1),1,""))</f>
        <v/>
      </c>
      <c r="BS36" s="69" t="str">
        <f ca="1">IF(AND($C36="Goal",BS$8&gt;=$G36,BS$8&lt;=$G36+$H36-1),2,IF(AND($C36="Milestone",BS$8&gt;=$G36,BS$8&lt;=$G36+$H36-1),1,""))</f>
        <v/>
      </c>
      <c r="BT36" s="69" t="str">
        <f ca="1">IF(AND($C36="Goal",BT$8&gt;=$G36,BT$8&lt;=$G36+$H36-1),2,IF(AND($C36="Milestone",BT$8&gt;=$G36,BT$8&lt;=$G36+$H36-1),1,""))</f>
        <v/>
      </c>
      <c r="BU36" s="69" t="str">
        <f ca="1">IF(AND($C36="Goal",BU$8&gt;=$G36,BU$8&lt;=$G36+$H36-1),2,IF(AND($C36="Milestone",BU$8&gt;=$G36,BU$8&lt;=$G36+$H36-1),1,""))</f>
        <v/>
      </c>
      <c r="BV36" s="69" t="str">
        <f ca="1">IF(AND($C36="Goal",BV$8&gt;=$G36,BV$8&lt;=$G36+$H36-1),2,IF(AND($C36="Milestone",BV$8&gt;=$G36,BV$8&lt;=$G36+$H36-1),1,""))</f>
        <v/>
      </c>
      <c r="BW36" s="69" t="str">
        <f ca="1">IF(AND($C36="Goal",BW$8&gt;=$G36,BW$8&lt;=$G36+$H36-1),2,IF(AND($C36="Milestone",BW$8&gt;=$G36,BW$8&lt;=$G36+$H36-1),1,""))</f>
        <v/>
      </c>
      <c r="BX36" s="69" t="str">
        <f ca="1">IF(AND($C36="Goal",BX$8&gt;=$G36,BX$8&lt;=$G36+$H36-1),2,IF(AND($C36="Milestone",BX$8&gt;=$G36,BX$8&lt;=$G36+$H36-1),1,""))</f>
        <v/>
      </c>
      <c r="BY36" s="69" t="str">
        <f ca="1">IF(AND($C36="Goal",BY$8&gt;=$G36,BY$8&lt;=$G36+$H36-1),2,IF(AND($C36="Milestone",BY$8&gt;=$G36,BY$8&lt;=$G36+$H36-1),1,""))</f>
        <v/>
      </c>
      <c r="BZ36" s="69" t="str">
        <f ca="1">IF(AND($C36="Goal",BZ$8&gt;=$G36,BZ$8&lt;=$G36+$H36-1),2,IF(AND($C36="Milestone",BZ$8&gt;=$G36,BZ$8&lt;=$G36+$H36-1),1,""))</f>
        <v/>
      </c>
      <c r="CA36" s="69" t="str">
        <f ca="1">IF(AND($C36="Goal",CA$8&gt;=$G36,CA$8&lt;=$G36+$H36-1),2,IF(AND($C36="Milestone",CA$8&gt;=$G36,CA$8&lt;=$G36+$H36-1),1,""))</f>
        <v/>
      </c>
      <c r="CB36" s="69" t="str">
        <f ca="1">IF(AND($C36="Goal",CB$8&gt;=$G36,CB$8&lt;=$G36+$H36-1),2,IF(AND($C36="Milestone",CB$8&gt;=$G36,CB$8&lt;=$G36+$H36-1),1,""))</f>
        <v/>
      </c>
      <c r="CC36" s="69" t="str">
        <f ca="1">IF(AND($C36="Goal",CC$8&gt;=$G36,CC$8&lt;=$G36+$H36-1),2,IF(AND($C36="Milestone",CC$8&gt;=$G36,CC$8&lt;=$G36+$H36-1),1,""))</f>
        <v/>
      </c>
      <c r="CD36" s="69" t="str">
        <f ca="1">IF(AND($C36="Goal",CD$8&gt;=$G36,CD$8&lt;=$G36+$H36-1),2,IF(AND($C36="Milestone",CD$8&gt;=$G36,CD$8&lt;=$G36+$H36-1),1,""))</f>
        <v/>
      </c>
      <c r="CE36" s="69" t="str">
        <f ca="1">IF(AND($C36="Goal",CE$8&gt;=$G36,CE$8&lt;=$G36+$H36-1),2,IF(AND($C36="Milestone",CE$8&gt;=$G36,CE$8&lt;=$G36+$H36-1),1,""))</f>
        <v/>
      </c>
      <c r="CF36" s="69" t="str">
        <f ca="1">IF(AND($C36="Goal",CF$8&gt;=$G36,CF$8&lt;=$G36+$H36-1),2,IF(AND($C36="Milestone",CF$8&gt;=$G36,CF$8&lt;=$G36+$H36-1),1,""))</f>
        <v/>
      </c>
      <c r="CG36" s="69" t="str">
        <f ca="1">IF(AND($C36="Goal",CG$8&gt;=$G36,CG$8&lt;=$G36+$H36-1),2,IF(AND($C36="Milestone",CG$8&gt;=$G36,CG$8&lt;=$G36+$H36-1),1,""))</f>
        <v/>
      </c>
      <c r="CH36" s="69" t="str">
        <f ca="1">IF(AND($C36="Goal",CH$8&gt;=$G36,CH$8&lt;=$G36+$H36-1),2,IF(AND($C36="Milestone",CH$8&gt;=$G36,CH$8&lt;=$G36+$H36-1),1,""))</f>
        <v/>
      </c>
      <c r="CI36" s="69" t="str">
        <f ca="1">IF(AND($C36="Goal",CI$8&gt;=$G36,CI$8&lt;=$G36+$H36-1),2,IF(AND($C36="Milestone",CI$8&gt;=$G36,CI$8&lt;=$G36+$H36-1),1,""))</f>
        <v/>
      </c>
      <c r="CJ36" s="69" t="str">
        <f ca="1">IF(AND($C36="Goal",CJ$8&gt;=$G36,CJ$8&lt;=$G36+$H36-1),2,IF(AND($C36="Milestone",CJ$8&gt;=$G36,CJ$8&lt;=$G36+$H36-1),1,""))</f>
        <v/>
      </c>
      <c r="CK36" s="69" t="str">
        <f ca="1">IF(AND($C36="Goal",CK$8&gt;=$G36,CK$8&lt;=$G36+$H36-1),2,IF(AND($C36="Milestone",CK$8&gt;=$G36,CK$8&lt;=$G36+$H36-1),1,""))</f>
        <v/>
      </c>
      <c r="CL36" s="69" t="str">
        <f ca="1">IF(AND($C36="Goal",CL$8&gt;=$G36,CL$8&lt;=$G36+$H36-1),2,IF(AND($C36="Milestone",CL$8&gt;=$G36,CL$8&lt;=$G36+$H36-1),1,""))</f>
        <v/>
      </c>
      <c r="CM36" s="69" t="str">
        <f ca="1">IF(AND($C36="Goal",CM$8&gt;=$G36,CM$8&lt;=$G36+$H36-1),2,IF(AND($C36="Milestone",CM$8&gt;=$G36,CM$8&lt;=$G36+$H36-1),1,""))</f>
        <v/>
      </c>
      <c r="CN36" s="69" t="str">
        <f ca="1">IF(AND($C36="Goal",CN$8&gt;=$G36,CN$8&lt;=$G36+$H36-1),2,IF(AND($C36="Milestone",CN$8&gt;=$G36,CN$8&lt;=$G36+$H36-1),1,""))</f>
        <v/>
      </c>
      <c r="CO36" s="69" t="str">
        <f ca="1">IF(AND($C36="Goal",CO$8&gt;=$G36,CO$8&lt;=$G36+$H36-1),2,IF(AND($C36="Milestone",CO$8&gt;=$G36,CO$8&lt;=$G36+$H36-1),1,""))</f>
        <v/>
      </c>
      <c r="CP36" s="69" t="str">
        <f ca="1">IF(AND($C36="Goal",CP$8&gt;=$G36,CP$8&lt;=$G36+$H36-1),2,IF(AND($C36="Milestone",CP$8&gt;=$G36,CP$8&lt;=$G36+$H36-1),1,""))</f>
        <v/>
      </c>
      <c r="CQ36" s="69" t="str">
        <f ca="1">IF(AND($C36="Goal",CQ$8&gt;=$G36,CQ$8&lt;=$G36+$H36-1),2,IF(AND($C36="Milestone",CQ$8&gt;=$G36,CQ$8&lt;=$G36+$H36-1),1,""))</f>
        <v/>
      </c>
      <c r="CR36" s="69" t="str">
        <f ca="1">IF(AND($C36="Goal",CR$8&gt;=$G36,CR$8&lt;=$G36+$H36-1),2,IF(AND($C36="Milestone",CR$8&gt;=$G36,CR$8&lt;=$G36+$H36-1),1,""))</f>
        <v/>
      </c>
      <c r="CS36" s="69" t="str">
        <f ca="1">IF(AND($C36="Goal",CS$8&gt;=$G36,CS$8&lt;=$G36+$H36-1),2,IF(AND($C36="Milestone",CS$8&gt;=$G36,CS$8&lt;=$G36+$H36-1),1,""))</f>
        <v/>
      </c>
      <c r="CT36" s="69" t="str">
        <f ca="1">IF(AND($C36="Goal",CT$8&gt;=$G36,CT$8&lt;=$G36+$H36-1),2,IF(AND($C36="Milestone",CT$8&gt;=$G36,CT$8&lt;=$G36+$H36-1),1,""))</f>
        <v/>
      </c>
      <c r="CU36" s="69" t="str">
        <f ca="1">IF(AND($C36="Goal",CU$8&gt;=$G36,CU$8&lt;=$G36+$H36-1),2,IF(AND($C36="Milestone",CU$8&gt;=$G36,CU$8&lt;=$G36+$H36-1),1,""))</f>
        <v/>
      </c>
      <c r="CV36" s="69" t="str">
        <f ca="1">IF(AND($C36="Goal",CV$8&gt;=$G36,CV$8&lt;=$G36+$H36-1),2,IF(AND($C36="Milestone",CV$8&gt;=$G36,CV$8&lt;=$G36+$H36-1),1,""))</f>
        <v/>
      </c>
      <c r="CW36" s="69" t="str">
        <f ca="1">IF(AND($C36="Goal",CW$8&gt;=$G36,CW$8&lt;=$G36+$H36-1),2,IF(AND($C36="Milestone",CW$8&gt;=$G36,CW$8&lt;=$G36+$H36-1),1,""))</f>
        <v/>
      </c>
      <c r="CX36" s="69" t="str">
        <f ca="1">IF(AND($C36="Goal",CX$8&gt;=$G36,CX$8&lt;=$G36+$H36-1),2,IF(AND($C36="Milestone",CX$8&gt;=$G36,CX$8&lt;=$G36+$H36-1),1,""))</f>
        <v/>
      </c>
      <c r="CY36" s="69" t="str">
        <f ca="1">IF(AND($C36="Goal",CY$8&gt;=$G36,CY$8&lt;=$G36+$H36-1),2,IF(AND($C36="Milestone",CY$8&gt;=$G36,CY$8&lt;=$G36+$H36-1),1,""))</f>
        <v/>
      </c>
      <c r="CZ36" s="69" t="str">
        <f ca="1">IF(AND($C36="Goal",CZ$8&gt;=$G36,CZ$8&lt;=$G36+$H36-1),2,IF(AND($C36="Milestone",CZ$8&gt;=$G36,CZ$8&lt;=$G36+$H36-1),1,""))</f>
        <v/>
      </c>
      <c r="DA36" s="69" t="str">
        <f ca="1">IF(AND($C36="Goal",DA$8&gt;=$G36,DA$8&lt;=$G36+$H36-1),2,IF(AND($C36="Milestone",DA$8&gt;=$G36,DA$8&lt;=$G36+$H36-1),1,""))</f>
        <v/>
      </c>
      <c r="DB36" s="69" t="str">
        <f ca="1">IF(AND($C36="Goal",DB$8&gt;=$G36,DB$8&lt;=$G36+$H36-1),2,IF(AND($C36="Milestone",DB$8&gt;=$G36,DB$8&lt;=$G36+$H36-1),1,""))</f>
        <v/>
      </c>
      <c r="DC36" s="69" t="str">
        <f ca="1">IF(AND($C36="Goal",DC$8&gt;=$G36,DC$8&lt;=$G36+$H36-1),2,IF(AND($C36="Milestone",DC$8&gt;=$G36,DC$8&lt;=$G36+$H36-1),1,""))</f>
        <v/>
      </c>
      <c r="DD36" s="69" t="str">
        <f ca="1">IF(AND($C36="Goal",DD$8&gt;=$G36,DD$8&lt;=$G36+$H36-1),2,IF(AND($C36="Milestone",DD$8&gt;=$G36,DD$8&lt;=$G36+$H36-1),1,""))</f>
        <v/>
      </c>
      <c r="DE36" s="69" t="str">
        <f ca="1">IF(AND($C36="Goal",DE$8&gt;=$G36,DE$8&lt;=$G36+$H36-1),2,IF(AND($C36="Milestone",DE$8&gt;=$G36,DE$8&lt;=$G36+$H36-1),1,""))</f>
        <v/>
      </c>
      <c r="DF36" s="69" t="str">
        <f ca="1">IF(AND($C36="Goal",DF$8&gt;=$G36,DF$8&lt;=$G36+$H36-1),2,IF(AND($C36="Milestone",DF$8&gt;=$G36,DF$8&lt;=$G36+$H36-1),1,""))</f>
        <v/>
      </c>
      <c r="DG36" s="69" t="str">
        <f ca="1">IF(AND($C36="Goal",DG$8&gt;=$G36,DG$8&lt;=$G36+$H36-1),2,IF(AND($C36="Milestone",DG$8&gt;=$G36,DG$8&lt;=$G36+$H36-1),1,""))</f>
        <v/>
      </c>
      <c r="DH36" s="69" t="str">
        <f ca="1">IF(AND($C36="Goal",DH$8&gt;=$G36,DH$8&lt;=$G36+$H36-1),2,IF(AND($C36="Milestone",DH$8&gt;=$G36,DH$8&lt;=$G36+$H36-1),1,""))</f>
        <v/>
      </c>
      <c r="DI36" s="69" t="str">
        <f ca="1">IF(AND($C36="Goal",DI$8&gt;=$G36,DI$8&lt;=$G36+$H36-1),2,IF(AND($C36="Milestone",DI$8&gt;=$G36,DI$8&lt;=$G36+$H36-1),1,""))</f>
        <v/>
      </c>
      <c r="DJ36" s="69" t="str">
        <f ca="1">IF(AND($C36="Goal",DJ$8&gt;=$G36,DJ$8&lt;=$G36+$H36-1),2,IF(AND($C36="Milestone",DJ$8&gt;=$G36,DJ$8&lt;=$G36+$H36-1),1,""))</f>
        <v/>
      </c>
      <c r="DK36" s="69" t="str">
        <f ca="1">IF(AND($C36="Goal",DK$8&gt;=$G36,DK$8&lt;=$G36+$H36-1),2,IF(AND($C36="Milestone",DK$8&gt;=$G36,DK$8&lt;=$G36+$H36-1),1,""))</f>
        <v/>
      </c>
      <c r="DL36" s="69" t="str">
        <f ca="1">IF(AND($C36="Goal",DL$8&gt;=$G36,DL$8&lt;=$G36+$H36-1),2,IF(AND($C36="Milestone",DL$8&gt;=$G36,DL$8&lt;=$G36+$H36-1),1,""))</f>
        <v/>
      </c>
      <c r="DM36" s="69" t="str">
        <f ca="1">IF(AND($C36="Goal",DM$8&gt;=$G36,DM$8&lt;=$G36+$H36-1),2,IF(AND($C36="Milestone",DM$8&gt;=$G36,DM$8&lt;=$G36+$H36-1),1,""))</f>
        <v/>
      </c>
      <c r="DN36" s="69" t="str">
        <f ca="1">IF(AND($C36="Goal",DN$8&gt;=$G36,DN$8&lt;=$G36+$H36-1),2,IF(AND($C36="Milestone",DN$8&gt;=$G36,DN$8&lt;=$G36+$H36-1),1,""))</f>
        <v/>
      </c>
      <c r="DO36" s="69" t="str">
        <f ca="1">IF(AND($C36="Goal",DO$8&gt;=$G36,DO$8&lt;=$G36+$H36-1),2,IF(AND($C36="Milestone",DO$8&gt;=$G36,DO$8&lt;=$G36+$H36-1),1,""))</f>
        <v/>
      </c>
      <c r="DP36" s="69" t="str">
        <f ca="1">IF(AND($C36="Goal",DP$8&gt;=$G36,DP$8&lt;=$G36+$H36-1),2,IF(AND($C36="Milestone",DP$8&gt;=$G36,DP$8&lt;=$G36+$H36-1),1,""))</f>
        <v/>
      </c>
      <c r="DQ36" s="69" t="str">
        <f ca="1">IF(AND($C36="Goal",DQ$8&gt;=$G36,DQ$8&lt;=$G36+$H36-1),2,IF(AND($C36="Milestone",DQ$8&gt;=$G36,DQ$8&lt;=$G36+$H36-1),1,""))</f>
        <v/>
      </c>
      <c r="DR36" s="69" t="str">
        <f ca="1">IF(AND($C36="Goal",DR$8&gt;=$G36,DR$8&lt;=$G36+$H36-1),2,IF(AND($C36="Milestone",DR$8&gt;=$G36,DR$8&lt;=$G36+$H36-1),1,""))</f>
        <v/>
      </c>
      <c r="DS36" s="69" t="str">
        <f ca="1">IF(AND($C36="Goal",DS$8&gt;=$G36,DS$8&lt;=$G36+$H36-1),2,IF(AND($C36="Milestone",DS$8&gt;=$G36,DS$8&lt;=$G36+$H36-1),1,""))</f>
        <v/>
      </c>
      <c r="DT36" s="69" t="str">
        <f ca="1">IF(AND($C36="Goal",DT$8&gt;=$G36,DT$8&lt;=$G36+$H36-1),2,IF(AND($C36="Milestone",DT$8&gt;=$G36,DT$8&lt;=$G36+$H36-1),1,""))</f>
        <v/>
      </c>
      <c r="DU36" s="69" t="str">
        <f ca="1">IF(AND($C36="Goal",DU$8&gt;=$G36,DU$8&lt;=$G36+$H36-1),2,IF(AND($C36="Milestone",DU$8&gt;=$G36,DU$8&lt;=$G36+$H36-1),1,""))</f>
        <v/>
      </c>
      <c r="DV36" s="69" t="str">
        <f ca="1">IF(AND($C36="Goal",DV$8&gt;=$G36,DV$8&lt;=$G36+$H36-1),2,IF(AND($C36="Milestone",DV$8&gt;=$G36,DV$8&lt;=$G36+$H36-1),1,""))</f>
        <v/>
      </c>
      <c r="DW36" s="69" t="str">
        <f ca="1">IF(AND($C36="Goal",DW$8&gt;=$G36,DW$8&lt;=$G36+$H36-1),2,IF(AND($C36="Milestone",DW$8&gt;=$G36,DW$8&lt;=$G36+$H36-1),1,""))</f>
        <v/>
      </c>
      <c r="DX36" s="69" t="str">
        <f ca="1">IF(AND($C36="Goal",DX$8&gt;=$G36,DX$8&lt;=$G36+$H36-1),2,IF(AND($C36="Milestone",DX$8&gt;=$G36,DX$8&lt;=$G36+$H36-1),1,""))</f>
        <v/>
      </c>
      <c r="DY36" s="69" t="str">
        <f ca="1">IF(AND($C36="Goal",DY$8&gt;=$G36,DY$8&lt;=$G36+$H36-1),2,IF(AND($C36="Milestone",DY$8&gt;=$G36,DY$8&lt;=$G36+$H36-1),1,""))</f>
        <v/>
      </c>
      <c r="DZ36" s="69" t="str">
        <f ca="1">IF(AND($C36="Goal",DZ$8&gt;=$G36,DZ$8&lt;=$G36+$H36-1),2,IF(AND($C36="Milestone",DZ$8&gt;=$G36,DZ$8&lt;=$G36+$H36-1),1,""))</f>
        <v/>
      </c>
      <c r="EA36" s="69" t="str">
        <f ca="1">IF(AND($C36="Goal",EA$8&gt;=$G36,EA$8&lt;=$G36+$H36-1),2,IF(AND($C36="Milestone",EA$8&gt;=$G36,EA$8&lt;=$G36+$H36-1),1,""))</f>
        <v/>
      </c>
      <c r="EB36" s="69" t="str">
        <f ca="1">IF(AND($C36="Goal",EB$8&gt;=$G36,EB$8&lt;=$G36+$H36-1),2,IF(AND($C36="Milestone",EB$8&gt;=$G36,EB$8&lt;=$G36+$H36-1),1,""))</f>
        <v/>
      </c>
      <c r="EC36" s="69" t="str">
        <f ca="1">IF(AND($C36="Goal",EC$8&gt;=$G36,EC$8&lt;=$G36+$H36-1),2,IF(AND($C36="Milestone",EC$8&gt;=$G36,EC$8&lt;=$G36+$H36-1),1,""))</f>
        <v/>
      </c>
      <c r="ED36" s="69" t="str">
        <f ca="1">IF(AND($C36="Goal",ED$8&gt;=$G36,ED$8&lt;=$G36+$H36-1),2,IF(AND($C36="Milestone",ED$8&gt;=$G36,ED$8&lt;=$G36+$H36-1),1,""))</f>
        <v/>
      </c>
      <c r="EE36" s="69" t="str">
        <f ca="1">IF(AND($C36="Goal",EE$8&gt;=$G36,EE$8&lt;=$G36+$H36-1),2,IF(AND($C36="Milestone",EE$8&gt;=$G36,EE$8&lt;=$G36+$H36-1),1,""))</f>
        <v/>
      </c>
      <c r="EF36" s="69" t="str">
        <f ca="1">IF(AND($C36="Goal",EF$8&gt;=$G36,EF$8&lt;=$G36+$H36-1),2,IF(AND($C36="Milestone",EF$8&gt;=$G36,EF$8&lt;=$G36+$H36-1),1,""))</f>
        <v/>
      </c>
      <c r="EG36" s="69" t="str">
        <f ca="1">IF(AND($C36="Goal",EG$8&gt;=$G36,EG$8&lt;=$G36+$H36-1),2,IF(AND($C36="Milestone",EG$8&gt;=$G36,EG$8&lt;=$G36+$H36-1),1,""))</f>
        <v/>
      </c>
      <c r="EH36" s="69" t="str">
        <f ca="1">IF(AND($C36="Goal",EH$8&gt;=$G36,EH$8&lt;=$G36+$H36-1),2,IF(AND($C36="Milestone",EH$8&gt;=$G36,EH$8&lt;=$G36+$H36-1),1,""))</f>
        <v/>
      </c>
      <c r="EI36" s="69" t="str">
        <f ca="1">IF(AND($C36="Goal",EI$8&gt;=$G36,EI$8&lt;=$G36+$H36-1),2,IF(AND($C36="Milestone",EI$8&gt;=$G36,EI$8&lt;=$G36+$H36-1),1,""))</f>
        <v/>
      </c>
      <c r="EJ36" s="69" t="str">
        <f ca="1">IF(AND($C36="Goal",EJ$8&gt;=$G36,EJ$8&lt;=$G36+$H36-1),2,IF(AND($C36="Milestone",EJ$8&gt;=$G36,EJ$8&lt;=$G36+$H36-1),1,""))</f>
        <v/>
      </c>
      <c r="EK36" s="69" t="str">
        <f ca="1">IF(AND($C36="Goal",EK$8&gt;=$G36,EK$8&lt;=$G36+$H36-1),2,IF(AND($C36="Milestone",EK$8&gt;=$G36,EK$8&lt;=$G36+$H36-1),1,""))</f>
        <v/>
      </c>
      <c r="EL36" s="69" t="str">
        <f ca="1">IF(AND($C36="Goal",EL$8&gt;=$G36,EL$8&lt;=$G36+$H36-1),2,IF(AND($C36="Milestone",EL$8&gt;=$G36,EL$8&lt;=$G36+$H36-1),1,""))</f>
        <v/>
      </c>
      <c r="EM36" s="69" t="str">
        <f ca="1">IF(AND($C36="Goal",EM$8&gt;=$G36,EM$8&lt;=$G36+$H36-1),2,IF(AND($C36="Milestone",EM$8&gt;=$G36,EM$8&lt;=$G36+$H36-1),1,""))</f>
        <v/>
      </c>
      <c r="EN36" s="69" t="str">
        <f ca="1">IF(AND($C36="Goal",EN$8&gt;=$G36,EN$8&lt;=$G36+$H36-1),2,IF(AND($C36="Milestone",EN$8&gt;=$G36,EN$8&lt;=$G36+$H36-1),1,""))</f>
        <v/>
      </c>
      <c r="EO36" s="69" t="str">
        <f ca="1">IF(AND($C36="Goal",EO$8&gt;=$G36,EO$8&lt;=$G36+$H36-1),2,IF(AND($C36="Milestone",EO$8&gt;=$G36,EO$8&lt;=$G36+$H36-1),1,""))</f>
        <v/>
      </c>
      <c r="EP36" s="69" t="str">
        <f ca="1">IF(AND($C36="Goal",EP$8&gt;=$G36,EP$8&lt;=$G36+$H36-1),2,IF(AND($C36="Milestone",EP$8&gt;=$G36,EP$8&lt;=$G36+$H36-1),1,""))</f>
        <v/>
      </c>
      <c r="EQ36" s="69" t="str">
        <f ca="1">IF(AND($C36="Goal",EQ$8&gt;=$G36,EQ$8&lt;=$G36+$H36-1),2,IF(AND($C36="Milestone",EQ$8&gt;=$G36,EQ$8&lt;=$G36+$H36-1),1,""))</f>
        <v/>
      </c>
      <c r="ER36" s="69" t="str">
        <f ca="1">IF(AND($C36="Goal",ER$8&gt;=$G36,ER$8&lt;=$G36+$H36-1),2,IF(AND($C36="Milestone",ER$8&gt;=$G36,ER$8&lt;=$G36+$H36-1),1,""))</f>
        <v/>
      </c>
      <c r="ES36" s="69" t="str">
        <f ca="1">IF(AND($C36="Goal",ES$8&gt;=$G36,ES$8&lt;=$G36+$H36-1),2,IF(AND($C36="Milestone",ES$8&gt;=$G36,ES$8&lt;=$G36+$H36-1),1,""))</f>
        <v/>
      </c>
      <c r="ET36" s="69" t="str">
        <f ca="1">IF(AND($C36="Goal",ET$8&gt;=$G36,ET$8&lt;=$G36+$H36-1),2,IF(AND($C36="Milestone",ET$8&gt;=$G36,ET$8&lt;=$G36+$H36-1),1,""))</f>
        <v/>
      </c>
      <c r="EU36" s="69" t="str">
        <f ca="1">IF(AND($C36="Goal",EU$8&gt;=$G36,EU$8&lt;=$G36+$H36-1),2,IF(AND($C36="Milestone",EU$8&gt;=$G36,EU$8&lt;=$G36+$H36-1),1,""))</f>
        <v/>
      </c>
      <c r="EV36" s="69" t="str">
        <f ca="1">IF(AND($C36="Goal",EV$8&gt;=$G36,EV$8&lt;=$G36+$H36-1),2,IF(AND($C36="Milestone",EV$8&gt;=$G36,EV$8&lt;=$G36+$H36-1),1,""))</f>
        <v/>
      </c>
      <c r="EW36" s="69" t="str">
        <f ca="1">IF(AND($C36="Goal",EW$8&gt;=$G36,EW$8&lt;=$G36+$H36-1),2,IF(AND($C36="Milestone",EW$8&gt;=$G36,EW$8&lt;=$G36+$H36-1),1,""))</f>
        <v/>
      </c>
      <c r="EX36" s="69" t="str">
        <f ca="1">IF(AND($C36="Goal",EX$8&gt;=$G36,EX$8&lt;=$G36+$H36-1),2,IF(AND($C36="Milestone",EX$8&gt;=$G36,EX$8&lt;=$G36+$H36-1),1,""))</f>
        <v/>
      </c>
      <c r="EY36" s="69" t="str">
        <f ca="1">IF(AND($C36="Goal",EY$8&gt;=$G36,EY$8&lt;=$G36+$H36-1),2,IF(AND($C36="Milestone",EY$8&gt;=$G36,EY$8&lt;=$G36+$H36-1),1,""))</f>
        <v/>
      </c>
      <c r="EZ36" s="69" t="str">
        <f ca="1">IF(AND($C36="Goal",EZ$8&gt;=$G36,EZ$8&lt;=$G36+$H36-1),2,IF(AND($C36="Milestone",EZ$8&gt;=$G36,EZ$8&lt;=$G36+$H36-1),1,""))</f>
        <v/>
      </c>
      <c r="FA36" s="69" t="str">
        <f ca="1">IF(AND($C36="Goal",FA$8&gt;=$G36,FA$8&lt;=$G36+$H36-1),2,IF(AND($C36="Milestone",FA$8&gt;=$G36,FA$8&lt;=$G36+$H36-1),1,""))</f>
        <v/>
      </c>
      <c r="FB36" s="69" t="str">
        <f ca="1">IF(AND($C36="Goal",FB$8&gt;=$G36,FB$8&lt;=$G36+$H36-1),2,IF(AND($C36="Milestone",FB$8&gt;=$G36,FB$8&lt;=$G36+$H36-1),1,""))</f>
        <v/>
      </c>
      <c r="FC36" s="69" t="str">
        <f ca="1">IF(AND($C36="Goal",FC$8&gt;=$G36,FC$8&lt;=$G36+$H36-1),2,IF(AND($C36="Milestone",FC$8&gt;=$G36,FC$8&lt;=$G36+$H36-1),1,""))</f>
        <v/>
      </c>
      <c r="FD36" s="69" t="str">
        <f ca="1">IF(AND($C36="Goal",FD$8&gt;=$G36,FD$8&lt;=$G36+$H36-1),2,IF(AND($C36="Milestone",FD$8&gt;=$G36,FD$8&lt;=$G36+$H36-1),1,""))</f>
        <v/>
      </c>
      <c r="FE36" s="69" t="str">
        <f ca="1">IF(AND($C36="Goal",FE$8&gt;=$G36,FE$8&lt;=$G36+$H36-1),2,IF(AND($C36="Milestone",FE$8&gt;=$G36,FE$8&lt;=$G36+$H36-1),1,""))</f>
        <v/>
      </c>
      <c r="FF36" s="69" t="str">
        <f ca="1">IF(AND($C36="Goal",FF$8&gt;=$G36,FF$8&lt;=$G36+$H36-1),2,IF(AND($C36="Milestone",FF$8&gt;=$G36,FF$8&lt;=$G36+$H36-1),1,""))</f>
        <v/>
      </c>
      <c r="FG36" s="69" t="str">
        <f ca="1">IF(AND($C36="Goal",FG$8&gt;=$G36,FG$8&lt;=$G36+$H36-1),2,IF(AND($C36="Milestone",FG$8&gt;=$G36,FG$8&lt;=$G36+$H36-1),1,""))</f>
        <v/>
      </c>
      <c r="FH36" s="69" t="str">
        <f ca="1">IF(AND($C36="Goal",FH$8&gt;=$G36,FH$8&lt;=$G36+$H36-1),2,IF(AND($C36="Milestone",FH$8&gt;=$G36,FH$8&lt;=$G36+$H36-1),1,""))</f>
        <v/>
      </c>
      <c r="FI36" s="69" t="str">
        <f ca="1">IF(AND($C36="Goal",FI$8&gt;=$G36,FI$8&lt;=$G36+$H36-1),2,IF(AND($C36="Milestone",FI$8&gt;=$G36,FI$8&lt;=$G36+$H36-1),1,""))</f>
        <v/>
      </c>
      <c r="FJ36" s="69" t="str">
        <f ca="1">IF(AND($C36="Goal",FJ$8&gt;=$G36,FJ$8&lt;=$G36+$H36-1),2,IF(AND($C36="Milestone",FJ$8&gt;=$G36,FJ$8&lt;=$G36+$H36-1),1,""))</f>
        <v/>
      </c>
      <c r="FK36" s="69" t="str">
        <f ca="1">IF(AND($C36="Goal",FK$8&gt;=$G36,FK$8&lt;=$G36+$H36-1),2,IF(AND($C36="Milestone",FK$8&gt;=$G36,FK$8&lt;=$G36+$H36-1),1,""))</f>
        <v/>
      </c>
      <c r="FL36" s="69" t="str">
        <f ca="1">IF(AND($C36="Goal",FL$8&gt;=$G36,FL$8&lt;=$G36+$H36-1),2,IF(AND($C36="Milestone",FL$8&gt;=$G36,FL$8&lt;=$G36+$H36-1),1,""))</f>
        <v/>
      </c>
      <c r="FM36" s="69" t="str">
        <f ca="1">IF(AND($C36="Goal",FM$8&gt;=$G36,FM$8&lt;=$G36+$H36-1),2,IF(AND($C36="Milestone",FM$8&gt;=$G36,FM$8&lt;=$G36+$H36-1),1,""))</f>
        <v/>
      </c>
      <c r="FN36" s="69" t="str">
        <f ca="1">IF(AND($C36="Goal",FN$8&gt;=$G36,FN$8&lt;=$G36+$H36-1),2,IF(AND($C36="Milestone",FN$8&gt;=$G36,FN$8&lt;=$G36+$H36-1),1,""))</f>
        <v/>
      </c>
      <c r="FO36" s="69" t="str">
        <f ca="1">IF(AND($C36="Goal",FO$8&gt;=$G36,FO$8&lt;=$G36+$H36-1),2,IF(AND($C36="Milestone",FO$8&gt;=$G36,FO$8&lt;=$G36+$H36-1),1,""))</f>
        <v/>
      </c>
      <c r="FP36" s="69" t="str">
        <f ca="1">IF(AND($C36="Goal",FP$8&gt;=$G36,FP$8&lt;=$G36+$H36-1),2,IF(AND($C36="Milestone",FP$8&gt;=$G36,FP$8&lt;=$G36+$H36-1),1,""))</f>
        <v/>
      </c>
      <c r="FQ36" s="69" t="str">
        <f ca="1">IF(AND($C36="Goal",FQ$8&gt;=$G36,FQ$8&lt;=$G36+$H36-1),2,IF(AND($C36="Milestone",FQ$8&gt;=$G36,FQ$8&lt;=$G36+$H36-1),1,""))</f>
        <v/>
      </c>
      <c r="FR36" s="69" t="str">
        <f ca="1">IF(AND($C36="Goal",FR$8&gt;=$G36,FR$8&lt;=$G36+$H36-1),2,IF(AND($C36="Milestone",FR$8&gt;=$G36,FR$8&lt;=$G36+$H36-1),1,""))</f>
        <v/>
      </c>
      <c r="FS36" s="69" t="str">
        <f ca="1">IF(AND($C36="Goal",FS$8&gt;=$G36,FS$8&lt;=$G36+$H36-1),2,IF(AND($C36="Milestone",FS$8&gt;=$G36,FS$8&lt;=$G36+$H36-1),1,""))</f>
        <v/>
      </c>
      <c r="FT36" s="69" t="str">
        <f ca="1">IF(AND($C36="Goal",FT$8&gt;=$G36,FT$8&lt;=$G36+$H36-1),2,IF(AND($C36="Milestone",FT$8&gt;=$G36,FT$8&lt;=$G36+$H36-1),1,""))</f>
        <v/>
      </c>
      <c r="FU36" s="69" t="str">
        <f ca="1">IF(AND($C36="Goal",FU$8&gt;=$G36,FU$8&lt;=$G36+$H36-1),2,IF(AND($C36="Milestone",FU$8&gt;=$G36,FU$8&lt;=$G36+$H36-1),1,""))</f>
        <v/>
      </c>
      <c r="FV36" s="69" t="str">
        <f ca="1">IF(AND($C36="Goal",FV$8&gt;=$G36,FV$8&lt;=$G36+$H36-1),2,IF(AND($C36="Milestone",FV$8&gt;=$G36,FV$8&lt;=$G36+$H36-1),1,""))</f>
        <v/>
      </c>
      <c r="FW36" s="69" t="str">
        <f ca="1">IF(AND($C36="Goal",FW$8&gt;=$G36,FW$8&lt;=$G36+$H36-1),2,IF(AND($C36="Milestone",FW$8&gt;=$G36,FW$8&lt;=$G36+$H36-1),1,""))</f>
        <v/>
      </c>
      <c r="FX36" s="69" t="str">
        <f ca="1">IF(AND($C36="Goal",FX$8&gt;=$G36,FX$8&lt;=$G36+$H36-1),2,IF(AND($C36="Milestone",FX$8&gt;=$G36,FX$8&lt;=$G36+$H36-1),1,""))</f>
        <v/>
      </c>
      <c r="FY36" s="69" t="str">
        <f ca="1">IF(AND($C36="Goal",FY$8&gt;=$G36,FY$8&lt;=$G36+$H36-1),2,IF(AND($C36="Milestone",FY$8&gt;=$G36,FY$8&lt;=$G36+$H36-1),1,""))</f>
        <v/>
      </c>
      <c r="FZ36" s="69" t="str">
        <f ca="1">IF(AND($C36="Goal",FZ$8&gt;=$G36,FZ$8&lt;=$G36+$H36-1),2,IF(AND($C36="Milestone",FZ$8&gt;=$G36,FZ$8&lt;=$G36+$H36-1),1,""))</f>
        <v/>
      </c>
      <c r="GA36" s="69" t="str">
        <f ca="1">IF(AND($C36="Goal",GA$8&gt;=$G36,GA$8&lt;=$G36+$H36-1),2,IF(AND($C36="Milestone",GA$8&gt;=$G36,GA$8&lt;=$G36+$H36-1),1,""))</f>
        <v/>
      </c>
      <c r="GB36" s="69" t="str">
        <f ca="1">IF(AND($C36="Goal",GB$8&gt;=$G36,GB$8&lt;=$G36+$H36-1),2,IF(AND($C36="Milestone",GB$8&gt;=$G36,GB$8&lt;=$G36+$H36-1),1,""))</f>
        <v/>
      </c>
      <c r="GC36" s="69" t="str">
        <f ca="1">IF(AND($C36="Goal",GC$8&gt;=$G36,GC$8&lt;=$G36+$H36-1),2,IF(AND($C36="Milestone",GC$8&gt;=$G36,GC$8&lt;=$G36+$H36-1),1,""))</f>
        <v/>
      </c>
      <c r="GD36" s="69" t="str">
        <f ca="1">IF(AND($C36="Goal",GD$8&gt;=$G36,GD$8&lt;=$G36+$H36-1),2,IF(AND($C36="Milestone",GD$8&gt;=$G36,GD$8&lt;=$G36+$H36-1),1,""))</f>
        <v/>
      </c>
      <c r="GE36" s="69" t="str">
        <f ca="1">IF(AND($C36="Goal",GE$8&gt;=$G36,GE$8&lt;=$G36+$H36-1),2,IF(AND($C36="Milestone",GE$8&gt;=$G36,GE$8&lt;=$G36+$H36-1),1,""))</f>
        <v/>
      </c>
      <c r="GF36" s="69" t="str">
        <f ca="1">IF(AND($C36="Goal",GF$8&gt;=$G36,GF$8&lt;=$G36+$H36-1),2,IF(AND($C36="Milestone",GF$8&gt;=$G36,GF$8&lt;=$G36+$H36-1),1,""))</f>
        <v/>
      </c>
      <c r="GG36" s="69" t="str">
        <f ca="1">IF(AND($C36="Goal",GG$8&gt;=$G36,GG$8&lt;=$G36+$H36-1),2,IF(AND($C36="Milestone",GG$8&gt;=$G36,GG$8&lt;=$G36+$H36-1),1,""))</f>
        <v/>
      </c>
      <c r="GH36" s="69" t="str">
        <f ca="1">IF(AND($C36="Goal",GH$8&gt;=$G36,GH$8&lt;=$G36+$H36-1),2,IF(AND($C36="Milestone",GH$8&gt;=$G36,GH$8&lt;=$G36+$H36-1),1,""))</f>
        <v/>
      </c>
      <c r="GI36" s="69" t="str">
        <f ca="1">IF(AND($C36="Goal",GI$8&gt;=$G36,GI$8&lt;=$G36+$H36-1),2,IF(AND($C36="Milestone",GI$8&gt;=$G36,GI$8&lt;=$G36+$H36-1),1,""))</f>
        <v/>
      </c>
      <c r="GJ36" s="69" t="str">
        <f ca="1">IF(AND($C36="Goal",GJ$8&gt;=$G36,GJ$8&lt;=$G36+$H36-1),2,IF(AND($C36="Milestone",GJ$8&gt;=$G36,GJ$8&lt;=$G36+$H36-1),1,""))</f>
        <v/>
      </c>
      <c r="GK36" s="69" t="str">
        <f ca="1">IF(AND($C36="Goal",GK$8&gt;=$G36,GK$8&lt;=$G36+$H36-1),2,IF(AND($C36="Milestone",GK$8&gt;=$G36,GK$8&lt;=$G36+$H36-1),1,""))</f>
        <v/>
      </c>
      <c r="GL36" s="69" t="str">
        <f ca="1">IF(AND($C36="Goal",GL$8&gt;=$G36,GL$8&lt;=$G36+$H36-1),2,IF(AND($C36="Milestone",GL$8&gt;=$G36,GL$8&lt;=$G36+$H36-1),1,""))</f>
        <v/>
      </c>
      <c r="GM36" s="69" t="str">
        <f ca="1">IF(AND($C36="Goal",GM$8&gt;=$G36,GM$8&lt;=$G36+$H36-1),2,IF(AND($C36="Milestone",GM$8&gt;=$G36,GM$8&lt;=$G36+$H36-1),1,""))</f>
        <v/>
      </c>
      <c r="GN36" s="69" t="str">
        <f ca="1">IF(AND($C36="Goal",GN$8&gt;=$G36,GN$8&lt;=$G36+$H36-1),2,IF(AND($C36="Milestone",GN$8&gt;=$G36,GN$8&lt;=$G36+$H36-1),1,""))</f>
        <v/>
      </c>
      <c r="GO36" s="69" t="str">
        <f ca="1">IF(AND($C36="Goal",GO$8&gt;=$G36,GO$8&lt;=$G36+$H36-1),2,IF(AND($C36="Milestone",GO$8&gt;=$G36,GO$8&lt;=$G36+$H36-1),1,""))</f>
        <v/>
      </c>
      <c r="GP36" s="69" t="str">
        <f ca="1">IF(AND($C36="Goal",GP$8&gt;=$G36,GP$8&lt;=$G36+$H36-1),2,IF(AND($C36="Milestone",GP$8&gt;=$G36,GP$8&lt;=$G36+$H36-1),1,""))</f>
        <v/>
      </c>
      <c r="GQ36" s="69" t="str">
        <f ca="1">IF(AND($C36="Goal",GQ$8&gt;=$G36,GQ$8&lt;=$G36+$H36-1),2,IF(AND($C36="Milestone",GQ$8&gt;=$G36,GQ$8&lt;=$G36+$H36-1),1,""))</f>
        <v/>
      </c>
      <c r="GR36" s="69" t="str">
        <f ca="1">IF(AND($C36="Goal",GR$8&gt;=$G36,GR$8&lt;=$G36+$H36-1),2,IF(AND($C36="Milestone",GR$8&gt;=$G36,GR$8&lt;=$G36+$H36-1),1,""))</f>
        <v/>
      </c>
      <c r="GS36" s="69" t="str">
        <f ca="1">IF(AND($C36="Goal",GS$8&gt;=$G36,GS$8&lt;=$G36+$H36-1),2,IF(AND($C36="Milestone",GS$8&gt;=$G36,GS$8&lt;=$G36+$H36-1),1,""))</f>
        <v/>
      </c>
      <c r="GT36" s="69" t="str">
        <f ca="1">IF(AND($C36="Goal",GT$8&gt;=$G36,GT$8&lt;=$G36+$H36-1),2,IF(AND($C36="Milestone",GT$8&gt;=$G36,GT$8&lt;=$G36+$H36-1),1,""))</f>
        <v/>
      </c>
      <c r="GU36" s="69" t="str">
        <f ca="1">IF(AND($C36="Goal",GU$8&gt;=$G36,GU$8&lt;=$G36+$H36-1),2,IF(AND($C36="Milestone",GU$8&gt;=$G36,GU$8&lt;=$G36+$H36-1),1,""))</f>
        <v/>
      </c>
      <c r="GV36" s="69" t="str">
        <f ca="1">IF(AND($C36="Goal",GV$8&gt;=$G36,GV$8&lt;=$G36+$H36-1),2,IF(AND($C36="Milestone",GV$8&gt;=$G36,GV$8&lt;=$G36+$H36-1),1,""))</f>
        <v/>
      </c>
      <c r="GW36" s="69" t="str">
        <f ca="1">IF(AND($C36="Goal",GW$8&gt;=$G36,GW$8&lt;=$G36+$H36-1),2,IF(AND($C36="Milestone",GW$8&gt;=$G36,GW$8&lt;=$G36+$H36-1),1,""))</f>
        <v/>
      </c>
      <c r="GX36" s="69" t="str">
        <f ca="1">IF(AND($C36="Goal",GX$8&gt;=$G36,GX$8&lt;=$G36+$H36-1),2,IF(AND($C36="Milestone",GX$8&gt;=$G36,GX$8&lt;=$G36+$H36-1),1,""))</f>
        <v/>
      </c>
      <c r="GY36" s="69" t="str">
        <f ca="1">IF(AND($C36="Goal",GY$8&gt;=$G36,GY$8&lt;=$G36+$H36-1),2,IF(AND($C36="Milestone",GY$8&gt;=$G36,GY$8&lt;=$G36+$H36-1),1,""))</f>
        <v/>
      </c>
      <c r="GZ36" s="69" t="str">
        <f ca="1">IF(AND($C36="Goal",GZ$8&gt;=$G36,GZ$8&lt;=$G36+$H36-1),2,IF(AND($C36="Milestone",GZ$8&gt;=$G36,GZ$8&lt;=$G36+$H36-1),1,""))</f>
        <v/>
      </c>
      <c r="HA36" s="69" t="str">
        <f ca="1">IF(AND($C36="Goal",HA$8&gt;=$G36,HA$8&lt;=$G36+$H36-1),2,IF(AND($C36="Milestone",HA$8&gt;=$G36,HA$8&lt;=$G36+$H36-1),1,""))</f>
        <v/>
      </c>
      <c r="HB36" s="69" t="str">
        <f ca="1">IF(AND($C36="Goal",HB$8&gt;=$G36,HB$8&lt;=$G36+$H36-1),2,IF(AND($C36="Milestone",HB$8&gt;=$G36,HB$8&lt;=$G36+$H36-1),1,""))</f>
        <v/>
      </c>
      <c r="HC36" s="69" t="str">
        <f ca="1">IF(AND($C36="Goal",HC$8&gt;=$G36,HC$8&lt;=$G36+$H36-1),2,IF(AND($C36="Milestone",HC$8&gt;=$G36,HC$8&lt;=$G36+$H36-1),1,""))</f>
        <v/>
      </c>
      <c r="HD36" s="69" t="str">
        <f ca="1">IF(AND($C36="Goal",HD$8&gt;=$G36,HD$8&lt;=$G36+$H36-1),2,IF(AND($C36="Milestone",HD$8&gt;=$G36,HD$8&lt;=$G36+$H36-1),1,""))</f>
        <v/>
      </c>
      <c r="HE36" s="69" t="str">
        <f ca="1">IF(AND($C36="Goal",HE$8&gt;=$G36,HE$8&lt;=$G36+$H36-1),2,IF(AND($C36="Milestone",HE$8&gt;=$G36,HE$8&lt;=$G36+$H36-1),1,""))</f>
        <v/>
      </c>
      <c r="HF36" s="69" t="str">
        <f ca="1">IF(AND($C36="Goal",HF$8&gt;=$G36,HF$8&lt;=$G36+$H36-1),2,IF(AND($C36="Milestone",HF$8&gt;=$G36,HF$8&lt;=$G36+$H36-1),1,""))</f>
        <v/>
      </c>
      <c r="HG36" s="69" t="str">
        <f ca="1">IF(AND($C36="Goal",HG$8&gt;=$G36,HG$8&lt;=$G36+$H36-1),2,IF(AND($C36="Milestone",HG$8&gt;=$G36,HG$8&lt;=$G36+$H36-1),1,""))</f>
        <v/>
      </c>
      <c r="HH36" s="69" t="str">
        <f ca="1">IF(AND($C36="Goal",HH$8&gt;=$G36,HH$8&lt;=$G36+$H36-1),2,IF(AND($C36="Milestone",HH$8&gt;=$G36,HH$8&lt;=$G36+$H36-1),1,""))</f>
        <v/>
      </c>
      <c r="HI36" s="69" t="str">
        <f ca="1">IF(AND($C36="Goal",HI$8&gt;=$G36,HI$8&lt;=$G36+$H36-1),2,IF(AND($C36="Milestone",HI$8&gt;=$G36,HI$8&lt;=$G36+$H36-1),1,""))</f>
        <v/>
      </c>
      <c r="HJ36" s="69" t="str">
        <f ca="1">IF(AND($C36="Goal",HJ$8&gt;=$G36,HJ$8&lt;=$G36+$H36-1),2,IF(AND($C36="Milestone",HJ$8&gt;=$G36,HJ$8&lt;=$G36+$H36-1),1,""))</f>
        <v/>
      </c>
      <c r="HK36" s="69" t="str">
        <f ca="1">IF(AND($C36="Goal",HK$8&gt;=$G36,HK$8&lt;=$G36+$H36-1),2,IF(AND($C36="Milestone",HK$8&gt;=$G36,HK$8&lt;=$G36+$H36-1),1,""))</f>
        <v/>
      </c>
      <c r="HL36" s="69" t="str">
        <f ca="1">IF(AND($C36="Goal",HL$8&gt;=$G36,HL$8&lt;=$G36+$H36-1),2,IF(AND($C36="Milestone",HL$8&gt;=$G36,HL$8&lt;=$G36+$H36-1),1,""))</f>
        <v/>
      </c>
      <c r="HM36" s="69" t="str">
        <f ca="1">IF(AND($C36="Goal",HM$8&gt;=$G36,HM$8&lt;=$G36+$H36-1),2,IF(AND($C36="Milestone",HM$8&gt;=$G36,HM$8&lt;=$G36+$H36-1),1,""))</f>
        <v/>
      </c>
      <c r="HN36" s="69" t="str">
        <f ca="1">IF(AND($C36="Goal",HN$8&gt;=$G36,HN$8&lt;=$G36+$H36-1),2,IF(AND($C36="Milestone",HN$8&gt;=$G36,HN$8&lt;=$G36+$H36-1),1,""))</f>
        <v/>
      </c>
      <c r="HO36" s="69" t="str">
        <f ca="1">IF(AND($C36="Goal",HO$8&gt;=$G36,HO$8&lt;=$G36+$H36-1),2,IF(AND($C36="Milestone",HO$8&gt;=$G36,HO$8&lt;=$G36+$H36-1),1,""))</f>
        <v/>
      </c>
      <c r="HP36" s="69" t="str">
        <f ca="1">IF(AND($C36="Goal",HP$8&gt;=$G36,HP$8&lt;=$G36+$H36-1),2,IF(AND($C36="Milestone",HP$8&gt;=$G36,HP$8&lt;=$G36+$H36-1),1,""))</f>
        <v/>
      </c>
      <c r="HQ36" s="69" t="str">
        <f ca="1">IF(AND($C36="Goal",HQ$8&gt;=$G36,HQ$8&lt;=$G36+$H36-1),2,IF(AND($C36="Milestone",HQ$8&gt;=$G36,HQ$8&lt;=$G36+$H36-1),1,""))</f>
        <v/>
      </c>
      <c r="HR36" s="69" t="str">
        <f ca="1">IF(AND($C36="Goal",HR$8&gt;=$G36,HR$8&lt;=$G36+$H36-1),2,IF(AND($C36="Milestone",HR$8&gt;=$G36,HR$8&lt;=$G36+$H36-1),1,""))</f>
        <v/>
      </c>
      <c r="HS36" s="69" t="str">
        <f ca="1">IF(AND($C36="Goal",HS$8&gt;=$G36,HS$8&lt;=$G36+$H36-1),2,IF(AND($C36="Milestone",HS$8&gt;=$G36,HS$8&lt;=$G36+$H36-1),1,""))</f>
        <v/>
      </c>
      <c r="HT36" s="69" t="str">
        <f ca="1">IF(AND($C36="Goal",HT$8&gt;=$G36,HT$8&lt;=$G36+$H36-1),2,IF(AND($C36="Milestone",HT$8&gt;=$G36,HT$8&lt;=$G36+$H36-1),1,""))</f>
        <v/>
      </c>
      <c r="HU36" s="69" t="str">
        <f ca="1">IF(AND($C36="Goal",HU$8&gt;=$G36,HU$8&lt;=$G36+$H36-1),2,IF(AND($C36="Milestone",HU$8&gt;=$G36,HU$8&lt;=$G36+$H36-1),1,""))</f>
        <v/>
      </c>
      <c r="HV36" s="69" t="str">
        <f ca="1">IF(AND($C36="Goal",HV$8&gt;=$G36,HV$8&lt;=$G36+$H36-1),2,IF(AND($C36="Milestone",HV$8&gt;=$G36,HV$8&lt;=$G36+$H36-1),1,""))</f>
        <v/>
      </c>
      <c r="HW36" s="69" t="str">
        <f ca="1">IF(AND($C36="Goal",HW$8&gt;=$G36,HW$8&lt;=$G36+$H36-1),2,IF(AND($C36="Milestone",HW$8&gt;=$G36,HW$8&lt;=$G36+$H36-1),1,""))</f>
        <v/>
      </c>
      <c r="HX36" s="69" t="str">
        <f ca="1">IF(AND($C36="Goal",HX$8&gt;=$G36,HX$8&lt;=$G36+$H36-1),2,IF(AND($C36="Milestone",HX$8&gt;=$G36,HX$8&lt;=$G36+$H36-1),1,""))</f>
        <v/>
      </c>
      <c r="HY36" s="69" t="str">
        <f ca="1">IF(AND($C36="Goal",HY$8&gt;=$G36,HY$8&lt;=$G36+$H36-1),2,IF(AND($C36="Milestone",HY$8&gt;=$G36,HY$8&lt;=$G36+$H36-1),1,""))</f>
        <v/>
      </c>
      <c r="HZ36" s="69" t="str">
        <f ca="1">IF(AND($C36="Goal",HZ$8&gt;=$G36,HZ$8&lt;=$G36+$H36-1),2,IF(AND($C36="Milestone",HZ$8&gt;=$G36,HZ$8&lt;=$G36+$H36-1),1,""))</f>
        <v/>
      </c>
      <c r="IA36" s="69" t="str">
        <f ca="1">IF(AND($C36="Goal",IA$8&gt;=$G36,IA$8&lt;=$G36+$H36-1),2,IF(AND($C36="Milestone",IA$8&gt;=$G36,IA$8&lt;=$G36+$H36-1),1,""))</f>
        <v/>
      </c>
      <c r="IB36" s="69" t="str">
        <f ca="1">IF(AND($C36="Goal",IB$8&gt;=$G36,IB$8&lt;=$G36+$H36-1),2,IF(AND($C36="Milestone",IB$8&gt;=$G36,IB$8&lt;=$G36+$H36-1),1,""))</f>
        <v/>
      </c>
      <c r="IC36" s="69" t="str">
        <f ca="1">IF(AND($C36="Goal",IC$8&gt;=$G36,IC$8&lt;=$G36+$H36-1),2,IF(AND($C36="Milestone",IC$8&gt;=$G36,IC$8&lt;=$G36+$H36-1),1,""))</f>
        <v/>
      </c>
      <c r="ID36" s="69" t="str">
        <f ca="1">IF(AND($C36="Goal",ID$8&gt;=$G36,ID$8&lt;=$G36+$H36-1),2,IF(AND($C36="Milestone",ID$8&gt;=$G36,ID$8&lt;=$G36+$H36-1),1,""))</f>
        <v/>
      </c>
      <c r="IE36" s="69" t="str">
        <f ca="1">IF(AND($C36="Goal",IE$8&gt;=$G36,IE$8&lt;=$G36+$H36-1),2,IF(AND($C36="Milestone",IE$8&gt;=$G36,IE$8&lt;=$G36+$H36-1),1,""))</f>
        <v/>
      </c>
      <c r="IF36" s="69" t="str">
        <f ca="1">IF(AND($C36="Goal",IF$8&gt;=$G36,IF$8&lt;=$G36+$H36-1),2,IF(AND($C36="Milestone",IF$8&gt;=$G36,IF$8&lt;=$G36+$H36-1),1,""))</f>
        <v/>
      </c>
      <c r="IG36" s="69" t="str">
        <f ca="1">IF(AND($C36="Goal",IG$8&gt;=$G36,IG$8&lt;=$G36+$H36-1),2,IF(AND($C36="Milestone",IG$8&gt;=$G36,IG$8&lt;=$G36+$H36-1),1,""))</f>
        <v/>
      </c>
      <c r="IH36" s="69" t="str">
        <f ca="1">IF(AND($C36="Goal",IH$8&gt;=$G36,IH$8&lt;=$G36+$H36-1),2,IF(AND($C36="Milestone",IH$8&gt;=$G36,IH$8&lt;=$G36+$H36-1),1,""))</f>
        <v/>
      </c>
      <c r="II36" s="69" t="str">
        <f ca="1">IF(AND($C36="Goal",II$8&gt;=$G36,II$8&lt;=$G36+$H36-1),2,IF(AND($C36="Milestone",II$8&gt;=$G36,II$8&lt;=$G36+$H36-1),1,""))</f>
        <v/>
      </c>
      <c r="IJ36" s="69" t="str">
        <f ca="1">IF(AND($C36="Goal",IJ$8&gt;=$G36,IJ$8&lt;=$G36+$H36-1),2,IF(AND($C36="Milestone",IJ$8&gt;=$G36,IJ$8&lt;=$G36+$H36-1),1,""))</f>
        <v/>
      </c>
      <c r="IK36" s="69" t="str">
        <f ca="1">IF(AND($C36="Goal",IK$8&gt;=$G36,IK$8&lt;=$G36+$H36-1),2,IF(AND($C36="Milestone",IK$8&gt;=$G36,IK$8&lt;=$G36+$H36-1),1,""))</f>
        <v/>
      </c>
      <c r="IL36" s="69" t="str">
        <f ca="1">IF(AND($C36="Goal",IL$8&gt;=$G36,IL$8&lt;=$G36+$H36-1),2,IF(AND($C36="Milestone",IL$8&gt;=$G36,IL$8&lt;=$G36+$H36-1),1,""))</f>
        <v/>
      </c>
      <c r="IM36" s="69" t="str">
        <f ca="1">IF(AND($C36="Goal",IM$8&gt;=$G36,IM$8&lt;=$G36+$H36-1),2,IF(AND($C36="Milestone",IM$8&gt;=$G36,IM$8&lt;=$G36+$H36-1),1,""))</f>
        <v/>
      </c>
      <c r="IN36" s="69" t="str">
        <f ca="1">IF(AND($C36="Goal",IN$8&gt;=$G36,IN$8&lt;=$G36+$H36-1),2,IF(AND($C36="Milestone",IN$8&gt;=$G36,IN$8&lt;=$G36+$H36-1),1,""))</f>
        <v/>
      </c>
      <c r="IO36" s="69" t="str">
        <f ca="1">IF(AND($C36="Goal",IO$8&gt;=$G36,IO$8&lt;=$G36+$H36-1),2,IF(AND($C36="Milestone",IO$8&gt;=$G36,IO$8&lt;=$G36+$H36-1),1,""))</f>
        <v/>
      </c>
      <c r="IP36" s="69" t="str">
        <f ca="1">IF(AND($C36="Goal",IP$8&gt;=$G36,IP$8&lt;=$G36+$H36-1),2,IF(AND($C36="Milestone",IP$8&gt;=$G36,IP$8&lt;=$G36+$H36-1),1,""))</f>
        <v/>
      </c>
      <c r="IQ36" s="69" t="str">
        <f ca="1">IF(AND($C36="Goal",IQ$8&gt;=$G36,IQ$8&lt;=$G36+$H36-1),2,IF(AND($C36="Milestone",IQ$8&gt;=$G36,IQ$8&lt;=$G36+$H36-1),1,""))</f>
        <v/>
      </c>
      <c r="IR36" s="69" t="str">
        <f ca="1">IF(AND($C36="Goal",IR$8&gt;=$G36,IR$8&lt;=$G36+$H36-1),2,IF(AND($C36="Milestone",IR$8&gt;=$G36,IR$8&lt;=$G36+$H36-1),1,""))</f>
        <v/>
      </c>
      <c r="IS36" s="69" t="str">
        <f ca="1">IF(AND($C36="Goal",IS$8&gt;=$G36,IS$8&lt;=$G36+$H36-1),2,IF(AND($C36="Milestone",IS$8&gt;=$G36,IS$8&lt;=$G36+$H36-1),1,""))</f>
        <v/>
      </c>
      <c r="IT36" s="69" t="str">
        <f ca="1">IF(AND($C36="Goal",IT$8&gt;=$G36,IT$8&lt;=$G36+$H36-1),2,IF(AND($C36="Milestone",IT$8&gt;=$G36,IT$8&lt;=$G36+$H36-1),1,""))</f>
        <v/>
      </c>
      <c r="IU36" s="69" t="str">
        <f ca="1">IF(AND($C36="Goal",IU$8&gt;=$G36,IU$8&lt;=$G36+$H36-1),2,IF(AND($C36="Milestone",IU$8&gt;=$G36,IU$8&lt;=$G36+$H36-1),1,""))</f>
        <v/>
      </c>
      <c r="IV36" s="69" t="str">
        <f ca="1">IF(AND($C36="Goal",IV$8&gt;=$G36,IV$8&lt;=$G36+$H36-1),2,IF(AND($C36="Milestone",IV$8&gt;=$G36,IV$8&lt;=$G36+$H36-1),1,""))</f>
        <v/>
      </c>
      <c r="IW36" s="69" t="str">
        <f ca="1">IF(AND($C36="Goal",IW$8&gt;=$G36,IW$8&lt;=$G36+$H36-1),2,IF(AND($C36="Milestone",IW$8&gt;=$G36,IW$8&lt;=$G36+$H36-1),1,""))</f>
        <v/>
      </c>
      <c r="IX36" s="69" t="str">
        <f ca="1">IF(AND($C36="Goal",IX$8&gt;=$G36,IX$8&lt;=$G36+$H36-1),2,IF(AND($C36="Milestone",IX$8&gt;=$G36,IX$8&lt;=$G36+$H36-1),1,""))</f>
        <v/>
      </c>
      <c r="IY36" s="69" t="str">
        <f ca="1">IF(AND($C36="Goal",IY$8&gt;=$G36,IY$8&lt;=$G36+$H36-1),2,IF(AND($C36="Milestone",IY$8&gt;=$G36,IY$8&lt;=$G36+$H36-1),1,""))</f>
        <v/>
      </c>
      <c r="IZ36" s="69" t="str">
        <f ca="1">IF(AND($C36="Goal",IZ$8&gt;=$G36,IZ$8&lt;=$G36+$H36-1),2,IF(AND($C36="Milestone",IZ$8&gt;=$G36,IZ$8&lt;=$G36+$H36-1),1,""))</f>
        <v/>
      </c>
      <c r="JA36" s="69" t="str">
        <f ca="1">IF(AND($C36="Goal",JA$8&gt;=$G36,JA$8&lt;=$G36+$H36-1),2,IF(AND($C36="Milestone",JA$8&gt;=$G36,JA$8&lt;=$G36+$H36-1),1,""))</f>
        <v/>
      </c>
      <c r="JB36" s="69" t="str">
        <f ca="1">IF(AND($C36="Goal",JB$8&gt;=$G36,JB$8&lt;=$G36+$H36-1),2,IF(AND($C36="Milestone",JB$8&gt;=$G36,JB$8&lt;=$G36+$H36-1),1,""))</f>
        <v/>
      </c>
      <c r="JC36" s="69" t="str">
        <f ca="1">IF(AND($C36="Goal",JC$8&gt;=$G36,JC$8&lt;=$G36+$H36-1),2,IF(AND($C36="Milestone",JC$8&gt;=$G36,JC$8&lt;=$G36+$H36-1),1,""))</f>
        <v/>
      </c>
      <c r="JD36" s="69" t="str">
        <f ca="1">IF(AND($C36="Goal",JD$8&gt;=$G36,JD$8&lt;=$G36+$H36-1),2,IF(AND($C36="Milestone",JD$8&gt;=$G36,JD$8&lt;=$G36+$H36-1),1,""))</f>
        <v/>
      </c>
      <c r="JE36" s="69" t="str">
        <f ca="1">IF(AND($C36="Goal",JE$8&gt;=$G36,JE$8&lt;=$G36+$H36-1),2,IF(AND($C36="Milestone",JE$8&gt;=$G36,JE$8&lt;=$G36+$H36-1),1,""))</f>
        <v/>
      </c>
      <c r="JF36" s="69" t="str">
        <f ca="1">IF(AND($C36="Goal",JF$8&gt;=$G36,JF$8&lt;=$G36+$H36-1),2,IF(AND($C36="Milestone",JF$8&gt;=$G36,JF$8&lt;=$G36+$H36-1),1,""))</f>
        <v/>
      </c>
      <c r="JG36" s="69" t="str">
        <f ca="1">IF(AND($C36="Goal",JG$8&gt;=$G36,JG$8&lt;=$G36+$H36-1),2,IF(AND($C36="Milestone",JG$8&gt;=$G36,JG$8&lt;=$G36+$H36-1),1,""))</f>
        <v/>
      </c>
      <c r="JH36" s="69" t="str">
        <f ca="1">IF(AND($C36="Goal",JH$8&gt;=$G36,JH$8&lt;=$G36+$H36-1),2,IF(AND($C36="Milestone",JH$8&gt;=$G36,JH$8&lt;=$G36+$H36-1),1,""))</f>
        <v/>
      </c>
      <c r="JI36" s="69" t="str">
        <f ca="1">IF(AND($C36="Goal",JI$8&gt;=$G36,JI$8&lt;=$G36+$H36-1),2,IF(AND($C36="Milestone",JI$8&gt;=$G36,JI$8&lt;=$G36+$H36-1),1,""))</f>
        <v/>
      </c>
      <c r="JJ36" s="69" t="str">
        <f ca="1">IF(AND($C36="Goal",JJ$8&gt;=$G36,JJ$8&lt;=$G36+$H36-1),2,IF(AND($C36="Milestone",JJ$8&gt;=$G36,JJ$8&lt;=$G36+$H36-1),1,""))</f>
        <v/>
      </c>
      <c r="JK36" s="69" t="str">
        <f ca="1">IF(AND($C36="Goal",JK$8&gt;=$G36,JK$8&lt;=$G36+$H36-1),2,IF(AND($C36="Milestone",JK$8&gt;=$G36,JK$8&lt;=$G36+$H36-1),1,""))</f>
        <v/>
      </c>
      <c r="JL36" s="69" t="str">
        <f ca="1">IF(AND($C36="Goal",JL$8&gt;=$G36,JL$8&lt;=$G36+$H36-1),2,IF(AND($C36="Milestone",JL$8&gt;=$G36,JL$8&lt;=$G36+$H36-1),1,""))</f>
        <v/>
      </c>
      <c r="JM36" s="69" t="str">
        <f ca="1">IF(AND($C36="Goal",JM$8&gt;=$G36,JM$8&lt;=$G36+$H36-1),2,IF(AND($C36="Milestone",JM$8&gt;=$G36,JM$8&lt;=$G36+$H36-1),1,""))</f>
        <v/>
      </c>
      <c r="JN36" s="69" t="str">
        <f ca="1">IF(AND($C36="Goal",JN$8&gt;=$G36,JN$8&lt;=$G36+$H36-1),2,IF(AND($C36="Milestone",JN$8&gt;=$G36,JN$8&lt;=$G36+$H36-1),1,""))</f>
        <v/>
      </c>
      <c r="JO36" s="69" t="str">
        <f ca="1">IF(AND($C36="Goal",JO$8&gt;=$G36,JO$8&lt;=$G36+$H36-1),2,IF(AND($C36="Milestone",JO$8&gt;=$G36,JO$8&lt;=$G36+$H36-1),1,""))</f>
        <v/>
      </c>
      <c r="JP36" s="69" t="str">
        <f ca="1">IF(AND($C36="Goal",JP$8&gt;=$G36,JP$8&lt;=$G36+$H36-1),2,IF(AND($C36="Milestone",JP$8&gt;=$G36,JP$8&lt;=$G36+$H36-1),1,""))</f>
        <v/>
      </c>
      <c r="JQ36" s="69" t="str">
        <f ca="1">IF(AND($C36="Goal",JQ$8&gt;=$G36,JQ$8&lt;=$G36+$H36-1),2,IF(AND($C36="Milestone",JQ$8&gt;=$G36,JQ$8&lt;=$G36+$H36-1),1,""))</f>
        <v/>
      </c>
      <c r="JR36" s="69" t="str">
        <f ca="1">IF(AND($C36="Goal",JR$8&gt;=$G36,JR$8&lt;=$G36+$H36-1),2,IF(AND($C36="Milestone",JR$8&gt;=$G36,JR$8&lt;=$G36+$H36-1),1,""))</f>
        <v/>
      </c>
      <c r="JS36" s="69" t="str">
        <f ca="1">IF(AND($C36="Goal",JS$8&gt;=$G36,JS$8&lt;=$G36+$H36-1),2,IF(AND($C36="Milestone",JS$8&gt;=$G36,JS$8&lt;=$G36+$H36-1),1,""))</f>
        <v/>
      </c>
      <c r="JT36" s="69" t="str">
        <f ca="1">IF(AND($C36="Goal",JT$8&gt;=$G36,JT$8&lt;=$G36+$H36-1),2,IF(AND($C36="Milestone",JT$8&gt;=$G36,JT$8&lt;=$G36+$H36-1),1,""))</f>
        <v/>
      </c>
      <c r="JU36" s="69" t="str">
        <f ca="1">IF(AND($C36="Goal",JU$8&gt;=$G36,JU$8&lt;=$G36+$H36-1),2,IF(AND($C36="Milestone",JU$8&gt;=$G36,JU$8&lt;=$G36+$H36-1),1,""))</f>
        <v/>
      </c>
      <c r="JV36" s="69" t="str">
        <f ca="1">IF(AND($C36="Goal",JV$8&gt;=$G36,JV$8&lt;=$G36+$H36-1),2,IF(AND($C36="Milestone",JV$8&gt;=$G36,JV$8&lt;=$G36+$H36-1),1,""))</f>
        <v/>
      </c>
      <c r="JW36" s="69" t="str">
        <f ca="1">IF(AND($C36="Goal",JW$8&gt;=$G36,JW$8&lt;=$G36+$H36-1),2,IF(AND($C36="Milestone",JW$8&gt;=$G36,JW$8&lt;=$G36+$H36-1),1,""))</f>
        <v/>
      </c>
      <c r="JX36" s="69" t="str">
        <f ca="1">IF(AND($C36="Goal",JX$8&gt;=$G36,JX$8&lt;=$G36+$H36-1),2,IF(AND($C36="Milestone",JX$8&gt;=$G36,JX$8&lt;=$G36+$H36-1),1,""))</f>
        <v/>
      </c>
      <c r="JY36" s="69" t="str">
        <f ca="1">IF(AND($C36="Goal",JY$8&gt;=$G36,JY$8&lt;=$G36+$H36-1),2,IF(AND($C36="Milestone",JY$8&gt;=$G36,JY$8&lt;=$G36+$H36-1),1,""))</f>
        <v/>
      </c>
      <c r="JZ36" s="69" t="str">
        <f ca="1">IF(AND($C36="Goal",JZ$8&gt;=$G36,JZ$8&lt;=$G36+$H36-1),2,IF(AND($C36="Milestone",JZ$8&gt;=$G36,JZ$8&lt;=$G36+$H36-1),1,""))</f>
        <v/>
      </c>
      <c r="KA36" s="69" t="str">
        <f ca="1">IF(AND($C36="Goal",KA$8&gt;=$G36,KA$8&lt;=$G36+$H36-1),2,IF(AND($C36="Milestone",KA$8&gt;=$G36,KA$8&lt;=$G36+$H36-1),1,""))</f>
        <v/>
      </c>
      <c r="KB36" s="69" t="str">
        <f ca="1">IF(AND($C36="Goal",KB$8&gt;=$G36,KB$8&lt;=$G36+$H36-1),2,IF(AND($C36="Milestone",KB$8&gt;=$G36,KB$8&lt;=$G36+$H36-1),1,""))</f>
        <v/>
      </c>
      <c r="KC36" s="69" t="str">
        <f ca="1">IF(AND($C36="Goal",KC$8&gt;=$G36,KC$8&lt;=$G36+$H36-1),2,IF(AND($C36="Milestone",KC$8&gt;=$G36,KC$8&lt;=$G36+$H36-1),1,""))</f>
        <v/>
      </c>
      <c r="KD36" s="69" t="str">
        <f ca="1">IF(AND($C36="Goal",KD$8&gt;=$G36,KD$8&lt;=$G36+$H36-1),2,IF(AND($C36="Milestone",KD$8&gt;=$G36,KD$8&lt;=$G36+$H36-1),1,""))</f>
        <v/>
      </c>
      <c r="KE36" s="69" t="str">
        <f ca="1">IF(AND($C36="Goal",KE$8&gt;=$G36,KE$8&lt;=$G36+$H36-1),2,IF(AND($C36="Milestone",KE$8&gt;=$G36,KE$8&lt;=$G36+$H36-1),1,""))</f>
        <v/>
      </c>
      <c r="KF36" s="69" t="str">
        <f ca="1">IF(AND($C36="Goal",KF$8&gt;=$G36,KF$8&lt;=$G36+$H36-1),2,IF(AND($C36="Milestone",KF$8&gt;=$G36,KF$8&lt;=$G36+$H36-1),1,""))</f>
        <v/>
      </c>
      <c r="KG36" s="69" t="str">
        <f ca="1">IF(AND($C36="Goal",KG$8&gt;=$G36,KG$8&lt;=$G36+$H36-1),2,IF(AND($C36="Milestone",KG$8&gt;=$G36,KG$8&lt;=$G36+$H36-1),1,""))</f>
        <v/>
      </c>
      <c r="KH36" s="69" t="str">
        <f ca="1">IF(AND($C36="Goal",KH$8&gt;=$G36,KH$8&lt;=$G36+$H36-1),2,IF(AND($C36="Milestone",KH$8&gt;=$G36,KH$8&lt;=$G36+$H36-1),1,""))</f>
        <v/>
      </c>
      <c r="KI36" s="69" t="str">
        <f ca="1">IF(AND($C36="Goal",KI$8&gt;=$G36,KI$8&lt;=$G36+$H36-1),2,IF(AND($C36="Milestone",KI$8&gt;=$G36,KI$8&lt;=$G36+$H36-1),1,""))</f>
        <v/>
      </c>
      <c r="KJ36" s="69" t="str">
        <f ca="1">IF(AND($C36="Goal",KJ$8&gt;=$G36,KJ$8&lt;=$G36+$H36-1),2,IF(AND($C36="Milestone",KJ$8&gt;=$G36,KJ$8&lt;=$G36+$H36-1),1,""))</f>
        <v/>
      </c>
      <c r="KK36" s="69" t="str">
        <f ca="1">IF(AND($C36="Goal",KK$8&gt;=$G36,KK$8&lt;=$G36+$H36-1),2,IF(AND($C36="Milestone",KK$8&gt;=$G36,KK$8&lt;=$G36+$H36-1),1,""))</f>
        <v/>
      </c>
      <c r="KL36" s="69" t="str">
        <f ca="1">IF(AND($C36="Goal",KL$8&gt;=$G36,KL$8&lt;=$G36+$H36-1),2,IF(AND($C36="Milestone",KL$8&gt;=$G36,KL$8&lt;=$G36+$H36-1),1,""))</f>
        <v/>
      </c>
      <c r="KM36" s="69" t="str">
        <f ca="1">IF(AND($C36="Goal",KM$8&gt;=$G36,KM$8&lt;=$G36+$H36-1),2,IF(AND($C36="Milestone",KM$8&gt;=$G36,KM$8&lt;=$G36+$H36-1),1,""))</f>
        <v/>
      </c>
      <c r="KN36" s="69" t="str">
        <f ca="1">IF(AND($C36="Goal",KN$8&gt;=$G36,KN$8&lt;=$G36+$H36-1),2,IF(AND($C36="Milestone",KN$8&gt;=$G36,KN$8&lt;=$G36+$H36-1),1,""))</f>
        <v/>
      </c>
      <c r="KO36" s="69" t="str">
        <f ca="1">IF(AND($C36="Goal",KO$8&gt;=$G36,KO$8&lt;=$G36+$H36-1),2,IF(AND($C36="Milestone",KO$8&gt;=$G36,KO$8&lt;=$G36+$H36-1),1,""))</f>
        <v/>
      </c>
      <c r="KP36" s="69" t="str">
        <f ca="1">IF(AND($C36="Goal",KP$8&gt;=$G36,KP$8&lt;=$G36+$H36-1),2,IF(AND($C36="Milestone",KP$8&gt;=$G36,KP$8&lt;=$G36+$H36-1),1,""))</f>
        <v/>
      </c>
      <c r="KQ36" s="69" t="str">
        <f ca="1">IF(AND($C36="Goal",KQ$8&gt;=$G36,KQ$8&lt;=$G36+$H36-1),2,IF(AND($C36="Milestone",KQ$8&gt;=$G36,KQ$8&lt;=$G36+$H36-1),1,""))</f>
        <v/>
      </c>
      <c r="KR36" s="69" t="str">
        <f ca="1">IF(AND($C36="Goal",KR$8&gt;=$G36,KR$8&lt;=$G36+$H36-1),2,IF(AND($C36="Milestone",KR$8&gt;=$G36,KR$8&lt;=$G36+$H36-1),1,""))</f>
        <v/>
      </c>
      <c r="KS36" s="69" t="str">
        <f ca="1">IF(AND($C36="Goal",KS$8&gt;=$G36,KS$8&lt;=$G36+$H36-1),2,IF(AND($C36="Milestone",KS$8&gt;=$G36,KS$8&lt;=$G36+$H36-1),1,""))</f>
        <v/>
      </c>
      <c r="KT36" s="69" t="str">
        <f ca="1">IF(AND($C36="Goal",KT$8&gt;=$G36,KT$8&lt;=$G36+$H36-1),2,IF(AND($C36="Milestone",KT$8&gt;=$G36,KT$8&lt;=$G36+$H36-1),1,""))</f>
        <v/>
      </c>
      <c r="KU36" s="69" t="str">
        <f ca="1">IF(AND($C36="Goal",KU$8&gt;=$G36,KU$8&lt;=$G36+$H36-1),2,IF(AND($C36="Milestone",KU$8&gt;=$G36,KU$8&lt;=$G36+$H36-1),1,""))</f>
        <v/>
      </c>
      <c r="KV36" s="69" t="str">
        <f ca="1">IF(AND($C36="Goal",KV$8&gt;=$G36,KV$8&lt;=$G36+$H36-1),2,IF(AND($C36="Milestone",KV$8&gt;=$G36,KV$8&lt;=$G36+$H36-1),1,""))</f>
        <v/>
      </c>
      <c r="KW36" s="69" t="str">
        <f ca="1">IF(AND($C36="Goal",KW$8&gt;=$G36,KW$8&lt;=$G36+$H36-1),2,IF(AND($C36="Milestone",KW$8&gt;=$G36,KW$8&lt;=$G36+$H36-1),1,""))</f>
        <v/>
      </c>
      <c r="KX36" s="69" t="str">
        <f ca="1">IF(AND($C36="Goal",KX$8&gt;=$G36,KX$8&lt;=$G36+$H36-1),2,IF(AND($C36="Milestone",KX$8&gt;=$G36,KX$8&lt;=$G36+$H36-1),1,""))</f>
        <v/>
      </c>
      <c r="KY36" s="69" t="str">
        <f ca="1">IF(AND($C36="Goal",KY$8&gt;=$G36,KY$8&lt;=$G36+$H36-1),2,IF(AND($C36="Milestone",KY$8&gt;=$G36,KY$8&lt;=$G36+$H36-1),1,""))</f>
        <v/>
      </c>
      <c r="KZ36" s="69" t="str">
        <f ca="1">IF(AND($C36="Goal",KZ$8&gt;=$G36,KZ$8&lt;=$G36+$H36-1),2,IF(AND($C36="Milestone",KZ$8&gt;=$G36,KZ$8&lt;=$G36+$H36-1),1,""))</f>
        <v/>
      </c>
      <c r="LA36" s="69" t="str">
        <f ca="1">IF(AND($C36="Goal",LA$8&gt;=$G36,LA$8&lt;=$G36+$H36-1),2,IF(AND($C36="Milestone",LA$8&gt;=$G36,LA$8&lt;=$G36+$H36-1),1,""))</f>
        <v/>
      </c>
      <c r="LB36" s="69" t="str">
        <f ca="1">IF(AND($C36="Goal",LB$8&gt;=$G36,LB$8&lt;=$G36+$H36-1),2,IF(AND($C36="Milestone",LB$8&gt;=$G36,LB$8&lt;=$G36+$H36-1),1,""))</f>
        <v/>
      </c>
      <c r="LC36" s="69" t="str">
        <f ca="1">IF(AND($C36="Goal",LC$8&gt;=$G36,LC$8&lt;=$G36+$H36-1),2,IF(AND($C36="Milestone",LC$8&gt;=$G36,LC$8&lt;=$G36+$H36-1),1,""))</f>
        <v/>
      </c>
      <c r="LD36" s="69" t="str">
        <f ca="1">IF(AND($C36="Goal",LD$8&gt;=$G36,LD$8&lt;=$G36+$H36-1),2,IF(AND($C36="Milestone",LD$8&gt;=$G36,LD$8&lt;=$G36+$H36-1),1,""))</f>
        <v/>
      </c>
      <c r="LE36" s="69" t="str">
        <f ca="1">IF(AND($C36="Goal",LE$8&gt;=$G36,LE$8&lt;=$G36+$H36-1),2,IF(AND($C36="Milestone",LE$8&gt;=$G36,LE$8&lt;=$G36+$H36-1),1,""))</f>
        <v/>
      </c>
      <c r="LF36" s="69" t="str">
        <f ca="1">IF(AND($C36="Goal",LF$8&gt;=$G36,LF$8&lt;=$G36+$H36-1),2,IF(AND($C36="Milestone",LF$8&gt;=$G36,LF$8&lt;=$G36+$H36-1),1,""))</f>
        <v/>
      </c>
      <c r="LG36" s="69" t="str">
        <f ca="1">IF(AND($C36="Goal",LG$8&gt;=$G36,LG$8&lt;=$G36+$H36-1),2,IF(AND($C36="Milestone",LG$8&gt;=$G36,LG$8&lt;=$G36+$H36-1),1,""))</f>
        <v/>
      </c>
      <c r="LH36" s="69" t="str">
        <f ca="1">IF(AND($C36="Goal",LH$8&gt;=$G36,LH$8&lt;=$G36+$H36-1),2,IF(AND($C36="Milestone",LH$8&gt;=$G36,LH$8&lt;=$G36+$H36-1),1,""))</f>
        <v/>
      </c>
      <c r="LI36" s="69" t="str">
        <f ca="1">IF(AND($C36="Goal",LI$8&gt;=$G36,LI$8&lt;=$G36+$H36-1),2,IF(AND($C36="Milestone",LI$8&gt;=$G36,LI$8&lt;=$G36+$H36-1),1,""))</f>
        <v/>
      </c>
      <c r="LJ36" s="69" t="str">
        <f ca="1">IF(AND($C36="Goal",LJ$8&gt;=$G36,LJ$8&lt;=$G36+$H36-1),2,IF(AND($C36="Milestone",LJ$8&gt;=$G36,LJ$8&lt;=$G36+$H36-1),1,""))</f>
        <v/>
      </c>
      <c r="LK36" s="69" t="str">
        <f ca="1">IF(AND($C36="Goal",LK$8&gt;=$G36,LK$8&lt;=$G36+$H36-1),2,IF(AND($C36="Milestone",LK$8&gt;=$G36,LK$8&lt;=$G36+$H36-1),1,""))</f>
        <v/>
      </c>
      <c r="LL36" s="69" t="str">
        <f ca="1">IF(AND($C36="Goal",LL$8&gt;=$G36,LL$8&lt;=$G36+$H36-1),2,IF(AND($C36="Milestone",LL$8&gt;=$G36,LL$8&lt;=$G36+$H36-1),1,""))</f>
        <v/>
      </c>
      <c r="LM36" s="69" t="str">
        <f ca="1">IF(AND($C36="Goal",LM$8&gt;=$G36,LM$8&lt;=$G36+$H36-1),2,IF(AND($C36="Milestone",LM$8&gt;=$G36,LM$8&lt;=$G36+$H36-1),1,""))</f>
        <v/>
      </c>
      <c r="LN36" s="69" t="str">
        <f ca="1">IF(AND($C36="Goal",LN$8&gt;=$G36,LN$8&lt;=$G36+$H36-1),2,IF(AND($C36="Milestone",LN$8&gt;=$G36,LN$8&lt;=$G36+$H36-1),1,""))</f>
        <v/>
      </c>
      <c r="LO36" s="69" t="str">
        <f ca="1">IF(AND($C36="Goal",LO$8&gt;=$G36,LO$8&lt;=$G36+$H36-1),2,IF(AND($C36="Milestone",LO$8&gt;=$G36,LO$8&lt;=$G36+$H36-1),1,""))</f>
        <v/>
      </c>
      <c r="LP36" s="69" t="str">
        <f ca="1">IF(AND($C36="Goal",LP$8&gt;=$G36,LP$8&lt;=$G36+$H36-1),2,IF(AND($C36="Milestone",LP$8&gt;=$G36,LP$8&lt;=$G36+$H36-1),1,""))</f>
        <v/>
      </c>
      <c r="LQ36" s="69" t="str">
        <f ca="1">IF(AND($C36="Goal",LQ$8&gt;=$G36,LQ$8&lt;=$G36+$H36-1),2,IF(AND($C36="Milestone",LQ$8&gt;=$G36,LQ$8&lt;=$G36+$H36-1),1,""))</f>
        <v/>
      </c>
      <c r="LR36" s="69" t="str">
        <f ca="1">IF(AND($C36="Goal",LR$8&gt;=$G36,LR$8&lt;=$G36+$H36-1),2,IF(AND($C36="Milestone",LR$8&gt;=$G36,LR$8&lt;=$G36+$H36-1),1,""))</f>
        <v/>
      </c>
      <c r="LS36" s="69" t="str">
        <f ca="1">IF(AND($C36="Goal",LS$8&gt;=$G36,LS$8&lt;=$G36+$H36-1),2,IF(AND($C36="Milestone",LS$8&gt;=$G36,LS$8&lt;=$G36+$H36-1),1,""))</f>
        <v/>
      </c>
      <c r="LT36" s="69" t="str">
        <f ca="1">IF(AND($C36="Goal",LT$8&gt;=$G36,LT$8&lt;=$G36+$H36-1),2,IF(AND($C36="Milestone",LT$8&gt;=$G36,LT$8&lt;=$G36+$H36-1),1,""))</f>
        <v/>
      </c>
      <c r="LU36" s="69" t="str">
        <f ca="1">IF(AND($C36="Goal",LU$8&gt;=$G36,LU$8&lt;=$G36+$H36-1),2,IF(AND($C36="Milestone",LU$8&gt;=$G36,LU$8&lt;=$G36+$H36-1),1,""))</f>
        <v/>
      </c>
      <c r="LV36" s="69" t="str">
        <f ca="1">IF(AND($C36="Goal",LV$8&gt;=$G36,LV$8&lt;=$G36+$H36-1),2,IF(AND($C36="Milestone",LV$8&gt;=$G36,LV$8&lt;=$G36+$H36-1),1,""))</f>
        <v/>
      </c>
      <c r="LW36" s="69" t="str">
        <f ca="1">IF(AND($C36="Goal",LW$8&gt;=$G36,LW$8&lt;=$G36+$H36-1),2,IF(AND($C36="Milestone",LW$8&gt;=$G36,LW$8&lt;=$G36+$H36-1),1,""))</f>
        <v/>
      </c>
      <c r="LX36" s="69" t="str">
        <f ca="1">IF(AND($C36="Goal",LX$8&gt;=$G36,LX$8&lt;=$G36+$H36-1),2,IF(AND($C36="Milestone",LX$8&gt;=$G36,LX$8&lt;=$G36+$H36-1),1,""))</f>
        <v/>
      </c>
    </row>
    <row r="37" spans="1:336" s="1" customFormat="1" ht="25.25" customHeight="1" x14ac:dyDescent="0.25">
      <c r="A37" s="6"/>
      <c r="B37" s="47" t="s">
        <v>39</v>
      </c>
      <c r="C37" s="58"/>
      <c r="D37" s="58" t="str">
        <f ca="1">IF(G37="","",
IF(G37+Milestones4352[[#This Row],[Days]]="","",
IF(OR(F37=1,F37=100%),"Complete",
CHOOSE(
  1
  + --(((1-IF(F37&gt;1,F37/100,F37))*POWER(2.718281828,(60-MAX(0,G37+Milestones4352[[#This Row],[Days]]-TODAY()))/12))&gt;=0.6)
  + --(((1-IF(F37&gt;1,F37/100,F37))*POWER(2.718281828,(60-MAX(0,G37+Milestones4352[[#This Row],[Days]]-TODAY()))/12))&gt;=1.2)
  + --(((1-IF(F37&gt;1,F37/100,F37))*POWER(2.718281828,(60-MAX(0,G37+Milestones4352[[#This Row],[Days]]-TODAY()))/12))&gt;=2),
  "On track","Low risk","Medium risk","High risk"
))))</f>
        <v>On track</v>
      </c>
      <c r="E37" s="58"/>
      <c r="F37" s="56">
        <v>0</v>
      </c>
      <c r="G37" s="70">
        <f t="shared" si="212"/>
        <v>46108</v>
      </c>
      <c r="H37" s="57">
        <v>15</v>
      </c>
      <c r="I37" s="57">
        <f t="shared" si="207"/>
        <v>11</v>
      </c>
      <c r="J37" s="12">
        <f ca="1">IF(OR(Milestones4352[[#This Row],[Start]]="",Milestones4352[[#This Row],[Days]]=""),"",(Milestones4352[[#This Row],[Start]]+Milestones4352[[#This Row],[Days]])-TODAY())</f>
        <v>174</v>
      </c>
      <c r="K37" s="9"/>
      <c r="L37" s="69" t="str">
        <f ca="1">IF(AND($C37="Goal",L$8&gt;=$G37,L$8&lt;=$G37+$H37-1),2,IF(AND($C37="Milestone",L$8&gt;=$G37,L$8&lt;=$G37+$H37-1),1,""))</f>
        <v/>
      </c>
      <c r="M37" s="69" t="str">
        <f ca="1">IF(AND($C37="Goal",M$8&gt;=$G37,M$8&lt;=$G37+$H37-1),2,IF(AND($C37="Milestone",M$8&gt;=$G37,M$8&lt;=$G37+$H37-1),1,""))</f>
        <v/>
      </c>
      <c r="N37" s="69" t="str">
        <f ca="1">IF(AND($C37="Goal",N$8&gt;=$G37,N$8&lt;=$G37+$H37-1),2,IF(AND($C37="Milestone",N$8&gt;=$G37,N$8&lt;=$G37+$H37-1),1,""))</f>
        <v/>
      </c>
      <c r="O37" s="69" t="str">
        <f ca="1">IF(AND($C37="Goal",O$8&gt;=$G37,O$8&lt;=$G37+$H37-1),2,IF(AND($C37="Milestone",O$8&gt;=$G37,O$8&lt;=$G37+$H37-1),1,""))</f>
        <v/>
      </c>
      <c r="P37" s="69" t="str">
        <f ca="1">IF(AND($C37="Goal",P$8&gt;=$G37,P$8&lt;=$G37+$H37-1),2,IF(AND($C37="Milestone",P$8&gt;=$G37,P$8&lt;=$G37+$H37-1),1,""))</f>
        <v/>
      </c>
      <c r="Q37" s="69" t="str">
        <f ca="1">IF(AND($C37="Goal",Q$8&gt;=$G37,Q$8&lt;=$G37+$H37-1),2,IF(AND($C37="Milestone",Q$8&gt;=$G37,Q$8&lt;=$G37+$H37-1),1,""))</f>
        <v/>
      </c>
      <c r="R37" s="69" t="str">
        <f ca="1">IF(AND($C37="Goal",R$8&gt;=$G37,R$8&lt;=$G37+$H37-1),2,IF(AND($C37="Milestone",R$8&gt;=$G37,R$8&lt;=$G37+$H37-1),1,""))</f>
        <v/>
      </c>
      <c r="S37" s="69" t="str">
        <f ca="1">IF(AND($C37="Goal",S$8&gt;=$G37,S$8&lt;=$G37+$H37-1),2,IF(AND($C37="Milestone",S$8&gt;=$G37,S$8&lt;=$G37+$H37-1),1,""))</f>
        <v/>
      </c>
      <c r="T37" s="69" t="str">
        <f ca="1">IF(AND($C37="Goal",T$8&gt;=$G37,T$8&lt;=$G37+$H37-1),2,IF(AND($C37="Milestone",T$8&gt;=$G37,T$8&lt;=$G37+$H37-1),1,""))</f>
        <v/>
      </c>
      <c r="U37" s="69" t="str">
        <f ca="1">IF(AND($C37="Goal",U$8&gt;=$G37,U$8&lt;=$G37+$H37-1),2,IF(AND($C37="Milestone",U$8&gt;=$G37,U$8&lt;=$G37+$H37-1),1,""))</f>
        <v/>
      </c>
      <c r="V37" s="69" t="str">
        <f ca="1">IF(AND($C37="Goal",V$8&gt;=$G37,V$8&lt;=$G37+$H37-1),2,IF(AND($C37="Milestone",V$8&gt;=$G37,V$8&lt;=$G37+$H37-1),1,""))</f>
        <v/>
      </c>
      <c r="W37" s="69" t="str">
        <f ca="1">IF(AND($C37="Goal",W$8&gt;=$G37,W$8&lt;=$G37+$H37-1),2,IF(AND($C37="Milestone",W$8&gt;=$G37,W$8&lt;=$G37+$H37-1),1,""))</f>
        <v/>
      </c>
      <c r="X37" s="69" t="str">
        <f ca="1">IF(AND($C37="Goal",X$8&gt;=$G37,X$8&lt;=$G37+$H37-1),2,IF(AND($C37="Milestone",X$8&gt;=$G37,X$8&lt;=$G37+$H37-1),1,""))</f>
        <v/>
      </c>
      <c r="Y37" s="69" t="str">
        <f ca="1">IF(AND($C37="Goal",Y$8&gt;=$G37,Y$8&lt;=$G37+$H37-1),2,IF(AND($C37="Milestone",Y$8&gt;=$G37,Y$8&lt;=$G37+$H37-1),1,""))</f>
        <v/>
      </c>
      <c r="Z37" s="69" t="str">
        <f ca="1">IF(AND($C37="Goal",Z$8&gt;=$G37,Z$8&lt;=$G37+$H37-1),2,IF(AND($C37="Milestone",Z$8&gt;=$G37,Z$8&lt;=$G37+$H37-1),1,""))</f>
        <v/>
      </c>
      <c r="AA37" s="69" t="str">
        <f ca="1">IF(AND($C37="Goal",AA$8&gt;=$G37,AA$8&lt;=$G37+$H37-1),2,IF(AND($C37="Milestone",AA$8&gt;=$G37,AA$8&lt;=$G37+$H37-1),1,""))</f>
        <v/>
      </c>
      <c r="AB37" s="69" t="str">
        <f ca="1">IF(AND($C37="Goal",AB$8&gt;=$G37,AB$8&lt;=$G37+$H37-1),2,IF(AND($C37="Milestone",AB$8&gt;=$G37,AB$8&lt;=$G37+$H37-1),1,""))</f>
        <v/>
      </c>
      <c r="AC37" s="69" t="str">
        <f ca="1">IF(AND($C37="Goal",AC$8&gt;=$G37,AC$8&lt;=$G37+$H37-1),2,IF(AND($C37="Milestone",AC$8&gt;=$G37,AC$8&lt;=$G37+$H37-1),1,""))</f>
        <v/>
      </c>
      <c r="AD37" s="69" t="str">
        <f ca="1">IF(AND($C37="Goal",AD$8&gt;=$G37,AD$8&lt;=$G37+$H37-1),2,IF(AND($C37="Milestone",AD$8&gt;=$G37,AD$8&lt;=$G37+$H37-1),1,""))</f>
        <v/>
      </c>
      <c r="AE37" s="69" t="str">
        <f ca="1">IF(AND($C37="Goal",AE$8&gt;=$G37,AE$8&lt;=$G37+$H37-1),2,IF(AND($C37="Milestone",AE$8&gt;=$G37,AE$8&lt;=$G37+$H37-1),1,""))</f>
        <v/>
      </c>
      <c r="AF37" s="69" t="str">
        <f ca="1">IF(AND($C37="Goal",AF$8&gt;=$G37,AF$8&lt;=$G37+$H37-1),2,IF(AND($C37="Milestone",AF$8&gt;=$G37,AF$8&lt;=$G37+$H37-1),1,""))</f>
        <v/>
      </c>
      <c r="AG37" s="69" t="str">
        <f ca="1">IF(AND($C37="Goal",AG$8&gt;=$G37,AG$8&lt;=$G37+$H37-1),2,IF(AND($C37="Milestone",AG$8&gt;=$G37,AG$8&lt;=$G37+$H37-1),1,""))</f>
        <v/>
      </c>
      <c r="AH37" s="69" t="str">
        <f ca="1">IF(AND($C37="Goal",AH$8&gt;=$G37,AH$8&lt;=$G37+$H37-1),2,IF(AND($C37="Milestone",AH$8&gt;=$G37,AH$8&lt;=$G37+$H37-1),1,""))</f>
        <v/>
      </c>
      <c r="AI37" s="69" t="str">
        <f ca="1">IF(AND($C37="Goal",AI$8&gt;=$G37,AI$8&lt;=$G37+$H37-1),2,IF(AND($C37="Milestone",AI$8&gt;=$G37,AI$8&lt;=$G37+$H37-1),1,""))</f>
        <v/>
      </c>
      <c r="AJ37" s="69" t="str">
        <f ca="1">IF(AND($C37="Goal",AJ$8&gt;=$G37,AJ$8&lt;=$G37+$H37-1),2,IF(AND($C37="Milestone",AJ$8&gt;=$G37,AJ$8&lt;=$G37+$H37-1),1,""))</f>
        <v/>
      </c>
      <c r="AK37" s="69" t="str">
        <f ca="1">IF(AND($C37="Goal",AK$8&gt;=$G37,AK$8&lt;=$G37+$H37-1),2,IF(AND($C37="Milestone",AK$8&gt;=$G37,AK$8&lt;=$G37+$H37-1),1,""))</f>
        <v/>
      </c>
      <c r="AL37" s="69" t="str">
        <f ca="1">IF(AND($C37="Goal",AL$8&gt;=$G37,AL$8&lt;=$G37+$H37-1),2,IF(AND($C37="Milestone",AL$8&gt;=$G37,AL$8&lt;=$G37+$H37-1),1,""))</f>
        <v/>
      </c>
      <c r="AM37" s="69" t="str">
        <f ca="1">IF(AND($C37="Goal",AM$8&gt;=$G37,AM$8&lt;=$G37+$H37-1),2,IF(AND($C37="Milestone",AM$8&gt;=$G37,AM$8&lt;=$G37+$H37-1),1,""))</f>
        <v/>
      </c>
      <c r="AN37" s="69" t="str">
        <f ca="1">IF(AND($C37="Goal",AN$8&gt;=$G37,AN$8&lt;=$G37+$H37-1),2,IF(AND($C37="Milestone",AN$8&gt;=$G37,AN$8&lt;=$G37+$H37-1),1,""))</f>
        <v/>
      </c>
      <c r="AO37" s="69" t="str">
        <f ca="1">IF(AND($C37="Goal",AO$8&gt;=$G37,AO$8&lt;=$G37+$H37-1),2,IF(AND($C37="Milestone",AO$8&gt;=$G37,AO$8&lt;=$G37+$H37-1),1,""))</f>
        <v/>
      </c>
      <c r="AP37" s="69" t="str">
        <f ca="1">IF(AND($C37="Goal",AP$8&gt;=$G37,AP$8&lt;=$G37+$H37-1),2,IF(AND($C37="Milestone",AP$8&gt;=$G37,AP$8&lt;=$G37+$H37-1),1,""))</f>
        <v/>
      </c>
      <c r="AQ37" s="69" t="str">
        <f ca="1">IF(AND($C37="Goal",AQ$8&gt;=$G37,AQ$8&lt;=$G37+$H37-1),2,IF(AND($C37="Milestone",AQ$8&gt;=$G37,AQ$8&lt;=$G37+$H37-1),1,""))</f>
        <v/>
      </c>
      <c r="AR37" s="69" t="str">
        <f ca="1">IF(AND($C37="Goal",AR$8&gt;=$G37,AR$8&lt;=$G37+$H37-1),2,IF(AND($C37="Milestone",AR$8&gt;=$G37,AR$8&lt;=$G37+$H37-1),1,""))</f>
        <v/>
      </c>
      <c r="AS37" s="69" t="str">
        <f ca="1">IF(AND($C37="Goal",AS$8&gt;=$G37,AS$8&lt;=$G37+$H37-1),2,IF(AND($C37="Milestone",AS$8&gt;=$G37,AS$8&lt;=$G37+$H37-1),1,""))</f>
        <v/>
      </c>
      <c r="AT37" s="69" t="str">
        <f ca="1">IF(AND($C37="Goal",AT$8&gt;=$G37,AT$8&lt;=$G37+$H37-1),2,IF(AND($C37="Milestone",AT$8&gt;=$G37,AT$8&lt;=$G37+$H37-1),1,""))</f>
        <v/>
      </c>
      <c r="AU37" s="69" t="str">
        <f ca="1">IF(AND($C37="Goal",AU$8&gt;=$G37,AU$8&lt;=$G37+$H37-1),2,IF(AND($C37="Milestone",AU$8&gt;=$G37,AU$8&lt;=$G37+$H37-1),1,""))</f>
        <v/>
      </c>
      <c r="AV37" s="69" t="str">
        <f ca="1">IF(AND($C37="Goal",AV$8&gt;=$G37,AV$8&lt;=$G37+$H37-1),2,IF(AND($C37="Milestone",AV$8&gt;=$G37,AV$8&lt;=$G37+$H37-1),1,""))</f>
        <v/>
      </c>
      <c r="AW37" s="69" t="str">
        <f ca="1">IF(AND($C37="Goal",AW$8&gt;=$G37,AW$8&lt;=$G37+$H37-1),2,IF(AND($C37="Milestone",AW$8&gt;=$G37,AW$8&lt;=$G37+$H37-1),1,""))</f>
        <v/>
      </c>
      <c r="AX37" s="69" t="str">
        <f ca="1">IF(AND($C37="Goal",AX$8&gt;=$G37,AX$8&lt;=$G37+$H37-1),2,IF(AND($C37="Milestone",AX$8&gt;=$G37,AX$8&lt;=$G37+$H37-1),1,""))</f>
        <v/>
      </c>
      <c r="AY37" s="69" t="str">
        <f ca="1">IF(AND($C37="Goal",AY$8&gt;=$G37,AY$8&lt;=$G37+$H37-1),2,IF(AND($C37="Milestone",AY$8&gt;=$G37,AY$8&lt;=$G37+$H37-1),1,""))</f>
        <v/>
      </c>
      <c r="AZ37" s="69" t="str">
        <f ca="1">IF(AND($C37="Goal",AZ$8&gt;=$G37,AZ$8&lt;=$G37+$H37-1),2,IF(AND($C37="Milestone",AZ$8&gt;=$G37,AZ$8&lt;=$G37+$H37-1),1,""))</f>
        <v/>
      </c>
      <c r="BA37" s="69" t="str">
        <f ca="1">IF(AND($C37="Goal",BA$8&gt;=$G37,BA$8&lt;=$G37+$H37-1),2,IF(AND($C37="Milestone",BA$8&gt;=$G37,BA$8&lt;=$G37+$H37-1),1,""))</f>
        <v/>
      </c>
      <c r="BB37" s="69" t="str">
        <f ca="1">IF(AND($C37="Goal",BB$8&gt;=$G37,BB$8&lt;=$G37+$H37-1),2,IF(AND($C37="Milestone",BB$8&gt;=$G37,BB$8&lt;=$G37+$H37-1),1,""))</f>
        <v/>
      </c>
      <c r="BC37" s="69" t="str">
        <f ca="1">IF(AND($C37="Goal",BC$8&gt;=$G37,BC$8&lt;=$G37+$H37-1),2,IF(AND($C37="Milestone",BC$8&gt;=$G37,BC$8&lt;=$G37+$H37-1),1,""))</f>
        <v/>
      </c>
      <c r="BD37" s="69" t="str">
        <f ca="1">IF(AND($C37="Goal",BD$8&gt;=$G37,BD$8&lt;=$G37+$H37-1),2,IF(AND($C37="Milestone",BD$8&gt;=$G37,BD$8&lt;=$G37+$H37-1),1,""))</f>
        <v/>
      </c>
      <c r="BE37" s="69" t="str">
        <f ca="1">IF(AND($C37="Goal",BE$8&gt;=$G37,BE$8&lt;=$G37+$H37-1),2,IF(AND($C37="Milestone",BE$8&gt;=$G37,BE$8&lt;=$G37+$H37-1),1,""))</f>
        <v/>
      </c>
      <c r="BF37" s="69" t="str">
        <f ca="1">IF(AND($C37="Goal",BF$8&gt;=$G37,BF$8&lt;=$G37+$H37-1),2,IF(AND($C37="Milestone",BF$8&gt;=$G37,BF$8&lt;=$G37+$H37-1),1,""))</f>
        <v/>
      </c>
      <c r="BG37" s="69" t="str">
        <f ca="1">IF(AND($C37="Goal",BG$8&gt;=$G37,BG$8&lt;=$G37+$H37-1),2,IF(AND($C37="Milestone",BG$8&gt;=$G37,BG$8&lt;=$G37+$H37-1),1,""))</f>
        <v/>
      </c>
      <c r="BH37" s="69" t="str">
        <f ca="1">IF(AND($C37="Goal",BH$8&gt;=$G37,BH$8&lt;=$G37+$H37-1),2,IF(AND($C37="Milestone",BH$8&gt;=$G37,BH$8&lt;=$G37+$H37-1),1,""))</f>
        <v/>
      </c>
      <c r="BI37" s="69" t="str">
        <f ca="1">IF(AND($C37="Goal",BI$8&gt;=$G37,BI$8&lt;=$G37+$H37-1),2,IF(AND($C37="Milestone",BI$8&gt;=$G37,BI$8&lt;=$G37+$H37-1),1,""))</f>
        <v/>
      </c>
      <c r="BJ37" s="69" t="str">
        <f ca="1">IF(AND($C37="Goal",BJ$8&gt;=$G37,BJ$8&lt;=$G37+$H37-1),2,IF(AND($C37="Milestone",BJ$8&gt;=$G37,BJ$8&lt;=$G37+$H37-1),1,""))</f>
        <v/>
      </c>
      <c r="BK37" s="69" t="str">
        <f ca="1">IF(AND($C37="Goal",BK$8&gt;=$G37,BK$8&lt;=$G37+$H37-1),2,IF(AND($C37="Milestone",BK$8&gt;=$G37,BK$8&lt;=$G37+$H37-1),1,""))</f>
        <v/>
      </c>
      <c r="BL37" s="69" t="str">
        <f ca="1">IF(AND($C37="Goal",BL$8&gt;=$G37,BL$8&lt;=$G37+$H37-1),2,IF(AND($C37="Milestone",BL$8&gt;=$G37,BL$8&lt;=$G37+$H37-1),1,""))</f>
        <v/>
      </c>
      <c r="BM37" s="69" t="str">
        <f ca="1">IF(AND($C37="Goal",BM$8&gt;=$G37,BM$8&lt;=$G37+$H37-1),2,IF(AND($C37="Milestone",BM$8&gt;=$G37,BM$8&lt;=$G37+$H37-1),1,""))</f>
        <v/>
      </c>
      <c r="BN37" s="69" t="str">
        <f ca="1">IF(AND($C37="Goal",BN$8&gt;=$G37,BN$8&lt;=$G37+$H37-1),2,IF(AND($C37="Milestone",BN$8&gt;=$G37,BN$8&lt;=$G37+$H37-1),1,""))</f>
        <v/>
      </c>
      <c r="BO37" s="69" t="str">
        <f ca="1">IF(AND($C37="Goal",BO$8&gt;=$G37,BO$8&lt;=$G37+$H37-1),2,IF(AND($C37="Milestone",BO$8&gt;=$G37,BO$8&lt;=$G37+$H37-1),1,""))</f>
        <v/>
      </c>
      <c r="BP37" s="69" t="str">
        <f ca="1">IF(AND($C37="Goal",BP$8&gt;=$G37,BP$8&lt;=$G37+$H37-1),2,IF(AND($C37="Milestone",BP$8&gt;=$G37,BP$8&lt;=$G37+$H37-1),1,""))</f>
        <v/>
      </c>
      <c r="BQ37" s="69" t="str">
        <f ca="1">IF(AND($C37="Goal",BQ$8&gt;=$G37,BQ$8&lt;=$G37+$H37-1),2,IF(AND($C37="Milestone",BQ$8&gt;=$G37,BQ$8&lt;=$G37+$H37-1),1,""))</f>
        <v/>
      </c>
      <c r="BR37" s="69" t="str">
        <f ca="1">IF(AND($C37="Goal",BR$8&gt;=$G37,BR$8&lt;=$G37+$H37-1),2,IF(AND($C37="Milestone",BR$8&gt;=$G37,BR$8&lt;=$G37+$H37-1),1,""))</f>
        <v/>
      </c>
      <c r="BS37" s="69" t="str">
        <f ca="1">IF(AND($C37="Goal",BS$8&gt;=$G37,BS$8&lt;=$G37+$H37-1),2,IF(AND($C37="Milestone",BS$8&gt;=$G37,BS$8&lt;=$G37+$H37-1),1,""))</f>
        <v/>
      </c>
      <c r="BT37" s="69" t="str">
        <f ca="1">IF(AND($C37="Goal",BT$8&gt;=$G37,BT$8&lt;=$G37+$H37-1),2,IF(AND($C37="Milestone",BT$8&gt;=$G37,BT$8&lt;=$G37+$H37-1),1,""))</f>
        <v/>
      </c>
      <c r="BU37" s="69" t="str">
        <f ca="1">IF(AND($C37="Goal",BU$8&gt;=$G37,BU$8&lt;=$G37+$H37-1),2,IF(AND($C37="Milestone",BU$8&gt;=$G37,BU$8&lt;=$G37+$H37-1),1,""))</f>
        <v/>
      </c>
      <c r="BV37" s="69" t="str">
        <f ca="1">IF(AND($C37="Goal",BV$8&gt;=$G37,BV$8&lt;=$G37+$H37-1),2,IF(AND($C37="Milestone",BV$8&gt;=$G37,BV$8&lt;=$G37+$H37-1),1,""))</f>
        <v/>
      </c>
      <c r="BW37" s="69" t="str">
        <f ca="1">IF(AND($C37="Goal",BW$8&gt;=$G37,BW$8&lt;=$G37+$H37-1),2,IF(AND($C37="Milestone",BW$8&gt;=$G37,BW$8&lt;=$G37+$H37-1),1,""))</f>
        <v/>
      </c>
      <c r="BX37" s="69" t="str">
        <f ca="1">IF(AND($C37="Goal",BX$8&gt;=$G37,BX$8&lt;=$G37+$H37-1),2,IF(AND($C37="Milestone",BX$8&gt;=$G37,BX$8&lt;=$G37+$H37-1),1,""))</f>
        <v/>
      </c>
      <c r="BY37" s="69" t="str">
        <f ca="1">IF(AND($C37="Goal",BY$8&gt;=$G37,BY$8&lt;=$G37+$H37-1),2,IF(AND($C37="Milestone",BY$8&gt;=$G37,BY$8&lt;=$G37+$H37-1),1,""))</f>
        <v/>
      </c>
      <c r="BZ37" s="69" t="str">
        <f ca="1">IF(AND($C37="Goal",BZ$8&gt;=$G37,BZ$8&lt;=$G37+$H37-1),2,IF(AND($C37="Milestone",BZ$8&gt;=$G37,BZ$8&lt;=$G37+$H37-1),1,""))</f>
        <v/>
      </c>
      <c r="CA37" s="69" t="str">
        <f ca="1">IF(AND($C37="Goal",CA$8&gt;=$G37,CA$8&lt;=$G37+$H37-1),2,IF(AND($C37="Milestone",CA$8&gt;=$G37,CA$8&lt;=$G37+$H37-1),1,""))</f>
        <v/>
      </c>
      <c r="CB37" s="69" t="str">
        <f ca="1">IF(AND($C37="Goal",CB$8&gt;=$G37,CB$8&lt;=$G37+$H37-1),2,IF(AND($C37="Milestone",CB$8&gt;=$G37,CB$8&lt;=$G37+$H37-1),1,""))</f>
        <v/>
      </c>
      <c r="CC37" s="69" t="str">
        <f ca="1">IF(AND($C37="Goal",CC$8&gt;=$G37,CC$8&lt;=$G37+$H37-1),2,IF(AND($C37="Milestone",CC$8&gt;=$G37,CC$8&lt;=$G37+$H37-1),1,""))</f>
        <v/>
      </c>
      <c r="CD37" s="69" t="str">
        <f ca="1">IF(AND($C37="Goal",CD$8&gt;=$G37,CD$8&lt;=$G37+$H37-1),2,IF(AND($C37="Milestone",CD$8&gt;=$G37,CD$8&lt;=$G37+$H37-1),1,""))</f>
        <v/>
      </c>
      <c r="CE37" s="69" t="str">
        <f ca="1">IF(AND($C37="Goal",CE$8&gt;=$G37,CE$8&lt;=$G37+$H37-1),2,IF(AND($C37="Milestone",CE$8&gt;=$G37,CE$8&lt;=$G37+$H37-1),1,""))</f>
        <v/>
      </c>
      <c r="CF37" s="69" t="str">
        <f ca="1">IF(AND($C37="Goal",CF$8&gt;=$G37,CF$8&lt;=$G37+$H37-1),2,IF(AND($C37="Milestone",CF$8&gt;=$G37,CF$8&lt;=$G37+$H37-1),1,""))</f>
        <v/>
      </c>
      <c r="CG37" s="69" t="str">
        <f ca="1">IF(AND($C37="Goal",CG$8&gt;=$G37,CG$8&lt;=$G37+$H37-1),2,IF(AND($C37="Milestone",CG$8&gt;=$G37,CG$8&lt;=$G37+$H37-1),1,""))</f>
        <v/>
      </c>
      <c r="CH37" s="69" t="str">
        <f ca="1">IF(AND($C37="Goal",CH$8&gt;=$G37,CH$8&lt;=$G37+$H37-1),2,IF(AND($C37="Milestone",CH$8&gt;=$G37,CH$8&lt;=$G37+$H37-1),1,""))</f>
        <v/>
      </c>
      <c r="CI37" s="69" t="str">
        <f ca="1">IF(AND($C37="Goal",CI$8&gt;=$G37,CI$8&lt;=$G37+$H37-1),2,IF(AND($C37="Milestone",CI$8&gt;=$G37,CI$8&lt;=$G37+$H37-1),1,""))</f>
        <v/>
      </c>
      <c r="CJ37" s="69" t="str">
        <f ca="1">IF(AND($C37="Goal",CJ$8&gt;=$G37,CJ$8&lt;=$G37+$H37-1),2,IF(AND($C37="Milestone",CJ$8&gt;=$G37,CJ$8&lt;=$G37+$H37-1),1,""))</f>
        <v/>
      </c>
      <c r="CK37" s="69" t="str">
        <f ca="1">IF(AND($C37="Goal",CK$8&gt;=$G37,CK$8&lt;=$G37+$H37-1),2,IF(AND($C37="Milestone",CK$8&gt;=$G37,CK$8&lt;=$G37+$H37-1),1,""))</f>
        <v/>
      </c>
      <c r="CL37" s="69" t="str">
        <f ca="1">IF(AND($C37="Goal",CL$8&gt;=$G37,CL$8&lt;=$G37+$H37-1),2,IF(AND($C37="Milestone",CL$8&gt;=$G37,CL$8&lt;=$G37+$H37-1),1,""))</f>
        <v/>
      </c>
      <c r="CM37" s="69" t="str">
        <f ca="1">IF(AND($C37="Goal",CM$8&gt;=$G37,CM$8&lt;=$G37+$H37-1),2,IF(AND($C37="Milestone",CM$8&gt;=$G37,CM$8&lt;=$G37+$H37-1),1,""))</f>
        <v/>
      </c>
      <c r="CN37" s="69" t="str">
        <f ca="1">IF(AND($C37="Goal",CN$8&gt;=$G37,CN$8&lt;=$G37+$H37-1),2,IF(AND($C37="Milestone",CN$8&gt;=$G37,CN$8&lt;=$G37+$H37-1),1,""))</f>
        <v/>
      </c>
      <c r="CO37" s="69" t="str">
        <f ca="1">IF(AND($C37="Goal",CO$8&gt;=$G37,CO$8&lt;=$G37+$H37-1),2,IF(AND($C37="Milestone",CO$8&gt;=$G37,CO$8&lt;=$G37+$H37-1),1,""))</f>
        <v/>
      </c>
      <c r="CP37" s="69" t="str">
        <f ca="1">IF(AND($C37="Goal",CP$8&gt;=$G37,CP$8&lt;=$G37+$H37-1),2,IF(AND($C37="Milestone",CP$8&gt;=$G37,CP$8&lt;=$G37+$H37-1),1,""))</f>
        <v/>
      </c>
      <c r="CQ37" s="69" t="str">
        <f ca="1">IF(AND($C37="Goal",CQ$8&gt;=$G37,CQ$8&lt;=$G37+$H37-1),2,IF(AND($C37="Milestone",CQ$8&gt;=$G37,CQ$8&lt;=$G37+$H37-1),1,""))</f>
        <v/>
      </c>
      <c r="CR37" s="69" t="str">
        <f ca="1">IF(AND($C37="Goal",CR$8&gt;=$G37,CR$8&lt;=$G37+$H37-1),2,IF(AND($C37="Milestone",CR$8&gt;=$G37,CR$8&lt;=$G37+$H37-1),1,""))</f>
        <v/>
      </c>
      <c r="CS37" s="69" t="str">
        <f ca="1">IF(AND($C37="Goal",CS$8&gt;=$G37,CS$8&lt;=$G37+$H37-1),2,IF(AND($C37="Milestone",CS$8&gt;=$G37,CS$8&lt;=$G37+$H37-1),1,""))</f>
        <v/>
      </c>
      <c r="CT37" s="69" t="str">
        <f ca="1">IF(AND($C37="Goal",CT$8&gt;=$G37,CT$8&lt;=$G37+$H37-1),2,IF(AND($C37="Milestone",CT$8&gt;=$G37,CT$8&lt;=$G37+$H37-1),1,""))</f>
        <v/>
      </c>
      <c r="CU37" s="69" t="str">
        <f ca="1">IF(AND($C37="Goal",CU$8&gt;=$G37,CU$8&lt;=$G37+$H37-1),2,IF(AND($C37="Milestone",CU$8&gt;=$G37,CU$8&lt;=$G37+$H37-1),1,""))</f>
        <v/>
      </c>
      <c r="CV37" s="69" t="str">
        <f ca="1">IF(AND($C37="Goal",CV$8&gt;=$G37,CV$8&lt;=$G37+$H37-1),2,IF(AND($C37="Milestone",CV$8&gt;=$G37,CV$8&lt;=$G37+$H37-1),1,""))</f>
        <v/>
      </c>
      <c r="CW37" s="69" t="str">
        <f ca="1">IF(AND($C37="Goal",CW$8&gt;=$G37,CW$8&lt;=$G37+$H37-1),2,IF(AND($C37="Milestone",CW$8&gt;=$G37,CW$8&lt;=$G37+$H37-1),1,""))</f>
        <v/>
      </c>
      <c r="CX37" s="69" t="str">
        <f ca="1">IF(AND($C37="Goal",CX$8&gt;=$G37,CX$8&lt;=$G37+$H37-1),2,IF(AND($C37="Milestone",CX$8&gt;=$G37,CX$8&lt;=$G37+$H37-1),1,""))</f>
        <v/>
      </c>
      <c r="CY37" s="69" t="str">
        <f ca="1">IF(AND($C37="Goal",CY$8&gt;=$G37,CY$8&lt;=$G37+$H37-1),2,IF(AND($C37="Milestone",CY$8&gt;=$G37,CY$8&lt;=$G37+$H37-1),1,""))</f>
        <v/>
      </c>
      <c r="CZ37" s="69" t="str">
        <f ca="1">IF(AND($C37="Goal",CZ$8&gt;=$G37,CZ$8&lt;=$G37+$H37-1),2,IF(AND($C37="Milestone",CZ$8&gt;=$G37,CZ$8&lt;=$G37+$H37-1),1,""))</f>
        <v/>
      </c>
      <c r="DA37" s="69" t="str">
        <f ca="1">IF(AND($C37="Goal",DA$8&gt;=$G37,DA$8&lt;=$G37+$H37-1),2,IF(AND($C37="Milestone",DA$8&gt;=$G37,DA$8&lt;=$G37+$H37-1),1,""))</f>
        <v/>
      </c>
      <c r="DB37" s="69" t="str">
        <f ca="1">IF(AND($C37="Goal",DB$8&gt;=$G37,DB$8&lt;=$G37+$H37-1),2,IF(AND($C37="Milestone",DB$8&gt;=$G37,DB$8&lt;=$G37+$H37-1),1,""))</f>
        <v/>
      </c>
      <c r="DC37" s="69" t="str">
        <f ca="1">IF(AND($C37="Goal",DC$8&gt;=$G37,DC$8&lt;=$G37+$H37-1),2,IF(AND($C37="Milestone",DC$8&gt;=$G37,DC$8&lt;=$G37+$H37-1),1,""))</f>
        <v/>
      </c>
      <c r="DD37" s="69" t="str">
        <f ca="1">IF(AND($C37="Goal",DD$8&gt;=$G37,DD$8&lt;=$G37+$H37-1),2,IF(AND($C37="Milestone",DD$8&gt;=$G37,DD$8&lt;=$G37+$H37-1),1,""))</f>
        <v/>
      </c>
      <c r="DE37" s="69" t="str">
        <f ca="1">IF(AND($C37="Goal",DE$8&gt;=$G37,DE$8&lt;=$G37+$H37-1),2,IF(AND($C37="Milestone",DE$8&gt;=$G37,DE$8&lt;=$G37+$H37-1),1,""))</f>
        <v/>
      </c>
      <c r="DF37" s="69" t="str">
        <f ca="1">IF(AND($C37="Goal",DF$8&gt;=$G37,DF$8&lt;=$G37+$H37-1),2,IF(AND($C37="Milestone",DF$8&gt;=$G37,DF$8&lt;=$G37+$H37-1),1,""))</f>
        <v/>
      </c>
      <c r="DG37" s="69" t="str">
        <f ca="1">IF(AND($C37="Goal",DG$8&gt;=$G37,DG$8&lt;=$G37+$H37-1),2,IF(AND($C37="Milestone",DG$8&gt;=$G37,DG$8&lt;=$G37+$H37-1),1,""))</f>
        <v/>
      </c>
      <c r="DH37" s="69" t="str">
        <f ca="1">IF(AND($C37="Goal",DH$8&gt;=$G37,DH$8&lt;=$G37+$H37-1),2,IF(AND($C37="Milestone",DH$8&gt;=$G37,DH$8&lt;=$G37+$H37-1),1,""))</f>
        <v/>
      </c>
      <c r="DI37" s="69" t="str">
        <f ca="1">IF(AND($C37="Goal",DI$8&gt;=$G37,DI$8&lt;=$G37+$H37-1),2,IF(AND($C37="Milestone",DI$8&gt;=$G37,DI$8&lt;=$G37+$H37-1),1,""))</f>
        <v/>
      </c>
      <c r="DJ37" s="69" t="str">
        <f ca="1">IF(AND($C37="Goal",DJ$8&gt;=$G37,DJ$8&lt;=$G37+$H37-1),2,IF(AND($C37="Milestone",DJ$8&gt;=$G37,DJ$8&lt;=$G37+$H37-1),1,""))</f>
        <v/>
      </c>
      <c r="DK37" s="69" t="str">
        <f ca="1">IF(AND($C37="Goal",DK$8&gt;=$G37,DK$8&lt;=$G37+$H37-1),2,IF(AND($C37="Milestone",DK$8&gt;=$G37,DK$8&lt;=$G37+$H37-1),1,""))</f>
        <v/>
      </c>
      <c r="DL37" s="69" t="str">
        <f ca="1">IF(AND($C37="Goal",DL$8&gt;=$G37,DL$8&lt;=$G37+$H37-1),2,IF(AND($C37="Milestone",DL$8&gt;=$G37,DL$8&lt;=$G37+$H37-1),1,""))</f>
        <v/>
      </c>
      <c r="DM37" s="69" t="str">
        <f ca="1">IF(AND($C37="Goal",DM$8&gt;=$G37,DM$8&lt;=$G37+$H37-1),2,IF(AND($C37="Milestone",DM$8&gt;=$G37,DM$8&lt;=$G37+$H37-1),1,""))</f>
        <v/>
      </c>
      <c r="DN37" s="69" t="str">
        <f ca="1">IF(AND($C37="Goal",DN$8&gt;=$G37,DN$8&lt;=$G37+$H37-1),2,IF(AND($C37="Milestone",DN$8&gt;=$G37,DN$8&lt;=$G37+$H37-1),1,""))</f>
        <v/>
      </c>
      <c r="DO37" s="69" t="str">
        <f ca="1">IF(AND($C37="Goal",DO$8&gt;=$G37,DO$8&lt;=$G37+$H37-1),2,IF(AND($C37="Milestone",DO$8&gt;=$G37,DO$8&lt;=$G37+$H37-1),1,""))</f>
        <v/>
      </c>
      <c r="DP37" s="69" t="str">
        <f ca="1">IF(AND($C37="Goal",DP$8&gt;=$G37,DP$8&lt;=$G37+$H37-1),2,IF(AND($C37="Milestone",DP$8&gt;=$G37,DP$8&lt;=$G37+$H37-1),1,""))</f>
        <v/>
      </c>
      <c r="DQ37" s="69" t="str">
        <f ca="1">IF(AND($C37="Goal",DQ$8&gt;=$G37,DQ$8&lt;=$G37+$H37-1),2,IF(AND($C37="Milestone",DQ$8&gt;=$G37,DQ$8&lt;=$G37+$H37-1),1,""))</f>
        <v/>
      </c>
      <c r="DR37" s="69" t="str">
        <f ca="1">IF(AND($C37="Goal",DR$8&gt;=$G37,DR$8&lt;=$G37+$H37-1),2,IF(AND($C37="Milestone",DR$8&gt;=$G37,DR$8&lt;=$G37+$H37-1),1,""))</f>
        <v/>
      </c>
      <c r="DS37" s="69" t="str">
        <f ca="1">IF(AND($C37="Goal",DS$8&gt;=$G37,DS$8&lt;=$G37+$H37-1),2,IF(AND($C37="Milestone",DS$8&gt;=$G37,DS$8&lt;=$G37+$H37-1),1,""))</f>
        <v/>
      </c>
      <c r="DT37" s="69" t="str">
        <f ca="1">IF(AND($C37="Goal",DT$8&gt;=$G37,DT$8&lt;=$G37+$H37-1),2,IF(AND($C37="Milestone",DT$8&gt;=$G37,DT$8&lt;=$G37+$H37-1),1,""))</f>
        <v/>
      </c>
      <c r="DU37" s="69" t="str">
        <f ca="1">IF(AND($C37="Goal",DU$8&gt;=$G37,DU$8&lt;=$G37+$H37-1),2,IF(AND($C37="Milestone",DU$8&gt;=$G37,DU$8&lt;=$G37+$H37-1),1,""))</f>
        <v/>
      </c>
      <c r="DV37" s="69" t="str">
        <f ca="1">IF(AND($C37="Goal",DV$8&gt;=$G37,DV$8&lt;=$G37+$H37-1),2,IF(AND($C37="Milestone",DV$8&gt;=$G37,DV$8&lt;=$G37+$H37-1),1,""))</f>
        <v/>
      </c>
      <c r="DW37" s="69" t="str">
        <f ca="1">IF(AND($C37="Goal",DW$8&gt;=$G37,DW$8&lt;=$G37+$H37-1),2,IF(AND($C37="Milestone",DW$8&gt;=$G37,DW$8&lt;=$G37+$H37-1),1,""))</f>
        <v/>
      </c>
      <c r="DX37" s="69" t="str">
        <f ca="1">IF(AND($C37="Goal",DX$8&gt;=$G37,DX$8&lt;=$G37+$H37-1),2,IF(AND($C37="Milestone",DX$8&gt;=$G37,DX$8&lt;=$G37+$H37-1),1,""))</f>
        <v/>
      </c>
      <c r="DY37" s="69" t="str">
        <f ca="1">IF(AND($C37="Goal",DY$8&gt;=$G37,DY$8&lt;=$G37+$H37-1),2,IF(AND($C37="Milestone",DY$8&gt;=$G37,DY$8&lt;=$G37+$H37-1),1,""))</f>
        <v/>
      </c>
      <c r="DZ37" s="69" t="str">
        <f ca="1">IF(AND($C37="Goal",DZ$8&gt;=$G37,DZ$8&lt;=$G37+$H37-1),2,IF(AND($C37="Milestone",DZ$8&gt;=$G37,DZ$8&lt;=$G37+$H37-1),1,""))</f>
        <v/>
      </c>
      <c r="EA37" s="69" t="str">
        <f ca="1">IF(AND($C37="Goal",EA$8&gt;=$G37,EA$8&lt;=$G37+$H37-1),2,IF(AND($C37="Milestone",EA$8&gt;=$G37,EA$8&lt;=$G37+$H37-1),1,""))</f>
        <v/>
      </c>
      <c r="EB37" s="69" t="str">
        <f ca="1">IF(AND($C37="Goal",EB$8&gt;=$G37,EB$8&lt;=$G37+$H37-1),2,IF(AND($C37="Milestone",EB$8&gt;=$G37,EB$8&lt;=$G37+$H37-1),1,""))</f>
        <v/>
      </c>
      <c r="EC37" s="69" t="str">
        <f ca="1">IF(AND($C37="Goal",EC$8&gt;=$G37,EC$8&lt;=$G37+$H37-1),2,IF(AND($C37="Milestone",EC$8&gt;=$G37,EC$8&lt;=$G37+$H37-1),1,""))</f>
        <v/>
      </c>
      <c r="ED37" s="69" t="str">
        <f ca="1">IF(AND($C37="Goal",ED$8&gt;=$G37,ED$8&lt;=$G37+$H37-1),2,IF(AND($C37="Milestone",ED$8&gt;=$G37,ED$8&lt;=$G37+$H37-1),1,""))</f>
        <v/>
      </c>
      <c r="EE37" s="69" t="str">
        <f ca="1">IF(AND($C37="Goal",EE$8&gt;=$G37,EE$8&lt;=$G37+$H37-1),2,IF(AND($C37="Milestone",EE$8&gt;=$G37,EE$8&lt;=$G37+$H37-1),1,""))</f>
        <v/>
      </c>
      <c r="EF37" s="69" t="str">
        <f ca="1">IF(AND($C37="Goal",EF$8&gt;=$G37,EF$8&lt;=$G37+$H37-1),2,IF(AND($C37="Milestone",EF$8&gt;=$G37,EF$8&lt;=$G37+$H37-1),1,""))</f>
        <v/>
      </c>
      <c r="EG37" s="69" t="str">
        <f ca="1">IF(AND($C37="Goal",EG$8&gt;=$G37,EG$8&lt;=$G37+$H37-1),2,IF(AND($C37="Milestone",EG$8&gt;=$G37,EG$8&lt;=$G37+$H37-1),1,""))</f>
        <v/>
      </c>
      <c r="EH37" s="69" t="str">
        <f ca="1">IF(AND($C37="Goal",EH$8&gt;=$G37,EH$8&lt;=$G37+$H37-1),2,IF(AND($C37="Milestone",EH$8&gt;=$G37,EH$8&lt;=$G37+$H37-1),1,""))</f>
        <v/>
      </c>
      <c r="EI37" s="69" t="str">
        <f ca="1">IF(AND($C37="Goal",EI$8&gt;=$G37,EI$8&lt;=$G37+$H37-1),2,IF(AND($C37="Milestone",EI$8&gt;=$G37,EI$8&lt;=$G37+$H37-1),1,""))</f>
        <v/>
      </c>
      <c r="EJ37" s="69" t="str">
        <f ca="1">IF(AND($C37="Goal",EJ$8&gt;=$G37,EJ$8&lt;=$G37+$H37-1),2,IF(AND($C37="Milestone",EJ$8&gt;=$G37,EJ$8&lt;=$G37+$H37-1),1,""))</f>
        <v/>
      </c>
      <c r="EK37" s="69" t="str">
        <f ca="1">IF(AND($C37="Goal",EK$8&gt;=$G37,EK$8&lt;=$G37+$H37-1),2,IF(AND($C37="Milestone",EK$8&gt;=$G37,EK$8&lt;=$G37+$H37-1),1,""))</f>
        <v/>
      </c>
      <c r="EL37" s="69" t="str">
        <f ca="1">IF(AND($C37="Goal",EL$8&gt;=$G37,EL$8&lt;=$G37+$H37-1),2,IF(AND($C37="Milestone",EL$8&gt;=$G37,EL$8&lt;=$G37+$H37-1),1,""))</f>
        <v/>
      </c>
      <c r="EM37" s="69" t="str">
        <f ca="1">IF(AND($C37="Goal",EM$8&gt;=$G37,EM$8&lt;=$G37+$H37-1),2,IF(AND($C37="Milestone",EM$8&gt;=$G37,EM$8&lt;=$G37+$H37-1),1,""))</f>
        <v/>
      </c>
      <c r="EN37" s="69" t="str">
        <f ca="1">IF(AND($C37="Goal",EN$8&gt;=$G37,EN$8&lt;=$G37+$H37-1),2,IF(AND($C37="Milestone",EN$8&gt;=$G37,EN$8&lt;=$G37+$H37-1),1,""))</f>
        <v/>
      </c>
      <c r="EO37" s="69" t="str">
        <f ca="1">IF(AND($C37="Goal",EO$8&gt;=$G37,EO$8&lt;=$G37+$H37-1),2,IF(AND($C37="Milestone",EO$8&gt;=$G37,EO$8&lt;=$G37+$H37-1),1,""))</f>
        <v/>
      </c>
      <c r="EP37" s="69" t="str">
        <f ca="1">IF(AND($C37="Goal",EP$8&gt;=$G37,EP$8&lt;=$G37+$H37-1),2,IF(AND($C37="Milestone",EP$8&gt;=$G37,EP$8&lt;=$G37+$H37-1),1,""))</f>
        <v/>
      </c>
      <c r="EQ37" s="69" t="str">
        <f ca="1">IF(AND($C37="Goal",EQ$8&gt;=$G37,EQ$8&lt;=$G37+$H37-1),2,IF(AND($C37="Milestone",EQ$8&gt;=$G37,EQ$8&lt;=$G37+$H37-1),1,""))</f>
        <v/>
      </c>
      <c r="ER37" s="69" t="str">
        <f ca="1">IF(AND($C37="Goal",ER$8&gt;=$G37,ER$8&lt;=$G37+$H37-1),2,IF(AND($C37="Milestone",ER$8&gt;=$G37,ER$8&lt;=$G37+$H37-1),1,""))</f>
        <v/>
      </c>
      <c r="ES37" s="69" t="str">
        <f ca="1">IF(AND($C37="Goal",ES$8&gt;=$G37,ES$8&lt;=$G37+$H37-1),2,IF(AND($C37="Milestone",ES$8&gt;=$G37,ES$8&lt;=$G37+$H37-1),1,""))</f>
        <v/>
      </c>
      <c r="ET37" s="69" t="str">
        <f ca="1">IF(AND($C37="Goal",ET$8&gt;=$G37,ET$8&lt;=$G37+$H37-1),2,IF(AND($C37="Milestone",ET$8&gt;=$G37,ET$8&lt;=$G37+$H37-1),1,""))</f>
        <v/>
      </c>
      <c r="EU37" s="69" t="str">
        <f ca="1">IF(AND($C37="Goal",EU$8&gt;=$G37,EU$8&lt;=$G37+$H37-1),2,IF(AND($C37="Milestone",EU$8&gt;=$G37,EU$8&lt;=$G37+$H37-1),1,""))</f>
        <v/>
      </c>
      <c r="EV37" s="69" t="str">
        <f ca="1">IF(AND($C37="Goal",EV$8&gt;=$G37,EV$8&lt;=$G37+$H37-1),2,IF(AND($C37="Milestone",EV$8&gt;=$G37,EV$8&lt;=$G37+$H37-1),1,""))</f>
        <v/>
      </c>
      <c r="EW37" s="69" t="str">
        <f ca="1">IF(AND($C37="Goal",EW$8&gt;=$G37,EW$8&lt;=$G37+$H37-1),2,IF(AND($C37="Milestone",EW$8&gt;=$G37,EW$8&lt;=$G37+$H37-1),1,""))</f>
        <v/>
      </c>
      <c r="EX37" s="69" t="str">
        <f ca="1">IF(AND($C37="Goal",EX$8&gt;=$G37,EX$8&lt;=$G37+$H37-1),2,IF(AND($C37="Milestone",EX$8&gt;=$G37,EX$8&lt;=$G37+$H37-1),1,""))</f>
        <v/>
      </c>
      <c r="EY37" s="69" t="str">
        <f ca="1">IF(AND($C37="Goal",EY$8&gt;=$G37,EY$8&lt;=$G37+$H37-1),2,IF(AND($C37="Milestone",EY$8&gt;=$G37,EY$8&lt;=$G37+$H37-1),1,""))</f>
        <v/>
      </c>
      <c r="EZ37" s="69" t="str">
        <f ca="1">IF(AND($C37="Goal",EZ$8&gt;=$G37,EZ$8&lt;=$G37+$H37-1),2,IF(AND($C37="Milestone",EZ$8&gt;=$G37,EZ$8&lt;=$G37+$H37-1),1,""))</f>
        <v/>
      </c>
      <c r="FA37" s="69" t="str">
        <f ca="1">IF(AND($C37="Goal",FA$8&gt;=$G37,FA$8&lt;=$G37+$H37-1),2,IF(AND($C37="Milestone",FA$8&gt;=$G37,FA$8&lt;=$G37+$H37-1),1,""))</f>
        <v/>
      </c>
      <c r="FB37" s="69" t="str">
        <f ca="1">IF(AND($C37="Goal",FB$8&gt;=$G37,FB$8&lt;=$G37+$H37-1),2,IF(AND($C37="Milestone",FB$8&gt;=$G37,FB$8&lt;=$G37+$H37-1),1,""))</f>
        <v/>
      </c>
      <c r="FC37" s="69" t="str">
        <f ca="1">IF(AND($C37="Goal",FC$8&gt;=$G37,FC$8&lt;=$G37+$H37-1),2,IF(AND($C37="Milestone",FC$8&gt;=$G37,FC$8&lt;=$G37+$H37-1),1,""))</f>
        <v/>
      </c>
      <c r="FD37" s="69" t="str">
        <f ca="1">IF(AND($C37="Goal",FD$8&gt;=$G37,FD$8&lt;=$G37+$H37-1),2,IF(AND($C37="Milestone",FD$8&gt;=$G37,FD$8&lt;=$G37+$H37-1),1,""))</f>
        <v/>
      </c>
      <c r="FE37" s="69" t="str">
        <f ca="1">IF(AND($C37="Goal",FE$8&gt;=$G37,FE$8&lt;=$G37+$H37-1),2,IF(AND($C37="Milestone",FE$8&gt;=$G37,FE$8&lt;=$G37+$H37-1),1,""))</f>
        <v/>
      </c>
      <c r="FF37" s="69" t="str">
        <f ca="1">IF(AND($C37="Goal",FF$8&gt;=$G37,FF$8&lt;=$G37+$H37-1),2,IF(AND($C37="Milestone",FF$8&gt;=$G37,FF$8&lt;=$G37+$H37-1),1,""))</f>
        <v/>
      </c>
      <c r="FG37" s="69" t="str">
        <f ca="1">IF(AND($C37="Goal",FG$8&gt;=$G37,FG$8&lt;=$G37+$H37-1),2,IF(AND($C37="Milestone",FG$8&gt;=$G37,FG$8&lt;=$G37+$H37-1),1,""))</f>
        <v/>
      </c>
      <c r="FH37" s="69" t="str">
        <f ca="1">IF(AND($C37="Goal",FH$8&gt;=$G37,FH$8&lt;=$G37+$H37-1),2,IF(AND($C37="Milestone",FH$8&gt;=$G37,FH$8&lt;=$G37+$H37-1),1,""))</f>
        <v/>
      </c>
      <c r="FI37" s="69" t="str">
        <f ca="1">IF(AND($C37="Goal",FI$8&gt;=$G37,FI$8&lt;=$G37+$H37-1),2,IF(AND($C37="Milestone",FI$8&gt;=$G37,FI$8&lt;=$G37+$H37-1),1,""))</f>
        <v/>
      </c>
      <c r="FJ37" s="69" t="str">
        <f ca="1">IF(AND($C37="Goal",FJ$8&gt;=$G37,FJ$8&lt;=$G37+$H37-1),2,IF(AND($C37="Milestone",FJ$8&gt;=$G37,FJ$8&lt;=$G37+$H37-1),1,""))</f>
        <v/>
      </c>
      <c r="FK37" s="69" t="str">
        <f ca="1">IF(AND($C37="Goal",FK$8&gt;=$G37,FK$8&lt;=$G37+$H37-1),2,IF(AND($C37="Milestone",FK$8&gt;=$G37,FK$8&lt;=$G37+$H37-1),1,""))</f>
        <v/>
      </c>
      <c r="FL37" s="69" t="str">
        <f ca="1">IF(AND($C37="Goal",FL$8&gt;=$G37,FL$8&lt;=$G37+$H37-1),2,IF(AND($C37="Milestone",FL$8&gt;=$G37,FL$8&lt;=$G37+$H37-1),1,""))</f>
        <v/>
      </c>
      <c r="FM37" s="69" t="str">
        <f ca="1">IF(AND($C37="Goal",FM$8&gt;=$G37,FM$8&lt;=$G37+$H37-1),2,IF(AND($C37="Milestone",FM$8&gt;=$G37,FM$8&lt;=$G37+$H37-1),1,""))</f>
        <v/>
      </c>
      <c r="FN37" s="69" t="str">
        <f ca="1">IF(AND($C37="Goal",FN$8&gt;=$G37,FN$8&lt;=$G37+$H37-1),2,IF(AND($C37="Milestone",FN$8&gt;=$G37,FN$8&lt;=$G37+$H37-1),1,""))</f>
        <v/>
      </c>
      <c r="FO37" s="69" t="str">
        <f ca="1">IF(AND($C37="Goal",FO$8&gt;=$G37,FO$8&lt;=$G37+$H37-1),2,IF(AND($C37="Milestone",FO$8&gt;=$G37,FO$8&lt;=$G37+$H37-1),1,""))</f>
        <v/>
      </c>
      <c r="FP37" s="69" t="str">
        <f ca="1">IF(AND($C37="Goal",FP$8&gt;=$G37,FP$8&lt;=$G37+$H37-1),2,IF(AND($C37="Milestone",FP$8&gt;=$G37,FP$8&lt;=$G37+$H37-1),1,""))</f>
        <v/>
      </c>
      <c r="FQ37" s="69" t="str">
        <f ca="1">IF(AND($C37="Goal",FQ$8&gt;=$G37,FQ$8&lt;=$G37+$H37-1),2,IF(AND($C37="Milestone",FQ$8&gt;=$G37,FQ$8&lt;=$G37+$H37-1),1,""))</f>
        <v/>
      </c>
      <c r="FR37" s="69" t="str">
        <f ca="1">IF(AND($C37="Goal",FR$8&gt;=$G37,FR$8&lt;=$G37+$H37-1),2,IF(AND($C37="Milestone",FR$8&gt;=$G37,FR$8&lt;=$G37+$H37-1),1,""))</f>
        <v/>
      </c>
      <c r="FS37" s="69" t="str">
        <f ca="1">IF(AND($C37="Goal",FS$8&gt;=$G37,FS$8&lt;=$G37+$H37-1),2,IF(AND($C37="Milestone",FS$8&gt;=$G37,FS$8&lt;=$G37+$H37-1),1,""))</f>
        <v/>
      </c>
      <c r="FT37" s="69" t="str">
        <f ca="1">IF(AND($C37="Goal",FT$8&gt;=$G37,FT$8&lt;=$G37+$H37-1),2,IF(AND($C37="Milestone",FT$8&gt;=$G37,FT$8&lt;=$G37+$H37-1),1,""))</f>
        <v/>
      </c>
      <c r="FU37" s="69" t="str">
        <f ca="1">IF(AND($C37="Goal",FU$8&gt;=$G37,FU$8&lt;=$G37+$H37-1),2,IF(AND($C37="Milestone",FU$8&gt;=$G37,FU$8&lt;=$G37+$H37-1),1,""))</f>
        <v/>
      </c>
      <c r="FV37" s="69" t="str">
        <f ca="1">IF(AND($C37="Goal",FV$8&gt;=$G37,FV$8&lt;=$G37+$H37-1),2,IF(AND($C37="Milestone",FV$8&gt;=$G37,FV$8&lt;=$G37+$H37-1),1,""))</f>
        <v/>
      </c>
      <c r="FW37" s="69" t="str">
        <f ca="1">IF(AND($C37="Goal",FW$8&gt;=$G37,FW$8&lt;=$G37+$H37-1),2,IF(AND($C37="Milestone",FW$8&gt;=$G37,FW$8&lt;=$G37+$H37-1),1,""))</f>
        <v/>
      </c>
      <c r="FX37" s="69" t="str">
        <f ca="1">IF(AND($C37="Goal",FX$8&gt;=$G37,FX$8&lt;=$G37+$H37-1),2,IF(AND($C37="Milestone",FX$8&gt;=$G37,FX$8&lt;=$G37+$H37-1),1,""))</f>
        <v/>
      </c>
      <c r="FY37" s="69" t="str">
        <f ca="1">IF(AND($C37="Goal",FY$8&gt;=$G37,FY$8&lt;=$G37+$H37-1),2,IF(AND($C37="Milestone",FY$8&gt;=$G37,FY$8&lt;=$G37+$H37-1),1,""))</f>
        <v/>
      </c>
      <c r="FZ37" s="69" t="str">
        <f ca="1">IF(AND($C37="Goal",FZ$8&gt;=$G37,FZ$8&lt;=$G37+$H37-1),2,IF(AND($C37="Milestone",FZ$8&gt;=$G37,FZ$8&lt;=$G37+$H37-1),1,""))</f>
        <v/>
      </c>
      <c r="GA37" s="69" t="str">
        <f ca="1">IF(AND($C37="Goal",GA$8&gt;=$G37,GA$8&lt;=$G37+$H37-1),2,IF(AND($C37="Milestone",GA$8&gt;=$G37,GA$8&lt;=$G37+$H37-1),1,""))</f>
        <v/>
      </c>
      <c r="GB37" s="69" t="str">
        <f ca="1">IF(AND($C37="Goal",GB$8&gt;=$G37,GB$8&lt;=$G37+$H37-1),2,IF(AND($C37="Milestone",GB$8&gt;=$G37,GB$8&lt;=$G37+$H37-1),1,""))</f>
        <v/>
      </c>
      <c r="GC37" s="69" t="str">
        <f ca="1">IF(AND($C37="Goal",GC$8&gt;=$G37,GC$8&lt;=$G37+$H37-1),2,IF(AND($C37="Milestone",GC$8&gt;=$G37,GC$8&lt;=$G37+$H37-1),1,""))</f>
        <v/>
      </c>
      <c r="GD37" s="69" t="str">
        <f ca="1">IF(AND($C37="Goal",GD$8&gt;=$G37,GD$8&lt;=$G37+$H37-1),2,IF(AND($C37="Milestone",GD$8&gt;=$G37,GD$8&lt;=$G37+$H37-1),1,""))</f>
        <v/>
      </c>
      <c r="GE37" s="69" t="str">
        <f ca="1">IF(AND($C37="Goal",GE$8&gt;=$G37,GE$8&lt;=$G37+$H37-1),2,IF(AND($C37="Milestone",GE$8&gt;=$G37,GE$8&lt;=$G37+$H37-1),1,""))</f>
        <v/>
      </c>
      <c r="GF37" s="69" t="str">
        <f ca="1">IF(AND($C37="Goal",GF$8&gt;=$G37,GF$8&lt;=$G37+$H37-1),2,IF(AND($C37="Milestone",GF$8&gt;=$G37,GF$8&lt;=$G37+$H37-1),1,""))</f>
        <v/>
      </c>
      <c r="GG37" s="69" t="str">
        <f ca="1">IF(AND($C37="Goal",GG$8&gt;=$G37,GG$8&lt;=$G37+$H37-1),2,IF(AND($C37="Milestone",GG$8&gt;=$G37,GG$8&lt;=$G37+$H37-1),1,""))</f>
        <v/>
      </c>
      <c r="GH37" s="69" t="str">
        <f ca="1">IF(AND($C37="Goal",GH$8&gt;=$G37,GH$8&lt;=$G37+$H37-1),2,IF(AND($C37="Milestone",GH$8&gt;=$G37,GH$8&lt;=$G37+$H37-1),1,""))</f>
        <v/>
      </c>
      <c r="GI37" s="69" t="str">
        <f ca="1">IF(AND($C37="Goal",GI$8&gt;=$G37,GI$8&lt;=$G37+$H37-1),2,IF(AND($C37="Milestone",GI$8&gt;=$G37,GI$8&lt;=$G37+$H37-1),1,""))</f>
        <v/>
      </c>
      <c r="GJ37" s="69" t="str">
        <f ca="1">IF(AND($C37="Goal",GJ$8&gt;=$G37,GJ$8&lt;=$G37+$H37-1),2,IF(AND($C37="Milestone",GJ$8&gt;=$G37,GJ$8&lt;=$G37+$H37-1),1,""))</f>
        <v/>
      </c>
      <c r="GK37" s="69" t="str">
        <f ca="1">IF(AND($C37="Goal",GK$8&gt;=$G37,GK$8&lt;=$G37+$H37-1),2,IF(AND($C37="Milestone",GK$8&gt;=$G37,GK$8&lt;=$G37+$H37-1),1,""))</f>
        <v/>
      </c>
      <c r="GL37" s="69" t="str">
        <f ca="1">IF(AND($C37="Goal",GL$8&gt;=$G37,GL$8&lt;=$G37+$H37-1),2,IF(AND($C37="Milestone",GL$8&gt;=$G37,GL$8&lt;=$G37+$H37-1),1,""))</f>
        <v/>
      </c>
      <c r="GM37" s="69" t="str">
        <f ca="1">IF(AND($C37="Goal",GM$8&gt;=$G37,GM$8&lt;=$G37+$H37-1),2,IF(AND($C37="Milestone",GM$8&gt;=$G37,GM$8&lt;=$G37+$H37-1),1,""))</f>
        <v/>
      </c>
      <c r="GN37" s="69" t="str">
        <f ca="1">IF(AND($C37="Goal",GN$8&gt;=$G37,GN$8&lt;=$G37+$H37-1),2,IF(AND($C37="Milestone",GN$8&gt;=$G37,GN$8&lt;=$G37+$H37-1),1,""))</f>
        <v/>
      </c>
      <c r="GO37" s="69" t="str">
        <f ca="1">IF(AND($C37="Goal",GO$8&gt;=$G37,GO$8&lt;=$G37+$H37-1),2,IF(AND($C37="Milestone",GO$8&gt;=$G37,GO$8&lt;=$G37+$H37-1),1,""))</f>
        <v/>
      </c>
      <c r="GP37" s="69" t="str">
        <f ca="1">IF(AND($C37="Goal",GP$8&gt;=$G37,GP$8&lt;=$G37+$H37-1),2,IF(AND($C37="Milestone",GP$8&gt;=$G37,GP$8&lt;=$G37+$H37-1),1,""))</f>
        <v/>
      </c>
      <c r="GQ37" s="69" t="str">
        <f ca="1">IF(AND($C37="Goal",GQ$8&gt;=$G37,GQ$8&lt;=$G37+$H37-1),2,IF(AND($C37="Milestone",GQ$8&gt;=$G37,GQ$8&lt;=$G37+$H37-1),1,""))</f>
        <v/>
      </c>
      <c r="GR37" s="69" t="str">
        <f ca="1">IF(AND($C37="Goal",GR$8&gt;=$G37,GR$8&lt;=$G37+$H37-1),2,IF(AND($C37="Milestone",GR$8&gt;=$G37,GR$8&lt;=$G37+$H37-1),1,""))</f>
        <v/>
      </c>
      <c r="GS37" s="69" t="str">
        <f ca="1">IF(AND($C37="Goal",GS$8&gt;=$G37,GS$8&lt;=$G37+$H37-1),2,IF(AND($C37="Milestone",GS$8&gt;=$G37,GS$8&lt;=$G37+$H37-1),1,""))</f>
        <v/>
      </c>
      <c r="GT37" s="69" t="str">
        <f ca="1">IF(AND($C37="Goal",GT$8&gt;=$G37,GT$8&lt;=$G37+$H37-1),2,IF(AND($C37="Milestone",GT$8&gt;=$G37,GT$8&lt;=$G37+$H37-1),1,""))</f>
        <v/>
      </c>
      <c r="GU37" s="69" t="str">
        <f ca="1">IF(AND($C37="Goal",GU$8&gt;=$G37,GU$8&lt;=$G37+$H37-1),2,IF(AND($C37="Milestone",GU$8&gt;=$G37,GU$8&lt;=$G37+$H37-1),1,""))</f>
        <v/>
      </c>
      <c r="GV37" s="69" t="str">
        <f ca="1">IF(AND($C37="Goal",GV$8&gt;=$G37,GV$8&lt;=$G37+$H37-1),2,IF(AND($C37="Milestone",GV$8&gt;=$G37,GV$8&lt;=$G37+$H37-1),1,""))</f>
        <v/>
      </c>
      <c r="GW37" s="69" t="str">
        <f ca="1">IF(AND($C37="Goal",GW$8&gt;=$G37,GW$8&lt;=$G37+$H37-1),2,IF(AND($C37="Milestone",GW$8&gt;=$G37,GW$8&lt;=$G37+$H37-1),1,""))</f>
        <v/>
      </c>
      <c r="GX37" s="69" t="str">
        <f ca="1">IF(AND($C37="Goal",GX$8&gt;=$G37,GX$8&lt;=$G37+$H37-1),2,IF(AND($C37="Milestone",GX$8&gt;=$G37,GX$8&lt;=$G37+$H37-1),1,""))</f>
        <v/>
      </c>
      <c r="GY37" s="69" t="str">
        <f ca="1">IF(AND($C37="Goal",GY$8&gt;=$G37,GY$8&lt;=$G37+$H37-1),2,IF(AND($C37="Milestone",GY$8&gt;=$G37,GY$8&lt;=$G37+$H37-1),1,""))</f>
        <v/>
      </c>
      <c r="GZ37" s="69" t="str">
        <f ca="1">IF(AND($C37="Goal",GZ$8&gt;=$G37,GZ$8&lt;=$G37+$H37-1),2,IF(AND($C37="Milestone",GZ$8&gt;=$G37,GZ$8&lt;=$G37+$H37-1),1,""))</f>
        <v/>
      </c>
      <c r="HA37" s="69" t="str">
        <f ca="1">IF(AND($C37="Goal",HA$8&gt;=$G37,HA$8&lt;=$G37+$H37-1),2,IF(AND($C37="Milestone",HA$8&gt;=$G37,HA$8&lt;=$G37+$H37-1),1,""))</f>
        <v/>
      </c>
      <c r="HB37" s="69" t="str">
        <f ca="1">IF(AND($C37="Goal",HB$8&gt;=$G37,HB$8&lt;=$G37+$H37-1),2,IF(AND($C37="Milestone",HB$8&gt;=$G37,HB$8&lt;=$G37+$H37-1),1,""))</f>
        <v/>
      </c>
      <c r="HC37" s="69" t="str">
        <f ca="1">IF(AND($C37="Goal",HC$8&gt;=$G37,HC$8&lt;=$G37+$H37-1),2,IF(AND($C37="Milestone",HC$8&gt;=$G37,HC$8&lt;=$G37+$H37-1),1,""))</f>
        <v/>
      </c>
      <c r="HD37" s="69" t="str">
        <f ca="1">IF(AND($C37="Goal",HD$8&gt;=$G37,HD$8&lt;=$G37+$H37-1),2,IF(AND($C37="Milestone",HD$8&gt;=$G37,HD$8&lt;=$G37+$H37-1),1,""))</f>
        <v/>
      </c>
      <c r="HE37" s="69" t="str">
        <f ca="1">IF(AND($C37="Goal",HE$8&gt;=$G37,HE$8&lt;=$G37+$H37-1),2,IF(AND($C37="Milestone",HE$8&gt;=$G37,HE$8&lt;=$G37+$H37-1),1,""))</f>
        <v/>
      </c>
      <c r="HF37" s="69" t="str">
        <f ca="1">IF(AND($C37="Goal",HF$8&gt;=$G37,HF$8&lt;=$G37+$H37-1),2,IF(AND($C37="Milestone",HF$8&gt;=$G37,HF$8&lt;=$G37+$H37-1),1,""))</f>
        <v/>
      </c>
      <c r="HG37" s="69" t="str">
        <f ca="1">IF(AND($C37="Goal",HG$8&gt;=$G37,HG$8&lt;=$G37+$H37-1),2,IF(AND($C37="Milestone",HG$8&gt;=$G37,HG$8&lt;=$G37+$H37-1),1,""))</f>
        <v/>
      </c>
      <c r="HH37" s="69" t="str">
        <f ca="1">IF(AND($C37="Goal",HH$8&gt;=$G37,HH$8&lt;=$G37+$H37-1),2,IF(AND($C37="Milestone",HH$8&gt;=$G37,HH$8&lt;=$G37+$H37-1),1,""))</f>
        <v/>
      </c>
      <c r="HI37" s="69" t="str">
        <f ca="1">IF(AND($C37="Goal",HI$8&gt;=$G37,HI$8&lt;=$G37+$H37-1),2,IF(AND($C37="Milestone",HI$8&gt;=$G37,HI$8&lt;=$G37+$H37-1),1,""))</f>
        <v/>
      </c>
      <c r="HJ37" s="69" t="str">
        <f ca="1">IF(AND($C37="Goal",HJ$8&gt;=$G37,HJ$8&lt;=$G37+$H37-1),2,IF(AND($C37="Milestone",HJ$8&gt;=$G37,HJ$8&lt;=$G37+$H37-1),1,""))</f>
        <v/>
      </c>
      <c r="HK37" s="69" t="str">
        <f ca="1">IF(AND($C37="Goal",HK$8&gt;=$G37,HK$8&lt;=$G37+$H37-1),2,IF(AND($C37="Milestone",HK$8&gt;=$G37,HK$8&lt;=$G37+$H37-1),1,""))</f>
        <v/>
      </c>
      <c r="HL37" s="69" t="str">
        <f ca="1">IF(AND($C37="Goal",HL$8&gt;=$G37,HL$8&lt;=$G37+$H37-1),2,IF(AND($C37="Milestone",HL$8&gt;=$G37,HL$8&lt;=$G37+$H37-1),1,""))</f>
        <v/>
      </c>
      <c r="HM37" s="69" t="str">
        <f ca="1">IF(AND($C37="Goal",HM$8&gt;=$G37,HM$8&lt;=$G37+$H37-1),2,IF(AND($C37="Milestone",HM$8&gt;=$G37,HM$8&lt;=$G37+$H37-1),1,""))</f>
        <v/>
      </c>
      <c r="HN37" s="69" t="str">
        <f ca="1">IF(AND($C37="Goal",HN$8&gt;=$G37,HN$8&lt;=$G37+$H37-1),2,IF(AND($C37="Milestone",HN$8&gt;=$G37,HN$8&lt;=$G37+$H37-1),1,""))</f>
        <v/>
      </c>
      <c r="HO37" s="69" t="str">
        <f ca="1">IF(AND($C37="Goal",HO$8&gt;=$G37,HO$8&lt;=$G37+$H37-1),2,IF(AND($C37="Milestone",HO$8&gt;=$G37,HO$8&lt;=$G37+$H37-1),1,""))</f>
        <v/>
      </c>
      <c r="HP37" s="69" t="str">
        <f ca="1">IF(AND($C37="Goal",HP$8&gt;=$G37,HP$8&lt;=$G37+$H37-1),2,IF(AND($C37="Milestone",HP$8&gt;=$G37,HP$8&lt;=$G37+$H37-1),1,""))</f>
        <v/>
      </c>
      <c r="HQ37" s="69" t="str">
        <f ca="1">IF(AND($C37="Goal",HQ$8&gt;=$G37,HQ$8&lt;=$G37+$H37-1),2,IF(AND($C37="Milestone",HQ$8&gt;=$G37,HQ$8&lt;=$G37+$H37-1),1,""))</f>
        <v/>
      </c>
      <c r="HR37" s="69" t="str">
        <f ca="1">IF(AND($C37="Goal",HR$8&gt;=$G37,HR$8&lt;=$G37+$H37-1),2,IF(AND($C37="Milestone",HR$8&gt;=$G37,HR$8&lt;=$G37+$H37-1),1,""))</f>
        <v/>
      </c>
      <c r="HS37" s="69" t="str">
        <f ca="1">IF(AND($C37="Goal",HS$8&gt;=$G37,HS$8&lt;=$G37+$H37-1),2,IF(AND($C37="Milestone",HS$8&gt;=$G37,HS$8&lt;=$G37+$H37-1),1,""))</f>
        <v/>
      </c>
      <c r="HT37" s="69" t="str">
        <f ca="1">IF(AND($C37="Goal",HT$8&gt;=$G37,HT$8&lt;=$G37+$H37-1),2,IF(AND($C37="Milestone",HT$8&gt;=$G37,HT$8&lt;=$G37+$H37-1),1,""))</f>
        <v/>
      </c>
      <c r="HU37" s="69" t="str">
        <f ca="1">IF(AND($C37="Goal",HU$8&gt;=$G37,HU$8&lt;=$G37+$H37-1),2,IF(AND($C37="Milestone",HU$8&gt;=$G37,HU$8&lt;=$G37+$H37-1),1,""))</f>
        <v/>
      </c>
      <c r="HV37" s="69" t="str">
        <f ca="1">IF(AND($C37="Goal",HV$8&gt;=$G37,HV$8&lt;=$G37+$H37-1),2,IF(AND($C37="Milestone",HV$8&gt;=$G37,HV$8&lt;=$G37+$H37-1),1,""))</f>
        <v/>
      </c>
      <c r="HW37" s="69" t="str">
        <f ca="1">IF(AND($C37="Goal",HW$8&gt;=$G37,HW$8&lt;=$G37+$H37-1),2,IF(AND($C37="Milestone",HW$8&gt;=$G37,HW$8&lt;=$G37+$H37-1),1,""))</f>
        <v/>
      </c>
      <c r="HX37" s="69" t="str">
        <f ca="1">IF(AND($C37="Goal",HX$8&gt;=$G37,HX$8&lt;=$G37+$H37-1),2,IF(AND($C37="Milestone",HX$8&gt;=$G37,HX$8&lt;=$G37+$H37-1),1,""))</f>
        <v/>
      </c>
      <c r="HY37" s="69" t="str">
        <f ca="1">IF(AND($C37="Goal",HY$8&gt;=$G37,HY$8&lt;=$G37+$H37-1),2,IF(AND($C37="Milestone",HY$8&gt;=$G37,HY$8&lt;=$G37+$H37-1),1,""))</f>
        <v/>
      </c>
      <c r="HZ37" s="69" t="str">
        <f ca="1">IF(AND($C37="Goal",HZ$8&gt;=$G37,HZ$8&lt;=$G37+$H37-1),2,IF(AND($C37="Milestone",HZ$8&gt;=$G37,HZ$8&lt;=$G37+$H37-1),1,""))</f>
        <v/>
      </c>
      <c r="IA37" s="69" t="str">
        <f ca="1">IF(AND($C37="Goal",IA$8&gt;=$G37,IA$8&lt;=$G37+$H37-1),2,IF(AND($C37="Milestone",IA$8&gt;=$G37,IA$8&lt;=$G37+$H37-1),1,""))</f>
        <v/>
      </c>
      <c r="IB37" s="69" t="str">
        <f ca="1">IF(AND($C37="Goal",IB$8&gt;=$G37,IB$8&lt;=$G37+$H37-1),2,IF(AND($C37="Milestone",IB$8&gt;=$G37,IB$8&lt;=$G37+$H37-1),1,""))</f>
        <v/>
      </c>
      <c r="IC37" s="69" t="str">
        <f ca="1">IF(AND($C37="Goal",IC$8&gt;=$G37,IC$8&lt;=$G37+$H37-1),2,IF(AND($C37="Milestone",IC$8&gt;=$G37,IC$8&lt;=$G37+$H37-1),1,""))</f>
        <v/>
      </c>
      <c r="ID37" s="69" t="str">
        <f ca="1">IF(AND($C37="Goal",ID$8&gt;=$G37,ID$8&lt;=$G37+$H37-1),2,IF(AND($C37="Milestone",ID$8&gt;=$G37,ID$8&lt;=$G37+$H37-1),1,""))</f>
        <v/>
      </c>
      <c r="IE37" s="69" t="str">
        <f ca="1">IF(AND($C37="Goal",IE$8&gt;=$G37,IE$8&lt;=$G37+$H37-1),2,IF(AND($C37="Milestone",IE$8&gt;=$G37,IE$8&lt;=$G37+$H37-1),1,""))</f>
        <v/>
      </c>
      <c r="IF37" s="69" t="str">
        <f ca="1">IF(AND($C37="Goal",IF$8&gt;=$G37,IF$8&lt;=$G37+$H37-1),2,IF(AND($C37="Milestone",IF$8&gt;=$G37,IF$8&lt;=$G37+$H37-1),1,""))</f>
        <v/>
      </c>
      <c r="IG37" s="69" t="str">
        <f ca="1">IF(AND($C37="Goal",IG$8&gt;=$G37,IG$8&lt;=$G37+$H37-1),2,IF(AND($C37="Milestone",IG$8&gt;=$G37,IG$8&lt;=$G37+$H37-1),1,""))</f>
        <v/>
      </c>
      <c r="IH37" s="69" t="str">
        <f ca="1">IF(AND($C37="Goal",IH$8&gt;=$G37,IH$8&lt;=$G37+$H37-1),2,IF(AND($C37="Milestone",IH$8&gt;=$G37,IH$8&lt;=$G37+$H37-1),1,""))</f>
        <v/>
      </c>
      <c r="II37" s="69" t="str">
        <f ca="1">IF(AND($C37="Goal",II$8&gt;=$G37,II$8&lt;=$G37+$H37-1),2,IF(AND($C37="Milestone",II$8&gt;=$G37,II$8&lt;=$G37+$H37-1),1,""))</f>
        <v/>
      </c>
      <c r="IJ37" s="69" t="str">
        <f ca="1">IF(AND($C37="Goal",IJ$8&gt;=$G37,IJ$8&lt;=$G37+$H37-1),2,IF(AND($C37="Milestone",IJ$8&gt;=$G37,IJ$8&lt;=$G37+$H37-1),1,""))</f>
        <v/>
      </c>
      <c r="IK37" s="69" t="str">
        <f ca="1">IF(AND($C37="Goal",IK$8&gt;=$G37,IK$8&lt;=$G37+$H37-1),2,IF(AND($C37="Milestone",IK$8&gt;=$G37,IK$8&lt;=$G37+$H37-1),1,""))</f>
        <v/>
      </c>
      <c r="IL37" s="69" t="str">
        <f ca="1">IF(AND($C37="Goal",IL$8&gt;=$G37,IL$8&lt;=$G37+$H37-1),2,IF(AND($C37="Milestone",IL$8&gt;=$G37,IL$8&lt;=$G37+$H37-1),1,""))</f>
        <v/>
      </c>
      <c r="IM37" s="69" t="str">
        <f ca="1">IF(AND($C37="Goal",IM$8&gt;=$G37,IM$8&lt;=$G37+$H37-1),2,IF(AND($C37="Milestone",IM$8&gt;=$G37,IM$8&lt;=$G37+$H37-1),1,""))</f>
        <v/>
      </c>
      <c r="IN37" s="69" t="str">
        <f ca="1">IF(AND($C37="Goal",IN$8&gt;=$G37,IN$8&lt;=$G37+$H37-1),2,IF(AND($C37="Milestone",IN$8&gt;=$G37,IN$8&lt;=$G37+$H37-1),1,""))</f>
        <v/>
      </c>
      <c r="IO37" s="69" t="str">
        <f ca="1">IF(AND($C37="Goal",IO$8&gt;=$G37,IO$8&lt;=$G37+$H37-1),2,IF(AND($C37="Milestone",IO$8&gt;=$G37,IO$8&lt;=$G37+$H37-1),1,""))</f>
        <v/>
      </c>
      <c r="IP37" s="69" t="str">
        <f ca="1">IF(AND($C37="Goal",IP$8&gt;=$G37,IP$8&lt;=$G37+$H37-1),2,IF(AND($C37="Milestone",IP$8&gt;=$G37,IP$8&lt;=$G37+$H37-1),1,""))</f>
        <v/>
      </c>
      <c r="IQ37" s="69" t="str">
        <f ca="1">IF(AND($C37="Goal",IQ$8&gt;=$G37,IQ$8&lt;=$G37+$H37-1),2,IF(AND($C37="Milestone",IQ$8&gt;=$G37,IQ$8&lt;=$G37+$H37-1),1,""))</f>
        <v/>
      </c>
      <c r="IR37" s="69" t="str">
        <f ca="1">IF(AND($C37="Goal",IR$8&gt;=$G37,IR$8&lt;=$G37+$H37-1),2,IF(AND($C37="Milestone",IR$8&gt;=$G37,IR$8&lt;=$G37+$H37-1),1,""))</f>
        <v/>
      </c>
      <c r="IS37" s="69" t="str">
        <f ca="1">IF(AND($C37="Goal",IS$8&gt;=$G37,IS$8&lt;=$G37+$H37-1),2,IF(AND($C37="Milestone",IS$8&gt;=$G37,IS$8&lt;=$G37+$H37-1),1,""))</f>
        <v/>
      </c>
      <c r="IT37" s="69" t="str">
        <f ca="1">IF(AND($C37="Goal",IT$8&gt;=$G37,IT$8&lt;=$G37+$H37-1),2,IF(AND($C37="Milestone",IT$8&gt;=$G37,IT$8&lt;=$G37+$H37-1),1,""))</f>
        <v/>
      </c>
      <c r="IU37" s="69" t="str">
        <f ca="1">IF(AND($C37="Goal",IU$8&gt;=$G37,IU$8&lt;=$G37+$H37-1),2,IF(AND($C37="Milestone",IU$8&gt;=$G37,IU$8&lt;=$G37+$H37-1),1,""))</f>
        <v/>
      </c>
      <c r="IV37" s="69" t="str">
        <f ca="1">IF(AND($C37="Goal",IV$8&gt;=$G37,IV$8&lt;=$G37+$H37-1),2,IF(AND($C37="Milestone",IV$8&gt;=$G37,IV$8&lt;=$G37+$H37-1),1,""))</f>
        <v/>
      </c>
      <c r="IW37" s="69" t="str">
        <f ca="1">IF(AND($C37="Goal",IW$8&gt;=$G37,IW$8&lt;=$G37+$H37-1),2,IF(AND($C37="Milestone",IW$8&gt;=$G37,IW$8&lt;=$G37+$H37-1),1,""))</f>
        <v/>
      </c>
      <c r="IX37" s="69" t="str">
        <f ca="1">IF(AND($C37="Goal",IX$8&gt;=$G37,IX$8&lt;=$G37+$H37-1),2,IF(AND($C37="Milestone",IX$8&gt;=$G37,IX$8&lt;=$G37+$H37-1),1,""))</f>
        <v/>
      </c>
      <c r="IY37" s="69" t="str">
        <f ca="1">IF(AND($C37="Goal",IY$8&gt;=$G37,IY$8&lt;=$G37+$H37-1),2,IF(AND($C37="Milestone",IY$8&gt;=$G37,IY$8&lt;=$G37+$H37-1),1,""))</f>
        <v/>
      </c>
      <c r="IZ37" s="69" t="str">
        <f ca="1">IF(AND($C37="Goal",IZ$8&gt;=$G37,IZ$8&lt;=$G37+$H37-1),2,IF(AND($C37="Milestone",IZ$8&gt;=$G37,IZ$8&lt;=$G37+$H37-1),1,""))</f>
        <v/>
      </c>
      <c r="JA37" s="69" t="str">
        <f ca="1">IF(AND($C37="Goal",JA$8&gt;=$G37,JA$8&lt;=$G37+$H37-1),2,IF(AND($C37="Milestone",JA$8&gt;=$G37,JA$8&lt;=$G37+$H37-1),1,""))</f>
        <v/>
      </c>
      <c r="JB37" s="69" t="str">
        <f ca="1">IF(AND($C37="Goal",JB$8&gt;=$G37,JB$8&lt;=$G37+$H37-1),2,IF(AND($C37="Milestone",JB$8&gt;=$G37,JB$8&lt;=$G37+$H37-1),1,""))</f>
        <v/>
      </c>
      <c r="JC37" s="69" t="str">
        <f ca="1">IF(AND($C37="Goal",JC$8&gt;=$G37,JC$8&lt;=$G37+$H37-1),2,IF(AND($C37="Milestone",JC$8&gt;=$G37,JC$8&lt;=$G37+$H37-1),1,""))</f>
        <v/>
      </c>
      <c r="JD37" s="69" t="str">
        <f ca="1">IF(AND($C37="Goal",JD$8&gt;=$G37,JD$8&lt;=$G37+$H37-1),2,IF(AND($C37="Milestone",JD$8&gt;=$G37,JD$8&lt;=$G37+$H37-1),1,""))</f>
        <v/>
      </c>
      <c r="JE37" s="69" t="str">
        <f ca="1">IF(AND($C37="Goal",JE$8&gt;=$G37,JE$8&lt;=$G37+$H37-1),2,IF(AND($C37="Milestone",JE$8&gt;=$G37,JE$8&lt;=$G37+$H37-1),1,""))</f>
        <v/>
      </c>
      <c r="JF37" s="69" t="str">
        <f ca="1">IF(AND($C37="Goal",JF$8&gt;=$G37,JF$8&lt;=$G37+$H37-1),2,IF(AND($C37="Milestone",JF$8&gt;=$G37,JF$8&lt;=$G37+$H37-1),1,""))</f>
        <v/>
      </c>
      <c r="JG37" s="69" t="str">
        <f ca="1">IF(AND($C37="Goal",JG$8&gt;=$G37,JG$8&lt;=$G37+$H37-1),2,IF(AND($C37="Milestone",JG$8&gt;=$G37,JG$8&lt;=$G37+$H37-1),1,""))</f>
        <v/>
      </c>
      <c r="JH37" s="69" t="str">
        <f ca="1">IF(AND($C37="Goal",JH$8&gt;=$G37,JH$8&lt;=$G37+$H37-1),2,IF(AND($C37="Milestone",JH$8&gt;=$G37,JH$8&lt;=$G37+$H37-1),1,""))</f>
        <v/>
      </c>
      <c r="JI37" s="69" t="str">
        <f ca="1">IF(AND($C37="Goal",JI$8&gt;=$G37,JI$8&lt;=$G37+$H37-1),2,IF(AND($C37="Milestone",JI$8&gt;=$G37,JI$8&lt;=$G37+$H37-1),1,""))</f>
        <v/>
      </c>
      <c r="JJ37" s="69" t="str">
        <f ca="1">IF(AND($C37="Goal",JJ$8&gt;=$G37,JJ$8&lt;=$G37+$H37-1),2,IF(AND($C37="Milestone",JJ$8&gt;=$G37,JJ$8&lt;=$G37+$H37-1),1,""))</f>
        <v/>
      </c>
      <c r="JK37" s="69" t="str">
        <f ca="1">IF(AND($C37="Goal",JK$8&gt;=$G37,JK$8&lt;=$G37+$H37-1),2,IF(AND($C37="Milestone",JK$8&gt;=$G37,JK$8&lt;=$G37+$H37-1),1,""))</f>
        <v/>
      </c>
      <c r="JL37" s="69" t="str">
        <f ca="1">IF(AND($C37="Goal",JL$8&gt;=$G37,JL$8&lt;=$G37+$H37-1),2,IF(AND($C37="Milestone",JL$8&gt;=$G37,JL$8&lt;=$G37+$H37-1),1,""))</f>
        <v/>
      </c>
      <c r="JM37" s="69" t="str">
        <f ca="1">IF(AND($C37="Goal",JM$8&gt;=$G37,JM$8&lt;=$G37+$H37-1),2,IF(AND($C37="Milestone",JM$8&gt;=$G37,JM$8&lt;=$G37+$H37-1),1,""))</f>
        <v/>
      </c>
      <c r="JN37" s="69" t="str">
        <f ca="1">IF(AND($C37="Goal",JN$8&gt;=$G37,JN$8&lt;=$G37+$H37-1),2,IF(AND($C37="Milestone",JN$8&gt;=$G37,JN$8&lt;=$G37+$H37-1),1,""))</f>
        <v/>
      </c>
      <c r="JO37" s="69" t="str">
        <f ca="1">IF(AND($C37="Goal",JO$8&gt;=$G37,JO$8&lt;=$G37+$H37-1),2,IF(AND($C37="Milestone",JO$8&gt;=$G37,JO$8&lt;=$G37+$H37-1),1,""))</f>
        <v/>
      </c>
      <c r="JP37" s="69" t="str">
        <f ca="1">IF(AND($C37="Goal",JP$8&gt;=$G37,JP$8&lt;=$G37+$H37-1),2,IF(AND($C37="Milestone",JP$8&gt;=$G37,JP$8&lt;=$G37+$H37-1),1,""))</f>
        <v/>
      </c>
      <c r="JQ37" s="69" t="str">
        <f ca="1">IF(AND($C37="Goal",JQ$8&gt;=$G37,JQ$8&lt;=$G37+$H37-1),2,IF(AND($C37="Milestone",JQ$8&gt;=$G37,JQ$8&lt;=$G37+$H37-1),1,""))</f>
        <v/>
      </c>
      <c r="JR37" s="69" t="str">
        <f ca="1">IF(AND($C37="Goal",JR$8&gt;=$G37,JR$8&lt;=$G37+$H37-1),2,IF(AND($C37="Milestone",JR$8&gt;=$G37,JR$8&lt;=$G37+$H37-1),1,""))</f>
        <v/>
      </c>
      <c r="JS37" s="69" t="str">
        <f ca="1">IF(AND($C37="Goal",JS$8&gt;=$G37,JS$8&lt;=$G37+$H37-1),2,IF(AND($C37="Milestone",JS$8&gt;=$G37,JS$8&lt;=$G37+$H37-1),1,""))</f>
        <v/>
      </c>
      <c r="JT37" s="69" t="str">
        <f ca="1">IF(AND($C37="Goal",JT$8&gt;=$G37,JT$8&lt;=$G37+$H37-1),2,IF(AND($C37="Milestone",JT$8&gt;=$G37,JT$8&lt;=$G37+$H37-1),1,""))</f>
        <v/>
      </c>
      <c r="JU37" s="69" t="str">
        <f ca="1">IF(AND($C37="Goal",JU$8&gt;=$G37,JU$8&lt;=$G37+$H37-1),2,IF(AND($C37="Milestone",JU$8&gt;=$G37,JU$8&lt;=$G37+$H37-1),1,""))</f>
        <v/>
      </c>
      <c r="JV37" s="69" t="str">
        <f ca="1">IF(AND($C37="Goal",JV$8&gt;=$G37,JV$8&lt;=$G37+$H37-1),2,IF(AND($C37="Milestone",JV$8&gt;=$G37,JV$8&lt;=$G37+$H37-1),1,""))</f>
        <v/>
      </c>
      <c r="JW37" s="69" t="str">
        <f ca="1">IF(AND($C37="Goal",JW$8&gt;=$G37,JW$8&lt;=$G37+$H37-1),2,IF(AND($C37="Milestone",JW$8&gt;=$G37,JW$8&lt;=$G37+$H37-1),1,""))</f>
        <v/>
      </c>
      <c r="JX37" s="69" t="str">
        <f ca="1">IF(AND($C37="Goal",JX$8&gt;=$G37,JX$8&lt;=$G37+$H37-1),2,IF(AND($C37="Milestone",JX$8&gt;=$G37,JX$8&lt;=$G37+$H37-1),1,""))</f>
        <v/>
      </c>
      <c r="JY37" s="69" t="str">
        <f ca="1">IF(AND($C37="Goal",JY$8&gt;=$G37,JY$8&lt;=$G37+$H37-1),2,IF(AND($C37="Milestone",JY$8&gt;=$G37,JY$8&lt;=$G37+$H37-1),1,""))</f>
        <v/>
      </c>
      <c r="JZ37" s="69" t="str">
        <f ca="1">IF(AND($C37="Goal",JZ$8&gt;=$G37,JZ$8&lt;=$G37+$H37-1),2,IF(AND($C37="Milestone",JZ$8&gt;=$G37,JZ$8&lt;=$G37+$H37-1),1,""))</f>
        <v/>
      </c>
      <c r="KA37" s="69" t="str">
        <f ca="1">IF(AND($C37="Goal",KA$8&gt;=$G37,KA$8&lt;=$G37+$H37-1),2,IF(AND($C37="Milestone",KA$8&gt;=$G37,KA$8&lt;=$G37+$H37-1),1,""))</f>
        <v/>
      </c>
      <c r="KB37" s="69" t="str">
        <f ca="1">IF(AND($C37="Goal",KB$8&gt;=$G37,KB$8&lt;=$G37+$H37-1),2,IF(AND($C37="Milestone",KB$8&gt;=$G37,KB$8&lt;=$G37+$H37-1),1,""))</f>
        <v/>
      </c>
      <c r="KC37" s="69" t="str">
        <f ca="1">IF(AND($C37="Goal",KC$8&gt;=$G37,KC$8&lt;=$G37+$H37-1),2,IF(AND($C37="Milestone",KC$8&gt;=$G37,KC$8&lt;=$G37+$H37-1),1,""))</f>
        <v/>
      </c>
      <c r="KD37" s="69" t="str">
        <f ca="1">IF(AND($C37="Goal",KD$8&gt;=$G37,KD$8&lt;=$G37+$H37-1),2,IF(AND($C37="Milestone",KD$8&gt;=$G37,KD$8&lt;=$G37+$H37-1),1,""))</f>
        <v/>
      </c>
      <c r="KE37" s="69" t="str">
        <f ca="1">IF(AND($C37="Goal",KE$8&gt;=$G37,KE$8&lt;=$G37+$H37-1),2,IF(AND($C37="Milestone",KE$8&gt;=$G37,KE$8&lt;=$G37+$H37-1),1,""))</f>
        <v/>
      </c>
      <c r="KF37" s="69" t="str">
        <f ca="1">IF(AND($C37="Goal",KF$8&gt;=$G37,KF$8&lt;=$G37+$H37-1),2,IF(AND($C37="Milestone",KF$8&gt;=$G37,KF$8&lt;=$G37+$H37-1),1,""))</f>
        <v/>
      </c>
      <c r="KG37" s="69" t="str">
        <f ca="1">IF(AND($C37="Goal",KG$8&gt;=$G37,KG$8&lt;=$G37+$H37-1),2,IF(AND($C37="Milestone",KG$8&gt;=$G37,KG$8&lt;=$G37+$H37-1),1,""))</f>
        <v/>
      </c>
      <c r="KH37" s="69" t="str">
        <f ca="1">IF(AND($C37="Goal",KH$8&gt;=$G37,KH$8&lt;=$G37+$H37-1),2,IF(AND($C37="Milestone",KH$8&gt;=$G37,KH$8&lt;=$G37+$H37-1),1,""))</f>
        <v/>
      </c>
      <c r="KI37" s="69" t="str">
        <f ca="1">IF(AND($C37="Goal",KI$8&gt;=$G37,KI$8&lt;=$G37+$H37-1),2,IF(AND($C37="Milestone",KI$8&gt;=$G37,KI$8&lt;=$G37+$H37-1),1,""))</f>
        <v/>
      </c>
      <c r="KJ37" s="69" t="str">
        <f ca="1">IF(AND($C37="Goal",KJ$8&gt;=$G37,KJ$8&lt;=$G37+$H37-1),2,IF(AND($C37="Milestone",KJ$8&gt;=$G37,KJ$8&lt;=$G37+$H37-1),1,""))</f>
        <v/>
      </c>
      <c r="KK37" s="69" t="str">
        <f ca="1">IF(AND($C37="Goal",KK$8&gt;=$G37,KK$8&lt;=$G37+$H37-1),2,IF(AND($C37="Milestone",KK$8&gt;=$G37,KK$8&lt;=$G37+$H37-1),1,""))</f>
        <v/>
      </c>
      <c r="KL37" s="69" t="str">
        <f ca="1">IF(AND($C37="Goal",KL$8&gt;=$G37,KL$8&lt;=$G37+$H37-1),2,IF(AND($C37="Milestone",KL$8&gt;=$G37,KL$8&lt;=$G37+$H37-1),1,""))</f>
        <v/>
      </c>
      <c r="KM37" s="69" t="str">
        <f ca="1">IF(AND($C37="Goal",KM$8&gt;=$G37,KM$8&lt;=$G37+$H37-1),2,IF(AND($C37="Milestone",KM$8&gt;=$G37,KM$8&lt;=$G37+$H37-1),1,""))</f>
        <v/>
      </c>
      <c r="KN37" s="69" t="str">
        <f ca="1">IF(AND($C37="Goal",KN$8&gt;=$G37,KN$8&lt;=$G37+$H37-1),2,IF(AND($C37="Milestone",KN$8&gt;=$G37,KN$8&lt;=$G37+$H37-1),1,""))</f>
        <v/>
      </c>
      <c r="KO37" s="69" t="str">
        <f ca="1">IF(AND($C37="Goal",KO$8&gt;=$G37,KO$8&lt;=$G37+$H37-1),2,IF(AND($C37="Milestone",KO$8&gt;=$G37,KO$8&lt;=$G37+$H37-1),1,""))</f>
        <v/>
      </c>
      <c r="KP37" s="69" t="str">
        <f ca="1">IF(AND($C37="Goal",KP$8&gt;=$G37,KP$8&lt;=$G37+$H37-1),2,IF(AND($C37="Milestone",KP$8&gt;=$G37,KP$8&lt;=$G37+$H37-1),1,""))</f>
        <v/>
      </c>
      <c r="KQ37" s="69" t="str">
        <f ca="1">IF(AND($C37="Goal",KQ$8&gt;=$G37,KQ$8&lt;=$G37+$H37-1),2,IF(AND($C37="Milestone",KQ$8&gt;=$G37,KQ$8&lt;=$G37+$H37-1),1,""))</f>
        <v/>
      </c>
      <c r="KR37" s="69" t="str">
        <f ca="1">IF(AND($C37="Goal",KR$8&gt;=$G37,KR$8&lt;=$G37+$H37-1),2,IF(AND($C37="Milestone",KR$8&gt;=$G37,KR$8&lt;=$G37+$H37-1),1,""))</f>
        <v/>
      </c>
      <c r="KS37" s="69" t="str">
        <f ca="1">IF(AND($C37="Goal",KS$8&gt;=$G37,KS$8&lt;=$G37+$H37-1),2,IF(AND($C37="Milestone",KS$8&gt;=$G37,KS$8&lt;=$G37+$H37-1),1,""))</f>
        <v/>
      </c>
      <c r="KT37" s="69" t="str">
        <f ca="1">IF(AND($C37="Goal",KT$8&gt;=$G37,KT$8&lt;=$G37+$H37-1),2,IF(AND($C37="Milestone",KT$8&gt;=$G37,KT$8&lt;=$G37+$H37-1),1,""))</f>
        <v/>
      </c>
      <c r="KU37" s="69" t="str">
        <f ca="1">IF(AND($C37="Goal",KU$8&gt;=$G37,KU$8&lt;=$G37+$H37-1),2,IF(AND($C37="Milestone",KU$8&gt;=$G37,KU$8&lt;=$G37+$H37-1),1,""))</f>
        <v/>
      </c>
      <c r="KV37" s="69" t="str">
        <f ca="1">IF(AND($C37="Goal",KV$8&gt;=$G37,KV$8&lt;=$G37+$H37-1),2,IF(AND($C37="Milestone",KV$8&gt;=$G37,KV$8&lt;=$G37+$H37-1),1,""))</f>
        <v/>
      </c>
      <c r="KW37" s="69" t="str">
        <f ca="1">IF(AND($C37="Goal",KW$8&gt;=$G37,KW$8&lt;=$G37+$H37-1),2,IF(AND($C37="Milestone",KW$8&gt;=$G37,KW$8&lt;=$G37+$H37-1),1,""))</f>
        <v/>
      </c>
      <c r="KX37" s="69" t="str">
        <f ca="1">IF(AND($C37="Goal",KX$8&gt;=$G37,KX$8&lt;=$G37+$H37-1),2,IF(AND($C37="Milestone",KX$8&gt;=$G37,KX$8&lt;=$G37+$H37-1),1,""))</f>
        <v/>
      </c>
      <c r="KY37" s="69" t="str">
        <f ca="1">IF(AND($C37="Goal",KY$8&gt;=$G37,KY$8&lt;=$G37+$H37-1),2,IF(AND($C37="Milestone",KY$8&gt;=$G37,KY$8&lt;=$G37+$H37-1),1,""))</f>
        <v/>
      </c>
      <c r="KZ37" s="69" t="str">
        <f ca="1">IF(AND($C37="Goal",KZ$8&gt;=$G37,KZ$8&lt;=$G37+$H37-1),2,IF(AND($C37="Milestone",KZ$8&gt;=$G37,KZ$8&lt;=$G37+$H37-1),1,""))</f>
        <v/>
      </c>
      <c r="LA37" s="69" t="str">
        <f ca="1">IF(AND($C37="Goal",LA$8&gt;=$G37,LA$8&lt;=$G37+$H37-1),2,IF(AND($C37="Milestone",LA$8&gt;=$G37,LA$8&lt;=$G37+$H37-1),1,""))</f>
        <v/>
      </c>
      <c r="LB37" s="69" t="str">
        <f ca="1">IF(AND($C37="Goal",LB$8&gt;=$G37,LB$8&lt;=$G37+$H37-1),2,IF(AND($C37="Milestone",LB$8&gt;=$G37,LB$8&lt;=$G37+$H37-1),1,""))</f>
        <v/>
      </c>
      <c r="LC37" s="69" t="str">
        <f ca="1">IF(AND($C37="Goal",LC$8&gt;=$G37,LC$8&lt;=$G37+$H37-1),2,IF(AND($C37="Milestone",LC$8&gt;=$G37,LC$8&lt;=$G37+$H37-1),1,""))</f>
        <v/>
      </c>
      <c r="LD37" s="69" t="str">
        <f ca="1">IF(AND($C37="Goal",LD$8&gt;=$G37,LD$8&lt;=$G37+$H37-1),2,IF(AND($C37="Milestone",LD$8&gt;=$G37,LD$8&lt;=$G37+$H37-1),1,""))</f>
        <v/>
      </c>
      <c r="LE37" s="69" t="str">
        <f ca="1">IF(AND($C37="Goal",LE$8&gt;=$G37,LE$8&lt;=$G37+$H37-1),2,IF(AND($C37="Milestone",LE$8&gt;=$G37,LE$8&lt;=$G37+$H37-1),1,""))</f>
        <v/>
      </c>
      <c r="LF37" s="69" t="str">
        <f ca="1">IF(AND($C37="Goal",LF$8&gt;=$G37,LF$8&lt;=$G37+$H37-1),2,IF(AND($C37="Milestone",LF$8&gt;=$G37,LF$8&lt;=$G37+$H37-1),1,""))</f>
        <v/>
      </c>
      <c r="LG37" s="69" t="str">
        <f ca="1">IF(AND($C37="Goal",LG$8&gt;=$G37,LG$8&lt;=$G37+$H37-1),2,IF(AND($C37="Milestone",LG$8&gt;=$G37,LG$8&lt;=$G37+$H37-1),1,""))</f>
        <v/>
      </c>
      <c r="LH37" s="69" t="str">
        <f ca="1">IF(AND($C37="Goal",LH$8&gt;=$G37,LH$8&lt;=$G37+$H37-1),2,IF(AND($C37="Milestone",LH$8&gt;=$G37,LH$8&lt;=$G37+$H37-1),1,""))</f>
        <v/>
      </c>
      <c r="LI37" s="69" t="str">
        <f ca="1">IF(AND($C37="Goal",LI$8&gt;=$G37,LI$8&lt;=$G37+$H37-1),2,IF(AND($C37="Milestone",LI$8&gt;=$G37,LI$8&lt;=$G37+$H37-1),1,""))</f>
        <v/>
      </c>
      <c r="LJ37" s="69" t="str">
        <f ca="1">IF(AND($C37="Goal",LJ$8&gt;=$G37,LJ$8&lt;=$G37+$H37-1),2,IF(AND($C37="Milestone",LJ$8&gt;=$G37,LJ$8&lt;=$G37+$H37-1),1,""))</f>
        <v/>
      </c>
      <c r="LK37" s="69" t="str">
        <f ca="1">IF(AND($C37="Goal",LK$8&gt;=$G37,LK$8&lt;=$G37+$H37-1),2,IF(AND($C37="Milestone",LK$8&gt;=$G37,LK$8&lt;=$G37+$H37-1),1,""))</f>
        <v/>
      </c>
      <c r="LL37" s="69" t="str">
        <f ca="1">IF(AND($C37="Goal",LL$8&gt;=$G37,LL$8&lt;=$G37+$H37-1),2,IF(AND($C37="Milestone",LL$8&gt;=$G37,LL$8&lt;=$G37+$H37-1),1,""))</f>
        <v/>
      </c>
      <c r="LM37" s="69" t="str">
        <f ca="1">IF(AND($C37="Goal",LM$8&gt;=$G37,LM$8&lt;=$G37+$H37-1),2,IF(AND($C37="Milestone",LM$8&gt;=$G37,LM$8&lt;=$G37+$H37-1),1,""))</f>
        <v/>
      </c>
      <c r="LN37" s="69" t="str">
        <f ca="1">IF(AND($C37="Goal",LN$8&gt;=$G37,LN$8&lt;=$G37+$H37-1),2,IF(AND($C37="Milestone",LN$8&gt;=$G37,LN$8&lt;=$G37+$H37-1),1,""))</f>
        <v/>
      </c>
      <c r="LO37" s="69" t="str">
        <f ca="1">IF(AND($C37="Goal",LO$8&gt;=$G37,LO$8&lt;=$G37+$H37-1),2,IF(AND($C37="Milestone",LO$8&gt;=$G37,LO$8&lt;=$G37+$H37-1),1,""))</f>
        <v/>
      </c>
      <c r="LP37" s="69" t="str">
        <f ca="1">IF(AND($C37="Goal",LP$8&gt;=$G37,LP$8&lt;=$G37+$H37-1),2,IF(AND($C37="Milestone",LP$8&gt;=$G37,LP$8&lt;=$G37+$H37-1),1,""))</f>
        <v/>
      </c>
      <c r="LQ37" s="69" t="str">
        <f ca="1">IF(AND($C37="Goal",LQ$8&gt;=$G37,LQ$8&lt;=$G37+$H37-1),2,IF(AND($C37="Milestone",LQ$8&gt;=$G37,LQ$8&lt;=$G37+$H37-1),1,""))</f>
        <v/>
      </c>
      <c r="LR37" s="69" t="str">
        <f ca="1">IF(AND($C37="Goal",LR$8&gt;=$G37,LR$8&lt;=$G37+$H37-1),2,IF(AND($C37="Milestone",LR$8&gt;=$G37,LR$8&lt;=$G37+$H37-1),1,""))</f>
        <v/>
      </c>
      <c r="LS37" s="69" t="str">
        <f ca="1">IF(AND($C37="Goal",LS$8&gt;=$G37,LS$8&lt;=$G37+$H37-1),2,IF(AND($C37="Milestone",LS$8&gt;=$G37,LS$8&lt;=$G37+$H37-1),1,""))</f>
        <v/>
      </c>
      <c r="LT37" s="69" t="str">
        <f ca="1">IF(AND($C37="Goal",LT$8&gt;=$G37,LT$8&lt;=$G37+$H37-1),2,IF(AND($C37="Milestone",LT$8&gt;=$G37,LT$8&lt;=$G37+$H37-1),1,""))</f>
        <v/>
      </c>
      <c r="LU37" s="69" t="str">
        <f ca="1">IF(AND($C37="Goal",LU$8&gt;=$G37,LU$8&lt;=$G37+$H37-1),2,IF(AND($C37="Milestone",LU$8&gt;=$G37,LU$8&lt;=$G37+$H37-1),1,""))</f>
        <v/>
      </c>
      <c r="LV37" s="69" t="str">
        <f ca="1">IF(AND($C37="Goal",LV$8&gt;=$G37,LV$8&lt;=$G37+$H37-1),2,IF(AND($C37="Milestone",LV$8&gt;=$G37,LV$8&lt;=$G37+$H37-1),1,""))</f>
        <v/>
      </c>
      <c r="LW37" s="69" t="str">
        <f ca="1">IF(AND($C37="Goal",LW$8&gt;=$G37,LW$8&lt;=$G37+$H37-1),2,IF(AND($C37="Milestone",LW$8&gt;=$G37,LW$8&lt;=$G37+$H37-1),1,""))</f>
        <v/>
      </c>
      <c r="LX37" s="69" t="str">
        <f ca="1">IF(AND($C37="Goal",LX$8&gt;=$G37,LX$8&lt;=$G37+$H37-1),2,IF(AND($C37="Milestone",LX$8&gt;=$G37,LX$8&lt;=$G37+$H37-1),1,""))</f>
        <v/>
      </c>
    </row>
    <row r="38" spans="1:336" s="1" customFormat="1" ht="14.85" hidden="1" x14ac:dyDescent="0.25">
      <c r="A38" s="6"/>
      <c r="B38" s="47"/>
      <c r="C38" s="58"/>
      <c r="D38" s="58" t="str">
        <f ca="1">IF(G38="","",
IF(G38+Milestones4352[[#This Row],[Days]]="","",
IF(OR(F38=1,F38=100%),"Complete",
CHOOSE(
  1
  + --(((1-IF(F38&gt;1,F38/100,F38))*POWER(2.718281828,(60-MAX(0,G38+Milestones4352[[#This Row],[Days]]-TODAY()))/12))&gt;=0.6)
  + --(((1-IF(F38&gt;1,F38/100,F38))*POWER(2.718281828,(60-MAX(0,G38+Milestones4352[[#This Row],[Days]]-TODAY()))/12))&gt;=1.2)
  + --(((1-IF(F38&gt;1,F38/100,F38))*POWER(2.718281828,(60-MAX(0,G38+Milestones4352[[#This Row],[Days]]-TODAY()))/12))&gt;=2),
  "On track","Low risk","Medium risk","High risk"
))))</f>
        <v/>
      </c>
      <c r="E38" s="58"/>
      <c r="F38" s="56"/>
      <c r="G38" s="71"/>
      <c r="H38" s="57"/>
      <c r="I38" s="57" t="str">
        <f t="shared" si="207"/>
        <v/>
      </c>
      <c r="J38" s="12" t="str">
        <f ca="1">IF(OR(Milestones4352[[#This Row],[Start]]="",Milestones4352[[#This Row],[Days]]=""),"",(Milestones4352[[#This Row],[Start]]+Milestones4352[[#This Row],[Days]])-TODAY())</f>
        <v/>
      </c>
      <c r="K38" s="9"/>
      <c r="L38" s="69" t="str">
        <f ca="1">IF(AND($C38="Goal",L$8&gt;=$G38,L$8&lt;=$G38+$H38-1),2,IF(AND($C38="Milestone",L$8&gt;=$G38,L$8&lt;=$G38+$H38-1),1,""))</f>
        <v/>
      </c>
      <c r="M38" s="69" t="str">
        <f ca="1">IF(AND($C38="Goal",M$8&gt;=$G38,M$8&lt;=$G38+$H38-1),2,IF(AND($C38="Milestone",M$8&gt;=$G38,M$8&lt;=$G38+$H38-1),1,""))</f>
        <v/>
      </c>
      <c r="N38" s="69" t="str">
        <f ca="1">IF(AND($C38="Goal",N$8&gt;=$G38,N$8&lt;=$G38+$H38-1),2,IF(AND($C38="Milestone",N$8&gt;=$G38,N$8&lt;=$G38+$H38-1),1,""))</f>
        <v/>
      </c>
      <c r="O38" s="69" t="str">
        <f ca="1">IF(AND($C38="Goal",O$8&gt;=$G38,O$8&lt;=$G38+$H38-1),2,IF(AND($C38="Milestone",O$8&gt;=$G38,O$8&lt;=$G38+$H38-1),1,""))</f>
        <v/>
      </c>
      <c r="P38" s="69" t="str">
        <f ca="1">IF(AND($C38="Goal",P$8&gt;=$G38,P$8&lt;=$G38+$H38-1),2,IF(AND($C38="Milestone",P$8&gt;=$G38,P$8&lt;=$G38+$H38-1),1,""))</f>
        <v/>
      </c>
      <c r="Q38" s="69" t="str">
        <f ca="1">IF(AND($C38="Goal",Q$8&gt;=$G38,Q$8&lt;=$G38+$H38-1),2,IF(AND($C38="Milestone",Q$8&gt;=$G38,Q$8&lt;=$G38+$H38-1),1,""))</f>
        <v/>
      </c>
      <c r="R38" s="69" t="str">
        <f ca="1">IF(AND($C38="Goal",R$8&gt;=$G38,R$8&lt;=$G38+$H38-1),2,IF(AND($C38="Milestone",R$8&gt;=$G38,R$8&lt;=$G38+$H38-1),1,""))</f>
        <v/>
      </c>
      <c r="S38" s="69" t="str">
        <f ca="1">IF(AND($C38="Goal",S$8&gt;=$G38,S$8&lt;=$G38+$H38-1),2,IF(AND($C38="Milestone",S$8&gt;=$G38,S$8&lt;=$G38+$H38-1),1,""))</f>
        <v/>
      </c>
      <c r="T38" s="69" t="str">
        <f ca="1">IF(AND($C38="Goal",T$8&gt;=$G38,T$8&lt;=$G38+$H38-1),2,IF(AND($C38="Milestone",T$8&gt;=$G38,T$8&lt;=$G38+$H38-1),1,""))</f>
        <v/>
      </c>
      <c r="U38" s="69" t="str">
        <f ca="1">IF(AND($C38="Goal",U$8&gt;=$G38,U$8&lt;=$G38+$H38-1),2,IF(AND($C38="Milestone",U$8&gt;=$G38,U$8&lt;=$G38+$H38-1),1,""))</f>
        <v/>
      </c>
      <c r="V38" s="69" t="str">
        <f ca="1">IF(AND($C38="Goal",V$8&gt;=$G38,V$8&lt;=$G38+$H38-1),2,IF(AND($C38="Milestone",V$8&gt;=$G38,V$8&lt;=$G38+$H38-1),1,""))</f>
        <v/>
      </c>
      <c r="W38" s="69" t="str">
        <f ca="1">IF(AND($C38="Goal",W$8&gt;=$G38,W$8&lt;=$G38+$H38-1),2,IF(AND($C38="Milestone",W$8&gt;=$G38,W$8&lt;=$G38+$H38-1),1,""))</f>
        <v/>
      </c>
      <c r="X38" s="69" t="str">
        <f ca="1">IF(AND($C38="Goal",X$8&gt;=$G38,X$8&lt;=$G38+$H38-1),2,IF(AND($C38="Milestone",X$8&gt;=$G38,X$8&lt;=$G38+$H38-1),1,""))</f>
        <v/>
      </c>
      <c r="Y38" s="69" t="str">
        <f ca="1">IF(AND($C38="Goal",Y$8&gt;=$G38,Y$8&lt;=$G38+$H38-1),2,IF(AND($C38="Milestone",Y$8&gt;=$G38,Y$8&lt;=$G38+$H38-1),1,""))</f>
        <v/>
      </c>
      <c r="Z38" s="69" t="str">
        <f ca="1">IF(AND($C38="Goal",Z$8&gt;=$G38,Z$8&lt;=$G38+$H38-1),2,IF(AND($C38="Milestone",Z$8&gt;=$G38,Z$8&lt;=$G38+$H38-1),1,""))</f>
        <v/>
      </c>
      <c r="AA38" s="69" t="str">
        <f ca="1">IF(AND($C38="Goal",AA$8&gt;=$G38,AA$8&lt;=$G38+$H38-1),2,IF(AND($C38="Milestone",AA$8&gt;=$G38,AA$8&lt;=$G38+$H38-1),1,""))</f>
        <v/>
      </c>
      <c r="AB38" s="69" t="str">
        <f ca="1">IF(AND($C38="Goal",AB$8&gt;=$G38,AB$8&lt;=$G38+$H38-1),2,IF(AND($C38="Milestone",AB$8&gt;=$G38,AB$8&lt;=$G38+$H38-1),1,""))</f>
        <v/>
      </c>
      <c r="AC38" s="69" t="str">
        <f ca="1">IF(AND($C38="Goal",AC$8&gt;=$G38,AC$8&lt;=$G38+$H38-1),2,IF(AND($C38="Milestone",AC$8&gt;=$G38,AC$8&lt;=$G38+$H38-1),1,""))</f>
        <v/>
      </c>
      <c r="AD38" s="69" t="str">
        <f ca="1">IF(AND($C38="Goal",AD$8&gt;=$G38,AD$8&lt;=$G38+$H38-1),2,IF(AND($C38="Milestone",AD$8&gt;=$G38,AD$8&lt;=$G38+$H38-1),1,""))</f>
        <v/>
      </c>
      <c r="AE38" s="69" t="str">
        <f ca="1">IF(AND($C38="Goal",AE$8&gt;=$G38,AE$8&lt;=$G38+$H38-1),2,IF(AND($C38="Milestone",AE$8&gt;=$G38,AE$8&lt;=$G38+$H38-1),1,""))</f>
        <v/>
      </c>
      <c r="AF38" s="69" t="str">
        <f ca="1">IF(AND($C38="Goal",AF$8&gt;=$G38,AF$8&lt;=$G38+$H38-1),2,IF(AND($C38="Milestone",AF$8&gt;=$G38,AF$8&lt;=$G38+$H38-1),1,""))</f>
        <v/>
      </c>
      <c r="AG38" s="69" t="str">
        <f ca="1">IF(AND($C38="Goal",AG$8&gt;=$G38,AG$8&lt;=$G38+$H38-1),2,IF(AND($C38="Milestone",AG$8&gt;=$G38,AG$8&lt;=$G38+$H38-1),1,""))</f>
        <v/>
      </c>
      <c r="AH38" s="69" t="str">
        <f ca="1">IF(AND($C38="Goal",AH$8&gt;=$G38,AH$8&lt;=$G38+$H38-1),2,IF(AND($C38="Milestone",AH$8&gt;=$G38,AH$8&lt;=$G38+$H38-1),1,""))</f>
        <v/>
      </c>
      <c r="AI38" s="69" t="str">
        <f ca="1">IF(AND($C38="Goal",AI$8&gt;=$G38,AI$8&lt;=$G38+$H38-1),2,IF(AND($C38="Milestone",AI$8&gt;=$G38,AI$8&lt;=$G38+$H38-1),1,""))</f>
        <v/>
      </c>
      <c r="AJ38" s="69" t="str">
        <f ca="1">IF(AND($C38="Goal",AJ$8&gt;=$G38,AJ$8&lt;=$G38+$H38-1),2,IF(AND($C38="Milestone",AJ$8&gt;=$G38,AJ$8&lt;=$G38+$H38-1),1,""))</f>
        <v/>
      </c>
      <c r="AK38" s="69" t="str">
        <f ca="1">IF(AND($C38="Goal",AK$8&gt;=$G38,AK$8&lt;=$G38+$H38-1),2,IF(AND($C38="Milestone",AK$8&gt;=$G38,AK$8&lt;=$G38+$H38-1),1,""))</f>
        <v/>
      </c>
      <c r="AL38" s="69" t="str">
        <f ca="1">IF(AND($C38="Goal",AL$8&gt;=$G38,AL$8&lt;=$G38+$H38-1),2,IF(AND($C38="Milestone",AL$8&gt;=$G38,AL$8&lt;=$G38+$H38-1),1,""))</f>
        <v/>
      </c>
      <c r="AM38" s="69" t="str">
        <f ca="1">IF(AND($C38="Goal",AM$8&gt;=$G38,AM$8&lt;=$G38+$H38-1),2,IF(AND($C38="Milestone",AM$8&gt;=$G38,AM$8&lt;=$G38+$H38-1),1,""))</f>
        <v/>
      </c>
      <c r="AN38" s="69" t="str">
        <f ca="1">IF(AND($C38="Goal",AN$8&gt;=$G38,AN$8&lt;=$G38+$H38-1),2,IF(AND($C38="Milestone",AN$8&gt;=$G38,AN$8&lt;=$G38+$H38-1),1,""))</f>
        <v/>
      </c>
      <c r="AO38" s="69" t="str">
        <f ca="1">IF(AND($C38="Goal",AO$8&gt;=$G38,AO$8&lt;=$G38+$H38-1),2,IF(AND($C38="Milestone",AO$8&gt;=$G38,AO$8&lt;=$G38+$H38-1),1,""))</f>
        <v/>
      </c>
      <c r="AP38" s="69" t="str">
        <f ca="1">IF(AND($C38="Goal",AP$8&gt;=$G38,AP$8&lt;=$G38+$H38-1),2,IF(AND($C38="Milestone",AP$8&gt;=$G38,AP$8&lt;=$G38+$H38-1),1,""))</f>
        <v/>
      </c>
      <c r="AQ38" s="69" t="str">
        <f ca="1">IF(AND($C38="Goal",AQ$8&gt;=$G38,AQ$8&lt;=$G38+$H38-1),2,IF(AND($C38="Milestone",AQ$8&gt;=$G38,AQ$8&lt;=$G38+$H38-1),1,""))</f>
        <v/>
      </c>
      <c r="AR38" s="69" t="str">
        <f ca="1">IF(AND($C38="Goal",AR$8&gt;=$G38,AR$8&lt;=$G38+$H38-1),2,IF(AND($C38="Milestone",AR$8&gt;=$G38,AR$8&lt;=$G38+$H38-1),1,""))</f>
        <v/>
      </c>
      <c r="AS38" s="69" t="str">
        <f ca="1">IF(AND($C38="Goal",AS$8&gt;=$G38,AS$8&lt;=$G38+$H38-1),2,IF(AND($C38="Milestone",AS$8&gt;=$G38,AS$8&lt;=$G38+$H38-1),1,""))</f>
        <v/>
      </c>
      <c r="AT38" s="69" t="str">
        <f ca="1">IF(AND($C38="Goal",AT$8&gt;=$G38,AT$8&lt;=$G38+$H38-1),2,IF(AND($C38="Milestone",AT$8&gt;=$G38,AT$8&lt;=$G38+$H38-1),1,""))</f>
        <v/>
      </c>
      <c r="AU38" s="69" t="str">
        <f ca="1">IF(AND($C38="Goal",AU$8&gt;=$G38,AU$8&lt;=$G38+$H38-1),2,IF(AND($C38="Milestone",AU$8&gt;=$G38,AU$8&lt;=$G38+$H38-1),1,""))</f>
        <v/>
      </c>
      <c r="AV38" s="69" t="str">
        <f ca="1">IF(AND($C38="Goal",AV$8&gt;=$G38,AV$8&lt;=$G38+$H38-1),2,IF(AND($C38="Milestone",AV$8&gt;=$G38,AV$8&lt;=$G38+$H38-1),1,""))</f>
        <v/>
      </c>
      <c r="AW38" s="69" t="str">
        <f ca="1">IF(AND($C38="Goal",AW$8&gt;=$G38,AW$8&lt;=$G38+$H38-1),2,IF(AND($C38="Milestone",AW$8&gt;=$G38,AW$8&lt;=$G38+$H38-1),1,""))</f>
        <v/>
      </c>
      <c r="AX38" s="69" t="str">
        <f ca="1">IF(AND($C38="Goal",AX$8&gt;=$G38,AX$8&lt;=$G38+$H38-1),2,IF(AND($C38="Milestone",AX$8&gt;=$G38,AX$8&lt;=$G38+$H38-1),1,""))</f>
        <v/>
      </c>
      <c r="AY38" s="69" t="str">
        <f ca="1">IF(AND($C38="Goal",AY$8&gt;=$G38,AY$8&lt;=$G38+$H38-1),2,IF(AND($C38="Milestone",AY$8&gt;=$G38,AY$8&lt;=$G38+$H38-1),1,""))</f>
        <v/>
      </c>
      <c r="AZ38" s="69" t="str">
        <f ca="1">IF(AND($C38="Goal",AZ$8&gt;=$G38,AZ$8&lt;=$G38+$H38-1),2,IF(AND($C38="Milestone",AZ$8&gt;=$G38,AZ$8&lt;=$G38+$H38-1),1,""))</f>
        <v/>
      </c>
      <c r="BA38" s="69" t="str">
        <f ca="1">IF(AND($C38="Goal",BA$8&gt;=$G38,BA$8&lt;=$G38+$H38-1),2,IF(AND($C38="Milestone",BA$8&gt;=$G38,BA$8&lt;=$G38+$H38-1),1,""))</f>
        <v/>
      </c>
      <c r="BB38" s="69" t="str">
        <f ca="1">IF(AND($C38="Goal",BB$8&gt;=$G38,BB$8&lt;=$G38+$H38-1),2,IF(AND($C38="Milestone",BB$8&gt;=$G38,BB$8&lt;=$G38+$H38-1),1,""))</f>
        <v/>
      </c>
      <c r="BC38" s="69" t="str">
        <f ca="1">IF(AND($C38="Goal",BC$8&gt;=$G38,BC$8&lt;=$G38+$H38-1),2,IF(AND($C38="Milestone",BC$8&gt;=$G38,BC$8&lt;=$G38+$H38-1),1,""))</f>
        <v/>
      </c>
      <c r="BD38" s="69" t="str">
        <f ca="1">IF(AND($C38="Goal",BD$8&gt;=$G38,BD$8&lt;=$G38+$H38-1),2,IF(AND($C38="Milestone",BD$8&gt;=$G38,BD$8&lt;=$G38+$H38-1),1,""))</f>
        <v/>
      </c>
      <c r="BE38" s="69" t="str">
        <f ca="1">IF(AND($C38="Goal",BE$8&gt;=$G38,BE$8&lt;=$G38+$H38-1),2,IF(AND($C38="Milestone",BE$8&gt;=$G38,BE$8&lt;=$G38+$H38-1),1,""))</f>
        <v/>
      </c>
      <c r="BF38" s="69" t="str">
        <f ca="1">IF(AND($C38="Goal",BF$8&gt;=$G38,BF$8&lt;=$G38+$H38-1),2,IF(AND($C38="Milestone",BF$8&gt;=$G38,BF$8&lt;=$G38+$H38-1),1,""))</f>
        <v/>
      </c>
      <c r="BG38" s="69" t="str">
        <f ca="1">IF(AND($C38="Goal",BG$8&gt;=$G38,BG$8&lt;=$G38+$H38-1),2,IF(AND($C38="Milestone",BG$8&gt;=$G38,BG$8&lt;=$G38+$H38-1),1,""))</f>
        <v/>
      </c>
      <c r="BH38" s="69" t="str">
        <f ca="1">IF(AND($C38="Goal",BH$8&gt;=$G38,BH$8&lt;=$G38+$H38-1),2,IF(AND($C38="Milestone",BH$8&gt;=$G38,BH$8&lt;=$G38+$H38-1),1,""))</f>
        <v/>
      </c>
      <c r="BI38" s="69" t="str">
        <f ca="1">IF(AND($C38="Goal",BI$8&gt;=$G38,BI$8&lt;=$G38+$H38-1),2,IF(AND($C38="Milestone",BI$8&gt;=$G38,BI$8&lt;=$G38+$H38-1),1,""))</f>
        <v/>
      </c>
      <c r="BJ38" s="69" t="str">
        <f ca="1">IF(AND($C38="Goal",BJ$8&gt;=$G38,BJ$8&lt;=$G38+$H38-1),2,IF(AND($C38="Milestone",BJ$8&gt;=$G38,BJ$8&lt;=$G38+$H38-1),1,""))</f>
        <v/>
      </c>
      <c r="BK38" s="69" t="str">
        <f ca="1">IF(AND($C38="Goal",BK$8&gt;=$G38,BK$8&lt;=$G38+$H38-1),2,IF(AND($C38="Milestone",BK$8&gt;=$G38,BK$8&lt;=$G38+$H38-1),1,""))</f>
        <v/>
      </c>
      <c r="BL38" s="69" t="str">
        <f ca="1">IF(AND($C38="Goal",BL$8&gt;=$G38,BL$8&lt;=$G38+$H38-1),2,IF(AND($C38="Milestone",BL$8&gt;=$G38,BL$8&lt;=$G38+$H38-1),1,""))</f>
        <v/>
      </c>
      <c r="BM38" s="69" t="str">
        <f ca="1">IF(AND($C38="Goal",BM$8&gt;=$G38,BM$8&lt;=$G38+$H38-1),2,IF(AND($C38="Milestone",BM$8&gt;=$G38,BM$8&lt;=$G38+$H38-1),1,""))</f>
        <v/>
      </c>
      <c r="BN38" s="69" t="str">
        <f ca="1">IF(AND($C38="Goal",BN$8&gt;=$G38,BN$8&lt;=$G38+$H38-1),2,IF(AND($C38="Milestone",BN$8&gt;=$G38,BN$8&lt;=$G38+$H38-1),1,""))</f>
        <v/>
      </c>
      <c r="BO38" s="69" t="str">
        <f ca="1">IF(AND($C38="Goal",BO$8&gt;=$G38,BO$8&lt;=$G38+$H38-1),2,IF(AND($C38="Milestone",BO$8&gt;=$G38,BO$8&lt;=$G38+$H38-1),1,""))</f>
        <v/>
      </c>
      <c r="BP38" s="69" t="str">
        <f ca="1">IF(AND($C38="Goal",BP$8&gt;=$G38,BP$8&lt;=$G38+$H38-1),2,IF(AND($C38="Milestone",BP$8&gt;=$G38,BP$8&lt;=$G38+$H38-1),1,""))</f>
        <v/>
      </c>
      <c r="BQ38" s="69" t="str">
        <f ca="1">IF(AND($C38="Goal",BQ$8&gt;=$G38,BQ$8&lt;=$G38+$H38-1),2,IF(AND($C38="Milestone",BQ$8&gt;=$G38,BQ$8&lt;=$G38+$H38-1),1,""))</f>
        <v/>
      </c>
      <c r="BR38" s="69" t="str">
        <f ca="1">IF(AND($C38="Goal",BR$8&gt;=$G38,BR$8&lt;=$G38+$H38-1),2,IF(AND($C38="Milestone",BR$8&gt;=$G38,BR$8&lt;=$G38+$H38-1),1,""))</f>
        <v/>
      </c>
      <c r="BS38" s="69" t="str">
        <f ca="1">IF(AND($C38="Goal",BS$8&gt;=$G38,BS$8&lt;=$G38+$H38-1),2,IF(AND($C38="Milestone",BS$8&gt;=$G38,BS$8&lt;=$G38+$H38-1),1,""))</f>
        <v/>
      </c>
      <c r="BT38" s="69" t="str">
        <f ca="1">IF(AND($C38="Goal",BT$8&gt;=$G38,BT$8&lt;=$G38+$H38-1),2,IF(AND($C38="Milestone",BT$8&gt;=$G38,BT$8&lt;=$G38+$H38-1),1,""))</f>
        <v/>
      </c>
      <c r="BU38" s="69" t="str">
        <f ca="1">IF(AND($C38="Goal",BU$8&gt;=$G38,BU$8&lt;=$G38+$H38-1),2,IF(AND($C38="Milestone",BU$8&gt;=$G38,BU$8&lt;=$G38+$H38-1),1,""))</f>
        <v/>
      </c>
      <c r="BV38" s="69" t="str">
        <f ca="1">IF(AND($C38="Goal",BV$8&gt;=$G38,BV$8&lt;=$G38+$H38-1),2,IF(AND($C38="Milestone",BV$8&gt;=$G38,BV$8&lt;=$G38+$H38-1),1,""))</f>
        <v/>
      </c>
      <c r="BW38" s="69" t="str">
        <f ca="1">IF(AND($C38="Goal",BW$8&gt;=$G38,BW$8&lt;=$G38+$H38-1),2,IF(AND($C38="Milestone",BW$8&gt;=$G38,BW$8&lt;=$G38+$H38-1),1,""))</f>
        <v/>
      </c>
      <c r="BX38" s="69" t="str">
        <f ca="1">IF(AND($C38="Goal",BX$8&gt;=$G38,BX$8&lt;=$G38+$H38-1),2,IF(AND($C38="Milestone",BX$8&gt;=$G38,BX$8&lt;=$G38+$H38-1),1,""))</f>
        <v/>
      </c>
      <c r="BY38" s="69" t="str">
        <f ca="1">IF(AND($C38="Goal",BY$8&gt;=$G38,BY$8&lt;=$G38+$H38-1),2,IF(AND($C38="Milestone",BY$8&gt;=$G38,BY$8&lt;=$G38+$H38-1),1,""))</f>
        <v/>
      </c>
      <c r="BZ38" s="69" t="str">
        <f ca="1">IF(AND($C38="Goal",BZ$8&gt;=$G38,BZ$8&lt;=$G38+$H38-1),2,IF(AND($C38="Milestone",BZ$8&gt;=$G38,BZ$8&lt;=$G38+$H38-1),1,""))</f>
        <v/>
      </c>
      <c r="CA38" s="69" t="str">
        <f ca="1">IF(AND($C38="Goal",CA$8&gt;=$G38,CA$8&lt;=$G38+$H38-1),2,IF(AND($C38="Milestone",CA$8&gt;=$G38,CA$8&lt;=$G38+$H38-1),1,""))</f>
        <v/>
      </c>
      <c r="CB38" s="69" t="str">
        <f ca="1">IF(AND($C38="Goal",CB$8&gt;=$G38,CB$8&lt;=$G38+$H38-1),2,IF(AND($C38="Milestone",CB$8&gt;=$G38,CB$8&lt;=$G38+$H38-1),1,""))</f>
        <v/>
      </c>
      <c r="CC38" s="69" t="str">
        <f ca="1">IF(AND($C38="Goal",CC$8&gt;=$G38,CC$8&lt;=$G38+$H38-1),2,IF(AND($C38="Milestone",CC$8&gt;=$G38,CC$8&lt;=$G38+$H38-1),1,""))</f>
        <v/>
      </c>
      <c r="CD38" s="69" t="str">
        <f ca="1">IF(AND($C38="Goal",CD$8&gt;=$G38,CD$8&lt;=$G38+$H38-1),2,IF(AND($C38="Milestone",CD$8&gt;=$G38,CD$8&lt;=$G38+$H38-1),1,""))</f>
        <v/>
      </c>
      <c r="CE38" s="69" t="str">
        <f ca="1">IF(AND($C38="Goal",CE$8&gt;=$G38,CE$8&lt;=$G38+$H38-1),2,IF(AND($C38="Milestone",CE$8&gt;=$G38,CE$8&lt;=$G38+$H38-1),1,""))</f>
        <v/>
      </c>
      <c r="CF38" s="69" t="str">
        <f ca="1">IF(AND($C38="Goal",CF$8&gt;=$G38,CF$8&lt;=$G38+$H38-1),2,IF(AND($C38="Milestone",CF$8&gt;=$G38,CF$8&lt;=$G38+$H38-1),1,""))</f>
        <v/>
      </c>
      <c r="CG38" s="69" t="str">
        <f ca="1">IF(AND($C38="Goal",CG$8&gt;=$G38,CG$8&lt;=$G38+$H38-1),2,IF(AND($C38="Milestone",CG$8&gt;=$G38,CG$8&lt;=$G38+$H38-1),1,""))</f>
        <v/>
      </c>
      <c r="CH38" s="69" t="str">
        <f ca="1">IF(AND($C38="Goal",CH$8&gt;=$G38,CH$8&lt;=$G38+$H38-1),2,IF(AND($C38="Milestone",CH$8&gt;=$G38,CH$8&lt;=$G38+$H38-1),1,""))</f>
        <v/>
      </c>
      <c r="CI38" s="69" t="str">
        <f ca="1">IF(AND($C38="Goal",CI$8&gt;=$G38,CI$8&lt;=$G38+$H38-1),2,IF(AND($C38="Milestone",CI$8&gt;=$G38,CI$8&lt;=$G38+$H38-1),1,""))</f>
        <v/>
      </c>
      <c r="CJ38" s="69" t="str">
        <f ca="1">IF(AND($C38="Goal",CJ$8&gt;=$G38,CJ$8&lt;=$G38+$H38-1),2,IF(AND($C38="Milestone",CJ$8&gt;=$G38,CJ$8&lt;=$G38+$H38-1),1,""))</f>
        <v/>
      </c>
      <c r="CK38" s="69" t="str">
        <f ca="1">IF(AND($C38="Goal",CK$8&gt;=$G38,CK$8&lt;=$G38+$H38-1),2,IF(AND($C38="Milestone",CK$8&gt;=$G38,CK$8&lt;=$G38+$H38-1),1,""))</f>
        <v/>
      </c>
      <c r="CL38" s="69" t="str">
        <f ca="1">IF(AND($C38="Goal",CL$8&gt;=$G38,CL$8&lt;=$G38+$H38-1),2,IF(AND($C38="Milestone",CL$8&gt;=$G38,CL$8&lt;=$G38+$H38-1),1,""))</f>
        <v/>
      </c>
      <c r="CM38" s="69" t="str">
        <f ca="1">IF(AND($C38="Goal",CM$8&gt;=$G38,CM$8&lt;=$G38+$H38-1),2,IF(AND($C38="Milestone",CM$8&gt;=$G38,CM$8&lt;=$G38+$H38-1),1,""))</f>
        <v/>
      </c>
      <c r="CN38" s="69" t="str">
        <f ca="1">IF(AND($C38="Goal",CN$8&gt;=$G38,CN$8&lt;=$G38+$H38-1),2,IF(AND($C38="Milestone",CN$8&gt;=$G38,CN$8&lt;=$G38+$H38-1),1,""))</f>
        <v/>
      </c>
      <c r="CO38" s="69" t="str">
        <f ca="1">IF(AND($C38="Goal",CO$8&gt;=$G38,CO$8&lt;=$G38+$H38-1),2,IF(AND($C38="Milestone",CO$8&gt;=$G38,CO$8&lt;=$G38+$H38-1),1,""))</f>
        <v/>
      </c>
      <c r="CP38" s="69" t="str">
        <f ca="1">IF(AND($C38="Goal",CP$8&gt;=$G38,CP$8&lt;=$G38+$H38-1),2,IF(AND($C38="Milestone",CP$8&gt;=$G38,CP$8&lt;=$G38+$H38-1),1,""))</f>
        <v/>
      </c>
      <c r="CQ38" s="69" t="str">
        <f ca="1">IF(AND($C38="Goal",CQ$8&gt;=$G38,CQ$8&lt;=$G38+$H38-1),2,IF(AND($C38="Milestone",CQ$8&gt;=$G38,CQ$8&lt;=$G38+$H38-1),1,""))</f>
        <v/>
      </c>
      <c r="CR38" s="69" t="str">
        <f ca="1">IF(AND($C38="Goal",CR$8&gt;=$G38,CR$8&lt;=$G38+$H38-1),2,IF(AND($C38="Milestone",CR$8&gt;=$G38,CR$8&lt;=$G38+$H38-1),1,""))</f>
        <v/>
      </c>
      <c r="CS38" s="69" t="str">
        <f ca="1">IF(AND($C38="Goal",CS$8&gt;=$G38,CS$8&lt;=$G38+$H38-1),2,IF(AND($C38="Milestone",CS$8&gt;=$G38,CS$8&lt;=$G38+$H38-1),1,""))</f>
        <v/>
      </c>
      <c r="CT38" s="69" t="str">
        <f ca="1">IF(AND($C38="Goal",CT$8&gt;=$G38,CT$8&lt;=$G38+$H38-1),2,IF(AND($C38="Milestone",CT$8&gt;=$G38,CT$8&lt;=$G38+$H38-1),1,""))</f>
        <v/>
      </c>
      <c r="CU38" s="69" t="str">
        <f ca="1">IF(AND($C38="Goal",CU$8&gt;=$G38,CU$8&lt;=$G38+$H38-1),2,IF(AND($C38="Milestone",CU$8&gt;=$G38,CU$8&lt;=$G38+$H38-1),1,""))</f>
        <v/>
      </c>
      <c r="CV38" s="69" t="str">
        <f ca="1">IF(AND($C38="Goal",CV$8&gt;=$G38,CV$8&lt;=$G38+$H38-1),2,IF(AND($C38="Milestone",CV$8&gt;=$G38,CV$8&lt;=$G38+$H38-1),1,""))</f>
        <v/>
      </c>
      <c r="CW38" s="69" t="str">
        <f ca="1">IF(AND($C38="Goal",CW$8&gt;=$G38,CW$8&lt;=$G38+$H38-1),2,IF(AND($C38="Milestone",CW$8&gt;=$G38,CW$8&lt;=$G38+$H38-1),1,""))</f>
        <v/>
      </c>
      <c r="CX38" s="69" t="str">
        <f ca="1">IF(AND($C38="Goal",CX$8&gt;=$G38,CX$8&lt;=$G38+$H38-1),2,IF(AND($C38="Milestone",CX$8&gt;=$G38,CX$8&lt;=$G38+$H38-1),1,""))</f>
        <v/>
      </c>
      <c r="CY38" s="69" t="str">
        <f ca="1">IF(AND($C38="Goal",CY$8&gt;=$G38,CY$8&lt;=$G38+$H38-1),2,IF(AND($C38="Milestone",CY$8&gt;=$G38,CY$8&lt;=$G38+$H38-1),1,""))</f>
        <v/>
      </c>
      <c r="CZ38" s="69" t="str">
        <f ca="1">IF(AND($C38="Goal",CZ$8&gt;=$G38,CZ$8&lt;=$G38+$H38-1),2,IF(AND($C38="Milestone",CZ$8&gt;=$G38,CZ$8&lt;=$G38+$H38-1),1,""))</f>
        <v/>
      </c>
      <c r="DA38" s="69" t="str">
        <f ca="1">IF(AND($C38="Goal",DA$8&gt;=$G38,DA$8&lt;=$G38+$H38-1),2,IF(AND($C38="Milestone",DA$8&gt;=$G38,DA$8&lt;=$G38+$H38-1),1,""))</f>
        <v/>
      </c>
      <c r="DB38" s="69" t="str">
        <f ca="1">IF(AND($C38="Goal",DB$8&gt;=$G38,DB$8&lt;=$G38+$H38-1),2,IF(AND($C38="Milestone",DB$8&gt;=$G38,DB$8&lt;=$G38+$H38-1),1,""))</f>
        <v/>
      </c>
      <c r="DC38" s="69" t="str">
        <f ca="1">IF(AND($C38="Goal",DC$8&gt;=$G38,DC$8&lt;=$G38+$H38-1),2,IF(AND($C38="Milestone",DC$8&gt;=$G38,DC$8&lt;=$G38+$H38-1),1,""))</f>
        <v/>
      </c>
      <c r="DD38" s="69" t="str">
        <f ca="1">IF(AND($C38="Goal",DD$8&gt;=$G38,DD$8&lt;=$G38+$H38-1),2,IF(AND($C38="Milestone",DD$8&gt;=$G38,DD$8&lt;=$G38+$H38-1),1,""))</f>
        <v/>
      </c>
      <c r="DE38" s="69" t="str">
        <f ca="1">IF(AND($C38="Goal",DE$8&gt;=$G38,DE$8&lt;=$G38+$H38-1),2,IF(AND($C38="Milestone",DE$8&gt;=$G38,DE$8&lt;=$G38+$H38-1),1,""))</f>
        <v/>
      </c>
      <c r="DF38" s="69" t="str">
        <f ca="1">IF(AND($C38="Goal",DF$8&gt;=$G38,DF$8&lt;=$G38+$H38-1),2,IF(AND($C38="Milestone",DF$8&gt;=$G38,DF$8&lt;=$G38+$H38-1),1,""))</f>
        <v/>
      </c>
      <c r="DG38" s="69" t="str">
        <f ca="1">IF(AND($C38="Goal",DG$8&gt;=$G38,DG$8&lt;=$G38+$H38-1),2,IF(AND($C38="Milestone",DG$8&gt;=$G38,DG$8&lt;=$G38+$H38-1),1,""))</f>
        <v/>
      </c>
      <c r="DH38" s="69" t="str">
        <f ca="1">IF(AND($C38="Goal",DH$8&gt;=$G38,DH$8&lt;=$G38+$H38-1),2,IF(AND($C38="Milestone",DH$8&gt;=$G38,DH$8&lt;=$G38+$H38-1),1,""))</f>
        <v/>
      </c>
      <c r="DI38" s="69" t="str">
        <f ca="1">IF(AND($C38="Goal",DI$8&gt;=$G38,DI$8&lt;=$G38+$H38-1),2,IF(AND($C38="Milestone",DI$8&gt;=$G38,DI$8&lt;=$G38+$H38-1),1,""))</f>
        <v/>
      </c>
      <c r="DJ38" s="69" t="str">
        <f ca="1">IF(AND($C38="Goal",DJ$8&gt;=$G38,DJ$8&lt;=$G38+$H38-1),2,IF(AND($C38="Milestone",DJ$8&gt;=$G38,DJ$8&lt;=$G38+$H38-1),1,""))</f>
        <v/>
      </c>
      <c r="DK38" s="69" t="str">
        <f ca="1">IF(AND($C38="Goal",DK$8&gt;=$G38,DK$8&lt;=$G38+$H38-1),2,IF(AND($C38="Milestone",DK$8&gt;=$G38,DK$8&lt;=$G38+$H38-1),1,""))</f>
        <v/>
      </c>
      <c r="DL38" s="69" t="str">
        <f ca="1">IF(AND($C38="Goal",DL$8&gt;=$G38,DL$8&lt;=$G38+$H38-1),2,IF(AND($C38="Milestone",DL$8&gt;=$G38,DL$8&lt;=$G38+$H38-1),1,""))</f>
        <v/>
      </c>
      <c r="DM38" s="69" t="str">
        <f ca="1">IF(AND($C38="Goal",DM$8&gt;=$G38,DM$8&lt;=$G38+$H38-1),2,IF(AND($C38="Milestone",DM$8&gt;=$G38,DM$8&lt;=$G38+$H38-1),1,""))</f>
        <v/>
      </c>
      <c r="DN38" s="69" t="str">
        <f ca="1">IF(AND($C38="Goal",DN$8&gt;=$G38,DN$8&lt;=$G38+$H38-1),2,IF(AND($C38="Milestone",DN$8&gt;=$G38,DN$8&lt;=$G38+$H38-1),1,""))</f>
        <v/>
      </c>
      <c r="DO38" s="69" t="str">
        <f ca="1">IF(AND($C38="Goal",DO$8&gt;=$G38,DO$8&lt;=$G38+$H38-1),2,IF(AND($C38="Milestone",DO$8&gt;=$G38,DO$8&lt;=$G38+$H38-1),1,""))</f>
        <v/>
      </c>
      <c r="DP38" s="69" t="str">
        <f ca="1">IF(AND($C38="Goal",DP$8&gt;=$G38,DP$8&lt;=$G38+$H38-1),2,IF(AND($C38="Milestone",DP$8&gt;=$G38,DP$8&lt;=$G38+$H38-1),1,""))</f>
        <v/>
      </c>
      <c r="DQ38" s="69" t="str">
        <f ca="1">IF(AND($C38="Goal",DQ$8&gt;=$G38,DQ$8&lt;=$G38+$H38-1),2,IF(AND($C38="Milestone",DQ$8&gt;=$G38,DQ$8&lt;=$G38+$H38-1),1,""))</f>
        <v/>
      </c>
      <c r="DR38" s="69" t="str">
        <f ca="1">IF(AND($C38="Goal",DR$8&gt;=$G38,DR$8&lt;=$G38+$H38-1),2,IF(AND($C38="Milestone",DR$8&gt;=$G38,DR$8&lt;=$G38+$H38-1),1,""))</f>
        <v/>
      </c>
      <c r="DS38" s="69" t="str">
        <f ca="1">IF(AND($C38="Goal",DS$8&gt;=$G38,DS$8&lt;=$G38+$H38-1),2,IF(AND($C38="Milestone",DS$8&gt;=$G38,DS$8&lt;=$G38+$H38-1),1,""))</f>
        <v/>
      </c>
      <c r="DT38" s="69" t="str">
        <f ca="1">IF(AND($C38="Goal",DT$8&gt;=$G38,DT$8&lt;=$G38+$H38-1),2,IF(AND($C38="Milestone",DT$8&gt;=$G38,DT$8&lt;=$G38+$H38-1),1,""))</f>
        <v/>
      </c>
      <c r="DU38" s="69" t="str">
        <f ca="1">IF(AND($C38="Goal",DU$8&gt;=$G38,DU$8&lt;=$G38+$H38-1),2,IF(AND($C38="Milestone",DU$8&gt;=$G38,DU$8&lt;=$G38+$H38-1),1,""))</f>
        <v/>
      </c>
      <c r="DV38" s="69" t="str">
        <f ca="1">IF(AND($C38="Goal",DV$8&gt;=$G38,DV$8&lt;=$G38+$H38-1),2,IF(AND($C38="Milestone",DV$8&gt;=$G38,DV$8&lt;=$G38+$H38-1),1,""))</f>
        <v/>
      </c>
      <c r="DW38" s="69" t="str">
        <f ca="1">IF(AND($C38="Goal",DW$8&gt;=$G38,DW$8&lt;=$G38+$H38-1),2,IF(AND($C38="Milestone",DW$8&gt;=$G38,DW$8&lt;=$G38+$H38-1),1,""))</f>
        <v/>
      </c>
      <c r="DX38" s="69" t="str">
        <f ca="1">IF(AND($C38="Goal",DX$8&gt;=$G38,DX$8&lt;=$G38+$H38-1),2,IF(AND($C38="Milestone",DX$8&gt;=$G38,DX$8&lt;=$G38+$H38-1),1,""))</f>
        <v/>
      </c>
      <c r="DY38" s="69" t="str">
        <f ca="1">IF(AND($C38="Goal",DY$8&gt;=$G38,DY$8&lt;=$G38+$H38-1),2,IF(AND($C38="Milestone",DY$8&gt;=$G38,DY$8&lt;=$G38+$H38-1),1,""))</f>
        <v/>
      </c>
      <c r="DZ38" s="69" t="str">
        <f ca="1">IF(AND($C38="Goal",DZ$8&gt;=$G38,DZ$8&lt;=$G38+$H38-1),2,IF(AND($C38="Milestone",DZ$8&gt;=$G38,DZ$8&lt;=$G38+$H38-1),1,""))</f>
        <v/>
      </c>
      <c r="EA38" s="69" t="str">
        <f ca="1">IF(AND($C38="Goal",EA$8&gt;=$G38,EA$8&lt;=$G38+$H38-1),2,IF(AND($C38="Milestone",EA$8&gt;=$G38,EA$8&lt;=$G38+$H38-1),1,""))</f>
        <v/>
      </c>
      <c r="EB38" s="69" t="str">
        <f ca="1">IF(AND($C38="Goal",EB$8&gt;=$G38,EB$8&lt;=$G38+$H38-1),2,IF(AND($C38="Milestone",EB$8&gt;=$G38,EB$8&lt;=$G38+$H38-1),1,""))</f>
        <v/>
      </c>
      <c r="EC38" s="69" t="str">
        <f ca="1">IF(AND($C38="Goal",EC$8&gt;=$G38,EC$8&lt;=$G38+$H38-1),2,IF(AND($C38="Milestone",EC$8&gt;=$G38,EC$8&lt;=$G38+$H38-1),1,""))</f>
        <v/>
      </c>
      <c r="ED38" s="69" t="str">
        <f ca="1">IF(AND($C38="Goal",ED$8&gt;=$G38,ED$8&lt;=$G38+$H38-1),2,IF(AND($C38="Milestone",ED$8&gt;=$G38,ED$8&lt;=$G38+$H38-1),1,""))</f>
        <v/>
      </c>
      <c r="EE38" s="69" t="str">
        <f ca="1">IF(AND($C38="Goal",EE$8&gt;=$G38,EE$8&lt;=$G38+$H38-1),2,IF(AND($C38="Milestone",EE$8&gt;=$G38,EE$8&lt;=$G38+$H38-1),1,""))</f>
        <v/>
      </c>
      <c r="EF38" s="69" t="str">
        <f ca="1">IF(AND($C38="Goal",EF$8&gt;=$G38,EF$8&lt;=$G38+$H38-1),2,IF(AND($C38="Milestone",EF$8&gt;=$G38,EF$8&lt;=$G38+$H38-1),1,""))</f>
        <v/>
      </c>
      <c r="EG38" s="69" t="str">
        <f ca="1">IF(AND($C38="Goal",EG$8&gt;=$G38,EG$8&lt;=$G38+$H38-1),2,IF(AND($C38="Milestone",EG$8&gt;=$G38,EG$8&lt;=$G38+$H38-1),1,""))</f>
        <v/>
      </c>
      <c r="EH38" s="69" t="str">
        <f ca="1">IF(AND($C38="Goal",EH$8&gt;=$G38,EH$8&lt;=$G38+$H38-1),2,IF(AND($C38="Milestone",EH$8&gt;=$G38,EH$8&lt;=$G38+$H38-1),1,""))</f>
        <v/>
      </c>
      <c r="EI38" s="69" t="str">
        <f ca="1">IF(AND($C38="Goal",EI$8&gt;=$G38,EI$8&lt;=$G38+$H38-1),2,IF(AND($C38="Milestone",EI$8&gt;=$G38,EI$8&lt;=$G38+$H38-1),1,""))</f>
        <v/>
      </c>
      <c r="EJ38" s="69" t="str">
        <f ca="1">IF(AND($C38="Goal",EJ$8&gt;=$G38,EJ$8&lt;=$G38+$H38-1),2,IF(AND($C38="Milestone",EJ$8&gt;=$G38,EJ$8&lt;=$G38+$H38-1),1,""))</f>
        <v/>
      </c>
      <c r="EK38" s="69" t="str">
        <f ca="1">IF(AND($C38="Goal",EK$8&gt;=$G38,EK$8&lt;=$G38+$H38-1),2,IF(AND($C38="Milestone",EK$8&gt;=$G38,EK$8&lt;=$G38+$H38-1),1,""))</f>
        <v/>
      </c>
      <c r="EL38" s="69" t="str">
        <f ca="1">IF(AND($C38="Goal",EL$8&gt;=$G38,EL$8&lt;=$G38+$H38-1),2,IF(AND($C38="Milestone",EL$8&gt;=$G38,EL$8&lt;=$G38+$H38-1),1,""))</f>
        <v/>
      </c>
      <c r="EM38" s="69" t="str">
        <f ca="1">IF(AND($C38="Goal",EM$8&gt;=$G38,EM$8&lt;=$G38+$H38-1),2,IF(AND($C38="Milestone",EM$8&gt;=$G38,EM$8&lt;=$G38+$H38-1),1,""))</f>
        <v/>
      </c>
      <c r="EN38" s="69" t="str">
        <f ca="1">IF(AND($C38="Goal",EN$8&gt;=$G38,EN$8&lt;=$G38+$H38-1),2,IF(AND($C38="Milestone",EN$8&gt;=$G38,EN$8&lt;=$G38+$H38-1),1,""))</f>
        <v/>
      </c>
      <c r="EO38" s="69" t="str">
        <f ca="1">IF(AND($C38="Goal",EO$8&gt;=$G38,EO$8&lt;=$G38+$H38-1),2,IF(AND($C38="Milestone",EO$8&gt;=$G38,EO$8&lt;=$G38+$H38-1),1,""))</f>
        <v/>
      </c>
      <c r="EP38" s="69" t="str">
        <f ca="1">IF(AND($C38="Goal",EP$8&gt;=$G38,EP$8&lt;=$G38+$H38-1),2,IF(AND($C38="Milestone",EP$8&gt;=$G38,EP$8&lt;=$G38+$H38-1),1,""))</f>
        <v/>
      </c>
      <c r="EQ38" s="69" t="str">
        <f ca="1">IF(AND($C38="Goal",EQ$8&gt;=$G38,EQ$8&lt;=$G38+$H38-1),2,IF(AND($C38="Milestone",EQ$8&gt;=$G38,EQ$8&lt;=$G38+$H38-1),1,""))</f>
        <v/>
      </c>
      <c r="ER38" s="69" t="str">
        <f ca="1">IF(AND($C38="Goal",ER$8&gt;=$G38,ER$8&lt;=$G38+$H38-1),2,IF(AND($C38="Milestone",ER$8&gt;=$G38,ER$8&lt;=$G38+$H38-1),1,""))</f>
        <v/>
      </c>
      <c r="ES38" s="69" t="str">
        <f ca="1">IF(AND($C38="Goal",ES$8&gt;=$G38,ES$8&lt;=$G38+$H38-1),2,IF(AND($C38="Milestone",ES$8&gt;=$G38,ES$8&lt;=$G38+$H38-1),1,""))</f>
        <v/>
      </c>
      <c r="ET38" s="69" t="str">
        <f ca="1">IF(AND($C38="Goal",ET$8&gt;=$G38,ET$8&lt;=$G38+$H38-1),2,IF(AND($C38="Milestone",ET$8&gt;=$G38,ET$8&lt;=$G38+$H38-1),1,""))</f>
        <v/>
      </c>
      <c r="EU38" s="69" t="str">
        <f ca="1">IF(AND($C38="Goal",EU$8&gt;=$G38,EU$8&lt;=$G38+$H38-1),2,IF(AND($C38="Milestone",EU$8&gt;=$G38,EU$8&lt;=$G38+$H38-1),1,""))</f>
        <v/>
      </c>
      <c r="EV38" s="69" t="str">
        <f ca="1">IF(AND($C38="Goal",EV$8&gt;=$G38,EV$8&lt;=$G38+$H38-1),2,IF(AND($C38="Milestone",EV$8&gt;=$G38,EV$8&lt;=$G38+$H38-1),1,""))</f>
        <v/>
      </c>
      <c r="EW38" s="69" t="str">
        <f ca="1">IF(AND($C38="Goal",EW$8&gt;=$G38,EW$8&lt;=$G38+$H38-1),2,IF(AND($C38="Milestone",EW$8&gt;=$G38,EW$8&lt;=$G38+$H38-1),1,""))</f>
        <v/>
      </c>
      <c r="EX38" s="69" t="str">
        <f ca="1">IF(AND($C38="Goal",EX$8&gt;=$G38,EX$8&lt;=$G38+$H38-1),2,IF(AND($C38="Milestone",EX$8&gt;=$G38,EX$8&lt;=$G38+$H38-1),1,""))</f>
        <v/>
      </c>
      <c r="EY38" s="69" t="str">
        <f ca="1">IF(AND($C38="Goal",EY$8&gt;=$G38,EY$8&lt;=$G38+$H38-1),2,IF(AND($C38="Milestone",EY$8&gt;=$G38,EY$8&lt;=$G38+$H38-1),1,""))</f>
        <v/>
      </c>
      <c r="EZ38" s="69" t="str">
        <f ca="1">IF(AND($C38="Goal",EZ$8&gt;=$G38,EZ$8&lt;=$G38+$H38-1),2,IF(AND($C38="Milestone",EZ$8&gt;=$G38,EZ$8&lt;=$G38+$H38-1),1,""))</f>
        <v/>
      </c>
      <c r="FA38" s="69" t="str">
        <f ca="1">IF(AND($C38="Goal",FA$8&gt;=$G38,FA$8&lt;=$G38+$H38-1),2,IF(AND($C38="Milestone",FA$8&gt;=$G38,FA$8&lt;=$G38+$H38-1),1,""))</f>
        <v/>
      </c>
      <c r="FB38" s="69" t="str">
        <f ca="1">IF(AND($C38="Goal",FB$8&gt;=$G38,FB$8&lt;=$G38+$H38-1),2,IF(AND($C38="Milestone",FB$8&gt;=$G38,FB$8&lt;=$G38+$H38-1),1,""))</f>
        <v/>
      </c>
      <c r="FC38" s="69" t="str">
        <f ca="1">IF(AND($C38="Goal",FC$8&gt;=$G38,FC$8&lt;=$G38+$H38-1),2,IF(AND($C38="Milestone",FC$8&gt;=$G38,FC$8&lt;=$G38+$H38-1),1,""))</f>
        <v/>
      </c>
      <c r="FD38" s="69" t="str">
        <f ca="1">IF(AND($C38="Goal",FD$8&gt;=$G38,FD$8&lt;=$G38+$H38-1),2,IF(AND($C38="Milestone",FD$8&gt;=$G38,FD$8&lt;=$G38+$H38-1),1,""))</f>
        <v/>
      </c>
      <c r="FE38" s="69" t="str">
        <f ca="1">IF(AND($C38="Goal",FE$8&gt;=$G38,FE$8&lt;=$G38+$H38-1),2,IF(AND($C38="Milestone",FE$8&gt;=$G38,FE$8&lt;=$G38+$H38-1),1,""))</f>
        <v/>
      </c>
      <c r="FF38" s="69" t="str">
        <f ca="1">IF(AND($C38="Goal",FF$8&gt;=$G38,FF$8&lt;=$G38+$H38-1),2,IF(AND($C38="Milestone",FF$8&gt;=$G38,FF$8&lt;=$G38+$H38-1),1,""))</f>
        <v/>
      </c>
      <c r="FG38" s="69" t="str">
        <f ca="1">IF(AND($C38="Goal",FG$8&gt;=$G38,FG$8&lt;=$G38+$H38-1),2,IF(AND($C38="Milestone",FG$8&gt;=$G38,FG$8&lt;=$G38+$H38-1),1,""))</f>
        <v/>
      </c>
      <c r="FH38" s="69" t="str">
        <f ca="1">IF(AND($C38="Goal",FH$8&gt;=$G38,FH$8&lt;=$G38+$H38-1),2,IF(AND($C38="Milestone",FH$8&gt;=$G38,FH$8&lt;=$G38+$H38-1),1,""))</f>
        <v/>
      </c>
      <c r="FI38" s="69" t="str">
        <f ca="1">IF(AND($C38="Goal",FI$8&gt;=$G38,FI$8&lt;=$G38+$H38-1),2,IF(AND($C38="Milestone",FI$8&gt;=$G38,FI$8&lt;=$G38+$H38-1),1,""))</f>
        <v/>
      </c>
      <c r="FJ38" s="69" t="str">
        <f ca="1">IF(AND($C38="Goal",FJ$8&gt;=$G38,FJ$8&lt;=$G38+$H38-1),2,IF(AND($C38="Milestone",FJ$8&gt;=$G38,FJ$8&lt;=$G38+$H38-1),1,""))</f>
        <v/>
      </c>
      <c r="FK38" s="69" t="str">
        <f ca="1">IF(AND($C38="Goal",FK$8&gt;=$G38,FK$8&lt;=$G38+$H38-1),2,IF(AND($C38="Milestone",FK$8&gt;=$G38,FK$8&lt;=$G38+$H38-1),1,""))</f>
        <v/>
      </c>
      <c r="FL38" s="69" t="str">
        <f ca="1">IF(AND($C38="Goal",FL$8&gt;=$G38,FL$8&lt;=$G38+$H38-1),2,IF(AND($C38="Milestone",FL$8&gt;=$G38,FL$8&lt;=$G38+$H38-1),1,""))</f>
        <v/>
      </c>
      <c r="FM38" s="69" t="str">
        <f ca="1">IF(AND($C38="Goal",FM$8&gt;=$G38,FM$8&lt;=$G38+$H38-1),2,IF(AND($C38="Milestone",FM$8&gt;=$G38,FM$8&lt;=$G38+$H38-1),1,""))</f>
        <v/>
      </c>
      <c r="FN38" s="69" t="str">
        <f ca="1">IF(AND($C38="Goal",FN$8&gt;=$G38,FN$8&lt;=$G38+$H38-1),2,IF(AND($C38="Milestone",FN$8&gt;=$G38,FN$8&lt;=$G38+$H38-1),1,""))</f>
        <v/>
      </c>
      <c r="FO38" s="69" t="str">
        <f ca="1">IF(AND($C38="Goal",FO$8&gt;=$G38,FO$8&lt;=$G38+$H38-1),2,IF(AND($C38="Milestone",FO$8&gt;=$G38,FO$8&lt;=$G38+$H38-1),1,""))</f>
        <v/>
      </c>
      <c r="FP38" s="69" t="str">
        <f ca="1">IF(AND($C38="Goal",FP$8&gt;=$G38,FP$8&lt;=$G38+$H38-1),2,IF(AND($C38="Milestone",FP$8&gt;=$G38,FP$8&lt;=$G38+$H38-1),1,""))</f>
        <v/>
      </c>
      <c r="FQ38" s="69" t="str">
        <f ca="1">IF(AND($C38="Goal",FQ$8&gt;=$G38,FQ$8&lt;=$G38+$H38-1),2,IF(AND($C38="Milestone",FQ$8&gt;=$G38,FQ$8&lt;=$G38+$H38-1),1,""))</f>
        <v/>
      </c>
      <c r="FR38" s="69" t="str">
        <f ca="1">IF(AND($C38="Goal",FR$8&gt;=$G38,FR$8&lt;=$G38+$H38-1),2,IF(AND($C38="Milestone",FR$8&gt;=$G38,FR$8&lt;=$G38+$H38-1),1,""))</f>
        <v/>
      </c>
      <c r="FS38" s="69" t="str">
        <f ca="1">IF(AND($C38="Goal",FS$8&gt;=$G38,FS$8&lt;=$G38+$H38-1),2,IF(AND($C38="Milestone",FS$8&gt;=$G38,FS$8&lt;=$G38+$H38-1),1,""))</f>
        <v/>
      </c>
      <c r="FT38" s="69" t="str">
        <f ca="1">IF(AND($C38="Goal",FT$8&gt;=$G38,FT$8&lt;=$G38+$H38-1),2,IF(AND($C38="Milestone",FT$8&gt;=$G38,FT$8&lt;=$G38+$H38-1),1,""))</f>
        <v/>
      </c>
      <c r="FU38" s="69" t="str">
        <f ca="1">IF(AND($C38="Goal",FU$8&gt;=$G38,FU$8&lt;=$G38+$H38-1),2,IF(AND($C38="Milestone",FU$8&gt;=$G38,FU$8&lt;=$G38+$H38-1),1,""))</f>
        <v/>
      </c>
      <c r="FV38" s="69" t="str">
        <f ca="1">IF(AND($C38="Goal",FV$8&gt;=$G38,FV$8&lt;=$G38+$H38-1),2,IF(AND($C38="Milestone",FV$8&gt;=$G38,FV$8&lt;=$G38+$H38-1),1,""))</f>
        <v/>
      </c>
      <c r="FW38" s="69" t="str">
        <f ca="1">IF(AND($C38="Goal",FW$8&gt;=$G38,FW$8&lt;=$G38+$H38-1),2,IF(AND($C38="Milestone",FW$8&gt;=$G38,FW$8&lt;=$G38+$H38-1),1,""))</f>
        <v/>
      </c>
      <c r="FX38" s="69" t="str">
        <f ca="1">IF(AND($C38="Goal",FX$8&gt;=$G38,FX$8&lt;=$G38+$H38-1),2,IF(AND($C38="Milestone",FX$8&gt;=$G38,FX$8&lt;=$G38+$H38-1),1,""))</f>
        <v/>
      </c>
      <c r="FY38" s="69" t="str">
        <f ca="1">IF(AND($C38="Goal",FY$8&gt;=$G38,FY$8&lt;=$G38+$H38-1),2,IF(AND($C38="Milestone",FY$8&gt;=$G38,FY$8&lt;=$G38+$H38-1),1,""))</f>
        <v/>
      </c>
      <c r="FZ38" s="69" t="str">
        <f ca="1">IF(AND($C38="Goal",FZ$8&gt;=$G38,FZ$8&lt;=$G38+$H38-1),2,IF(AND($C38="Milestone",FZ$8&gt;=$G38,FZ$8&lt;=$G38+$H38-1),1,""))</f>
        <v/>
      </c>
      <c r="GA38" s="69" t="str">
        <f ca="1">IF(AND($C38="Goal",GA$8&gt;=$G38,GA$8&lt;=$G38+$H38-1),2,IF(AND($C38="Milestone",GA$8&gt;=$G38,GA$8&lt;=$G38+$H38-1),1,""))</f>
        <v/>
      </c>
      <c r="GB38" s="69" t="str">
        <f ca="1">IF(AND($C38="Goal",GB$8&gt;=$G38,GB$8&lt;=$G38+$H38-1),2,IF(AND($C38="Milestone",GB$8&gt;=$G38,GB$8&lt;=$G38+$H38-1),1,""))</f>
        <v/>
      </c>
      <c r="GC38" s="69" t="str">
        <f ca="1">IF(AND($C38="Goal",GC$8&gt;=$G38,GC$8&lt;=$G38+$H38-1),2,IF(AND($C38="Milestone",GC$8&gt;=$G38,GC$8&lt;=$G38+$H38-1),1,""))</f>
        <v/>
      </c>
      <c r="GD38" s="69" t="str">
        <f ca="1">IF(AND($C38="Goal",GD$8&gt;=$G38,GD$8&lt;=$G38+$H38-1),2,IF(AND($C38="Milestone",GD$8&gt;=$G38,GD$8&lt;=$G38+$H38-1),1,""))</f>
        <v/>
      </c>
      <c r="GE38" s="69" t="str">
        <f ca="1">IF(AND($C38="Goal",GE$8&gt;=$G38,GE$8&lt;=$G38+$H38-1),2,IF(AND($C38="Milestone",GE$8&gt;=$G38,GE$8&lt;=$G38+$H38-1),1,""))</f>
        <v/>
      </c>
      <c r="GF38" s="69" t="str">
        <f ca="1">IF(AND($C38="Goal",GF$8&gt;=$G38,GF$8&lt;=$G38+$H38-1),2,IF(AND($C38="Milestone",GF$8&gt;=$G38,GF$8&lt;=$G38+$H38-1),1,""))</f>
        <v/>
      </c>
      <c r="GG38" s="69" t="str">
        <f ca="1">IF(AND($C38="Goal",GG$8&gt;=$G38,GG$8&lt;=$G38+$H38-1),2,IF(AND($C38="Milestone",GG$8&gt;=$G38,GG$8&lt;=$G38+$H38-1),1,""))</f>
        <v/>
      </c>
      <c r="GH38" s="69" t="str">
        <f ca="1">IF(AND($C38="Goal",GH$8&gt;=$G38,GH$8&lt;=$G38+$H38-1),2,IF(AND($C38="Milestone",GH$8&gt;=$G38,GH$8&lt;=$G38+$H38-1),1,""))</f>
        <v/>
      </c>
      <c r="GI38" s="69" t="str">
        <f ca="1">IF(AND($C38="Goal",GI$8&gt;=$G38,GI$8&lt;=$G38+$H38-1),2,IF(AND($C38="Milestone",GI$8&gt;=$G38,GI$8&lt;=$G38+$H38-1),1,""))</f>
        <v/>
      </c>
      <c r="GJ38" s="69" t="str">
        <f ca="1">IF(AND($C38="Goal",GJ$8&gt;=$G38,GJ$8&lt;=$G38+$H38-1),2,IF(AND($C38="Milestone",GJ$8&gt;=$G38,GJ$8&lt;=$G38+$H38-1),1,""))</f>
        <v/>
      </c>
      <c r="GK38" s="69" t="str">
        <f ca="1">IF(AND($C38="Goal",GK$8&gt;=$G38,GK$8&lt;=$G38+$H38-1),2,IF(AND($C38="Milestone",GK$8&gt;=$G38,GK$8&lt;=$G38+$H38-1),1,""))</f>
        <v/>
      </c>
      <c r="GL38" s="69" t="str">
        <f ca="1">IF(AND($C38="Goal",GL$8&gt;=$G38,GL$8&lt;=$G38+$H38-1),2,IF(AND($C38="Milestone",GL$8&gt;=$G38,GL$8&lt;=$G38+$H38-1),1,""))</f>
        <v/>
      </c>
      <c r="GM38" s="69" t="str">
        <f ca="1">IF(AND($C38="Goal",GM$8&gt;=$G38,GM$8&lt;=$G38+$H38-1),2,IF(AND($C38="Milestone",GM$8&gt;=$G38,GM$8&lt;=$G38+$H38-1),1,""))</f>
        <v/>
      </c>
      <c r="GN38" s="69" t="str">
        <f ca="1">IF(AND($C38="Goal",GN$8&gt;=$G38,GN$8&lt;=$G38+$H38-1),2,IF(AND($C38="Milestone",GN$8&gt;=$G38,GN$8&lt;=$G38+$H38-1),1,""))</f>
        <v/>
      </c>
      <c r="GO38" s="69" t="str">
        <f ca="1">IF(AND($C38="Goal",GO$8&gt;=$G38,GO$8&lt;=$G38+$H38-1),2,IF(AND($C38="Milestone",GO$8&gt;=$G38,GO$8&lt;=$G38+$H38-1),1,""))</f>
        <v/>
      </c>
      <c r="GP38" s="69" t="str">
        <f ca="1">IF(AND($C38="Goal",GP$8&gt;=$G38,GP$8&lt;=$G38+$H38-1),2,IF(AND($C38="Milestone",GP$8&gt;=$G38,GP$8&lt;=$G38+$H38-1),1,""))</f>
        <v/>
      </c>
      <c r="GQ38" s="69" t="str">
        <f ca="1">IF(AND($C38="Goal",GQ$8&gt;=$G38,GQ$8&lt;=$G38+$H38-1),2,IF(AND($C38="Milestone",GQ$8&gt;=$G38,GQ$8&lt;=$G38+$H38-1),1,""))</f>
        <v/>
      </c>
      <c r="GR38" s="69" t="str">
        <f ca="1">IF(AND($C38="Goal",GR$8&gt;=$G38,GR$8&lt;=$G38+$H38-1),2,IF(AND($C38="Milestone",GR$8&gt;=$G38,GR$8&lt;=$G38+$H38-1),1,""))</f>
        <v/>
      </c>
      <c r="GS38" s="69" t="str">
        <f ca="1">IF(AND($C38="Goal",GS$8&gt;=$G38,GS$8&lt;=$G38+$H38-1),2,IF(AND($C38="Milestone",GS$8&gt;=$G38,GS$8&lt;=$G38+$H38-1),1,""))</f>
        <v/>
      </c>
      <c r="GT38" s="69" t="str">
        <f ca="1">IF(AND($C38="Goal",GT$8&gt;=$G38,GT$8&lt;=$G38+$H38-1),2,IF(AND($C38="Milestone",GT$8&gt;=$G38,GT$8&lt;=$G38+$H38-1),1,""))</f>
        <v/>
      </c>
      <c r="GU38" s="69" t="str">
        <f ca="1">IF(AND($C38="Goal",GU$8&gt;=$G38,GU$8&lt;=$G38+$H38-1),2,IF(AND($C38="Milestone",GU$8&gt;=$G38,GU$8&lt;=$G38+$H38-1),1,""))</f>
        <v/>
      </c>
      <c r="GV38" s="69" t="str">
        <f ca="1">IF(AND($C38="Goal",GV$8&gt;=$G38,GV$8&lt;=$G38+$H38-1),2,IF(AND($C38="Milestone",GV$8&gt;=$G38,GV$8&lt;=$G38+$H38-1),1,""))</f>
        <v/>
      </c>
      <c r="GW38" s="69" t="str">
        <f ca="1">IF(AND($C38="Goal",GW$8&gt;=$G38,GW$8&lt;=$G38+$H38-1),2,IF(AND($C38="Milestone",GW$8&gt;=$G38,GW$8&lt;=$G38+$H38-1),1,""))</f>
        <v/>
      </c>
      <c r="GX38" s="69" t="str">
        <f ca="1">IF(AND($C38="Goal",GX$8&gt;=$G38,GX$8&lt;=$G38+$H38-1),2,IF(AND($C38="Milestone",GX$8&gt;=$G38,GX$8&lt;=$G38+$H38-1),1,""))</f>
        <v/>
      </c>
      <c r="GY38" s="69" t="str">
        <f ca="1">IF(AND($C38="Goal",GY$8&gt;=$G38,GY$8&lt;=$G38+$H38-1),2,IF(AND($C38="Milestone",GY$8&gt;=$G38,GY$8&lt;=$G38+$H38-1),1,""))</f>
        <v/>
      </c>
      <c r="GZ38" s="69" t="str">
        <f ca="1">IF(AND($C38="Goal",GZ$8&gt;=$G38,GZ$8&lt;=$G38+$H38-1),2,IF(AND($C38="Milestone",GZ$8&gt;=$G38,GZ$8&lt;=$G38+$H38-1),1,""))</f>
        <v/>
      </c>
      <c r="HA38" s="69" t="str">
        <f ca="1">IF(AND($C38="Goal",HA$8&gt;=$G38,HA$8&lt;=$G38+$H38-1),2,IF(AND($C38="Milestone",HA$8&gt;=$G38,HA$8&lt;=$G38+$H38-1),1,""))</f>
        <v/>
      </c>
      <c r="HB38" s="69" t="str">
        <f ca="1">IF(AND($C38="Goal",HB$8&gt;=$G38,HB$8&lt;=$G38+$H38-1),2,IF(AND($C38="Milestone",HB$8&gt;=$G38,HB$8&lt;=$G38+$H38-1),1,""))</f>
        <v/>
      </c>
      <c r="HC38" s="69" t="str">
        <f ca="1">IF(AND($C38="Goal",HC$8&gt;=$G38,HC$8&lt;=$G38+$H38-1),2,IF(AND($C38="Milestone",HC$8&gt;=$G38,HC$8&lt;=$G38+$H38-1),1,""))</f>
        <v/>
      </c>
      <c r="HD38" s="69" t="str">
        <f ca="1">IF(AND($C38="Goal",HD$8&gt;=$G38,HD$8&lt;=$G38+$H38-1),2,IF(AND($C38="Milestone",HD$8&gt;=$G38,HD$8&lt;=$G38+$H38-1),1,""))</f>
        <v/>
      </c>
      <c r="HE38" s="69" t="str">
        <f ca="1">IF(AND($C38="Goal",HE$8&gt;=$G38,HE$8&lt;=$G38+$H38-1),2,IF(AND($C38="Milestone",HE$8&gt;=$G38,HE$8&lt;=$G38+$H38-1),1,""))</f>
        <v/>
      </c>
      <c r="HF38" s="69" t="str">
        <f ca="1">IF(AND($C38="Goal",HF$8&gt;=$G38,HF$8&lt;=$G38+$H38-1),2,IF(AND($C38="Milestone",HF$8&gt;=$G38,HF$8&lt;=$G38+$H38-1),1,""))</f>
        <v/>
      </c>
      <c r="HG38" s="69" t="str">
        <f ca="1">IF(AND($C38="Goal",HG$8&gt;=$G38,HG$8&lt;=$G38+$H38-1),2,IF(AND($C38="Milestone",HG$8&gt;=$G38,HG$8&lt;=$G38+$H38-1),1,""))</f>
        <v/>
      </c>
      <c r="HH38" s="69" t="str">
        <f ca="1">IF(AND($C38="Goal",HH$8&gt;=$G38,HH$8&lt;=$G38+$H38-1),2,IF(AND($C38="Milestone",HH$8&gt;=$G38,HH$8&lt;=$G38+$H38-1),1,""))</f>
        <v/>
      </c>
      <c r="HI38" s="69" t="str">
        <f ca="1">IF(AND($C38="Goal",HI$8&gt;=$G38,HI$8&lt;=$G38+$H38-1),2,IF(AND($C38="Milestone",HI$8&gt;=$G38,HI$8&lt;=$G38+$H38-1),1,""))</f>
        <v/>
      </c>
      <c r="HJ38" s="69" t="str">
        <f ca="1">IF(AND($C38="Goal",HJ$8&gt;=$G38,HJ$8&lt;=$G38+$H38-1),2,IF(AND($C38="Milestone",HJ$8&gt;=$G38,HJ$8&lt;=$G38+$H38-1),1,""))</f>
        <v/>
      </c>
      <c r="HK38" s="69" t="str">
        <f ca="1">IF(AND($C38="Goal",HK$8&gt;=$G38,HK$8&lt;=$G38+$H38-1),2,IF(AND($C38="Milestone",HK$8&gt;=$G38,HK$8&lt;=$G38+$H38-1),1,""))</f>
        <v/>
      </c>
      <c r="HL38" s="69" t="str">
        <f ca="1">IF(AND($C38="Goal",HL$8&gt;=$G38,HL$8&lt;=$G38+$H38-1),2,IF(AND($C38="Milestone",HL$8&gt;=$G38,HL$8&lt;=$G38+$H38-1),1,""))</f>
        <v/>
      </c>
      <c r="HM38" s="69" t="str">
        <f ca="1">IF(AND($C38="Goal",HM$8&gt;=$G38,HM$8&lt;=$G38+$H38-1),2,IF(AND($C38="Milestone",HM$8&gt;=$G38,HM$8&lt;=$G38+$H38-1),1,""))</f>
        <v/>
      </c>
      <c r="HN38" s="69" t="str">
        <f ca="1">IF(AND($C38="Goal",HN$8&gt;=$G38,HN$8&lt;=$G38+$H38-1),2,IF(AND($C38="Milestone",HN$8&gt;=$G38,HN$8&lt;=$G38+$H38-1),1,""))</f>
        <v/>
      </c>
      <c r="HO38" s="69" t="str">
        <f ca="1">IF(AND($C38="Goal",HO$8&gt;=$G38,HO$8&lt;=$G38+$H38-1),2,IF(AND($C38="Milestone",HO$8&gt;=$G38,HO$8&lt;=$G38+$H38-1),1,""))</f>
        <v/>
      </c>
      <c r="HP38" s="69" t="str">
        <f ca="1">IF(AND($C38="Goal",HP$8&gt;=$G38,HP$8&lt;=$G38+$H38-1),2,IF(AND($C38="Milestone",HP$8&gt;=$G38,HP$8&lt;=$G38+$H38-1),1,""))</f>
        <v/>
      </c>
      <c r="HQ38" s="69" t="str">
        <f ca="1">IF(AND($C38="Goal",HQ$8&gt;=$G38,HQ$8&lt;=$G38+$H38-1),2,IF(AND($C38="Milestone",HQ$8&gt;=$G38,HQ$8&lt;=$G38+$H38-1),1,""))</f>
        <v/>
      </c>
      <c r="HR38" s="69" t="str">
        <f ca="1">IF(AND($C38="Goal",HR$8&gt;=$G38,HR$8&lt;=$G38+$H38-1),2,IF(AND($C38="Milestone",HR$8&gt;=$G38,HR$8&lt;=$G38+$H38-1),1,""))</f>
        <v/>
      </c>
      <c r="HS38" s="69" t="str">
        <f ca="1">IF(AND($C38="Goal",HS$8&gt;=$G38,HS$8&lt;=$G38+$H38-1),2,IF(AND($C38="Milestone",HS$8&gt;=$G38,HS$8&lt;=$G38+$H38-1),1,""))</f>
        <v/>
      </c>
      <c r="HT38" s="69" t="str">
        <f ca="1">IF(AND($C38="Goal",HT$8&gt;=$G38,HT$8&lt;=$G38+$H38-1),2,IF(AND($C38="Milestone",HT$8&gt;=$G38,HT$8&lt;=$G38+$H38-1),1,""))</f>
        <v/>
      </c>
      <c r="HU38" s="69" t="str">
        <f ca="1">IF(AND($C38="Goal",HU$8&gt;=$G38,HU$8&lt;=$G38+$H38-1),2,IF(AND($C38="Milestone",HU$8&gt;=$G38,HU$8&lt;=$G38+$H38-1),1,""))</f>
        <v/>
      </c>
      <c r="HV38" s="69" t="str">
        <f ca="1">IF(AND($C38="Goal",HV$8&gt;=$G38,HV$8&lt;=$G38+$H38-1),2,IF(AND($C38="Milestone",HV$8&gt;=$G38,HV$8&lt;=$G38+$H38-1),1,""))</f>
        <v/>
      </c>
      <c r="HW38" s="69" t="str">
        <f ca="1">IF(AND($C38="Goal",HW$8&gt;=$G38,HW$8&lt;=$G38+$H38-1),2,IF(AND($C38="Milestone",HW$8&gt;=$G38,HW$8&lt;=$G38+$H38-1),1,""))</f>
        <v/>
      </c>
      <c r="HX38" s="69" t="str">
        <f ca="1">IF(AND($C38="Goal",HX$8&gt;=$G38,HX$8&lt;=$G38+$H38-1),2,IF(AND($C38="Milestone",HX$8&gt;=$G38,HX$8&lt;=$G38+$H38-1),1,""))</f>
        <v/>
      </c>
      <c r="HY38" s="69" t="str">
        <f ca="1">IF(AND($C38="Goal",HY$8&gt;=$G38,HY$8&lt;=$G38+$H38-1),2,IF(AND($C38="Milestone",HY$8&gt;=$G38,HY$8&lt;=$G38+$H38-1),1,""))</f>
        <v/>
      </c>
      <c r="HZ38" s="69" t="str">
        <f ca="1">IF(AND($C38="Goal",HZ$8&gt;=$G38,HZ$8&lt;=$G38+$H38-1),2,IF(AND($C38="Milestone",HZ$8&gt;=$G38,HZ$8&lt;=$G38+$H38-1),1,""))</f>
        <v/>
      </c>
      <c r="IA38" s="69" t="str">
        <f ca="1">IF(AND($C38="Goal",IA$8&gt;=$G38,IA$8&lt;=$G38+$H38-1),2,IF(AND($C38="Milestone",IA$8&gt;=$G38,IA$8&lt;=$G38+$H38-1),1,""))</f>
        <v/>
      </c>
      <c r="IB38" s="69" t="str">
        <f ca="1">IF(AND($C38="Goal",IB$8&gt;=$G38,IB$8&lt;=$G38+$H38-1),2,IF(AND($C38="Milestone",IB$8&gt;=$G38,IB$8&lt;=$G38+$H38-1),1,""))</f>
        <v/>
      </c>
      <c r="IC38" s="69" t="str">
        <f ca="1">IF(AND($C38="Goal",IC$8&gt;=$G38,IC$8&lt;=$G38+$H38-1),2,IF(AND($C38="Milestone",IC$8&gt;=$G38,IC$8&lt;=$G38+$H38-1),1,""))</f>
        <v/>
      </c>
      <c r="ID38" s="69" t="str">
        <f ca="1">IF(AND($C38="Goal",ID$8&gt;=$G38,ID$8&lt;=$G38+$H38-1),2,IF(AND($C38="Milestone",ID$8&gt;=$G38,ID$8&lt;=$G38+$H38-1),1,""))</f>
        <v/>
      </c>
      <c r="IE38" s="69" t="str">
        <f ca="1">IF(AND($C38="Goal",IE$8&gt;=$G38,IE$8&lt;=$G38+$H38-1),2,IF(AND($C38="Milestone",IE$8&gt;=$G38,IE$8&lt;=$G38+$H38-1),1,""))</f>
        <v/>
      </c>
      <c r="IF38" s="69" t="str">
        <f ca="1">IF(AND($C38="Goal",IF$8&gt;=$G38,IF$8&lt;=$G38+$H38-1),2,IF(AND($C38="Milestone",IF$8&gt;=$G38,IF$8&lt;=$G38+$H38-1),1,""))</f>
        <v/>
      </c>
      <c r="IG38" s="69" t="str">
        <f ca="1">IF(AND($C38="Goal",IG$8&gt;=$G38,IG$8&lt;=$G38+$H38-1),2,IF(AND($C38="Milestone",IG$8&gt;=$G38,IG$8&lt;=$G38+$H38-1),1,""))</f>
        <v/>
      </c>
      <c r="IH38" s="69" t="str">
        <f ca="1">IF(AND($C38="Goal",IH$8&gt;=$G38,IH$8&lt;=$G38+$H38-1),2,IF(AND($C38="Milestone",IH$8&gt;=$G38,IH$8&lt;=$G38+$H38-1),1,""))</f>
        <v/>
      </c>
      <c r="II38" s="69" t="str">
        <f ca="1">IF(AND($C38="Goal",II$8&gt;=$G38,II$8&lt;=$G38+$H38-1),2,IF(AND($C38="Milestone",II$8&gt;=$G38,II$8&lt;=$G38+$H38-1),1,""))</f>
        <v/>
      </c>
      <c r="IJ38" s="69" t="str">
        <f ca="1">IF(AND($C38="Goal",IJ$8&gt;=$G38,IJ$8&lt;=$G38+$H38-1),2,IF(AND($C38="Milestone",IJ$8&gt;=$G38,IJ$8&lt;=$G38+$H38-1),1,""))</f>
        <v/>
      </c>
      <c r="IK38" s="69" t="str">
        <f ca="1">IF(AND($C38="Goal",IK$8&gt;=$G38,IK$8&lt;=$G38+$H38-1),2,IF(AND($C38="Milestone",IK$8&gt;=$G38,IK$8&lt;=$G38+$H38-1),1,""))</f>
        <v/>
      </c>
      <c r="IL38" s="69" t="str">
        <f ca="1">IF(AND($C38="Goal",IL$8&gt;=$G38,IL$8&lt;=$G38+$H38-1),2,IF(AND($C38="Milestone",IL$8&gt;=$G38,IL$8&lt;=$G38+$H38-1),1,""))</f>
        <v/>
      </c>
      <c r="IM38" s="69" t="str">
        <f ca="1">IF(AND($C38="Goal",IM$8&gt;=$G38,IM$8&lt;=$G38+$H38-1),2,IF(AND($C38="Milestone",IM$8&gt;=$G38,IM$8&lt;=$G38+$H38-1),1,""))</f>
        <v/>
      </c>
      <c r="IN38" s="69" t="str">
        <f ca="1">IF(AND($C38="Goal",IN$8&gt;=$G38,IN$8&lt;=$G38+$H38-1),2,IF(AND($C38="Milestone",IN$8&gt;=$G38,IN$8&lt;=$G38+$H38-1),1,""))</f>
        <v/>
      </c>
      <c r="IO38" s="69" t="str">
        <f ca="1">IF(AND($C38="Goal",IO$8&gt;=$G38,IO$8&lt;=$G38+$H38-1),2,IF(AND($C38="Milestone",IO$8&gt;=$G38,IO$8&lt;=$G38+$H38-1),1,""))</f>
        <v/>
      </c>
      <c r="IP38" s="69" t="str">
        <f ca="1">IF(AND($C38="Goal",IP$8&gt;=$G38,IP$8&lt;=$G38+$H38-1),2,IF(AND($C38="Milestone",IP$8&gt;=$G38,IP$8&lt;=$G38+$H38-1),1,""))</f>
        <v/>
      </c>
      <c r="IQ38" s="69" t="str">
        <f ca="1">IF(AND($C38="Goal",IQ$8&gt;=$G38,IQ$8&lt;=$G38+$H38-1),2,IF(AND($C38="Milestone",IQ$8&gt;=$G38,IQ$8&lt;=$G38+$H38-1),1,""))</f>
        <v/>
      </c>
      <c r="IR38" s="69" t="str">
        <f ca="1">IF(AND($C38="Goal",IR$8&gt;=$G38,IR$8&lt;=$G38+$H38-1),2,IF(AND($C38="Milestone",IR$8&gt;=$G38,IR$8&lt;=$G38+$H38-1),1,""))</f>
        <v/>
      </c>
      <c r="IS38" s="69" t="str">
        <f ca="1">IF(AND($C38="Goal",IS$8&gt;=$G38,IS$8&lt;=$G38+$H38-1),2,IF(AND($C38="Milestone",IS$8&gt;=$G38,IS$8&lt;=$G38+$H38-1),1,""))</f>
        <v/>
      </c>
      <c r="IT38" s="69" t="str">
        <f ca="1">IF(AND($C38="Goal",IT$8&gt;=$G38,IT$8&lt;=$G38+$H38-1),2,IF(AND($C38="Milestone",IT$8&gt;=$G38,IT$8&lt;=$G38+$H38-1),1,""))</f>
        <v/>
      </c>
      <c r="IU38" s="69" t="str">
        <f ca="1">IF(AND($C38="Goal",IU$8&gt;=$G38,IU$8&lt;=$G38+$H38-1),2,IF(AND($C38="Milestone",IU$8&gt;=$G38,IU$8&lt;=$G38+$H38-1),1,""))</f>
        <v/>
      </c>
      <c r="IV38" s="69" t="str">
        <f ca="1">IF(AND($C38="Goal",IV$8&gt;=$G38,IV$8&lt;=$G38+$H38-1),2,IF(AND($C38="Milestone",IV$8&gt;=$G38,IV$8&lt;=$G38+$H38-1),1,""))</f>
        <v/>
      </c>
      <c r="IW38" s="69" t="str">
        <f ca="1">IF(AND($C38="Goal",IW$8&gt;=$G38,IW$8&lt;=$G38+$H38-1),2,IF(AND($C38="Milestone",IW$8&gt;=$G38,IW$8&lt;=$G38+$H38-1),1,""))</f>
        <v/>
      </c>
      <c r="IX38" s="69" t="str">
        <f ca="1">IF(AND($C38="Goal",IX$8&gt;=$G38,IX$8&lt;=$G38+$H38-1),2,IF(AND($C38="Milestone",IX$8&gt;=$G38,IX$8&lt;=$G38+$H38-1),1,""))</f>
        <v/>
      </c>
      <c r="IY38" s="69" t="str">
        <f ca="1">IF(AND($C38="Goal",IY$8&gt;=$G38,IY$8&lt;=$G38+$H38-1),2,IF(AND($C38="Milestone",IY$8&gt;=$G38,IY$8&lt;=$G38+$H38-1),1,""))</f>
        <v/>
      </c>
      <c r="IZ38" s="69" t="str">
        <f ca="1">IF(AND($C38="Goal",IZ$8&gt;=$G38,IZ$8&lt;=$G38+$H38-1),2,IF(AND($C38="Milestone",IZ$8&gt;=$G38,IZ$8&lt;=$G38+$H38-1),1,""))</f>
        <v/>
      </c>
      <c r="JA38" s="69" t="str">
        <f ca="1">IF(AND($C38="Goal",JA$8&gt;=$G38,JA$8&lt;=$G38+$H38-1),2,IF(AND($C38="Milestone",JA$8&gt;=$G38,JA$8&lt;=$G38+$H38-1),1,""))</f>
        <v/>
      </c>
      <c r="JB38" s="69" t="str">
        <f ca="1">IF(AND($C38="Goal",JB$8&gt;=$G38,JB$8&lt;=$G38+$H38-1),2,IF(AND($C38="Milestone",JB$8&gt;=$G38,JB$8&lt;=$G38+$H38-1),1,""))</f>
        <v/>
      </c>
      <c r="JC38" s="69" t="str">
        <f ca="1">IF(AND($C38="Goal",JC$8&gt;=$G38,JC$8&lt;=$G38+$H38-1),2,IF(AND($C38="Milestone",JC$8&gt;=$G38,JC$8&lt;=$G38+$H38-1),1,""))</f>
        <v/>
      </c>
      <c r="JD38" s="69" t="str">
        <f ca="1">IF(AND($C38="Goal",JD$8&gt;=$G38,JD$8&lt;=$G38+$H38-1),2,IF(AND($C38="Milestone",JD$8&gt;=$G38,JD$8&lt;=$G38+$H38-1),1,""))</f>
        <v/>
      </c>
      <c r="JE38" s="69" t="str">
        <f ca="1">IF(AND($C38="Goal",JE$8&gt;=$G38,JE$8&lt;=$G38+$H38-1),2,IF(AND($C38="Milestone",JE$8&gt;=$G38,JE$8&lt;=$G38+$H38-1),1,""))</f>
        <v/>
      </c>
      <c r="JF38" s="69" t="str">
        <f ca="1">IF(AND($C38="Goal",JF$8&gt;=$G38,JF$8&lt;=$G38+$H38-1),2,IF(AND($C38="Milestone",JF$8&gt;=$G38,JF$8&lt;=$G38+$H38-1),1,""))</f>
        <v/>
      </c>
      <c r="JG38" s="69" t="str">
        <f ca="1">IF(AND($C38="Goal",JG$8&gt;=$G38,JG$8&lt;=$G38+$H38-1),2,IF(AND($C38="Milestone",JG$8&gt;=$G38,JG$8&lt;=$G38+$H38-1),1,""))</f>
        <v/>
      </c>
      <c r="JH38" s="69" t="str">
        <f ca="1">IF(AND($C38="Goal",JH$8&gt;=$G38,JH$8&lt;=$G38+$H38-1),2,IF(AND($C38="Milestone",JH$8&gt;=$G38,JH$8&lt;=$G38+$H38-1),1,""))</f>
        <v/>
      </c>
      <c r="JI38" s="69" t="str">
        <f ca="1">IF(AND($C38="Goal",JI$8&gt;=$G38,JI$8&lt;=$G38+$H38-1),2,IF(AND($C38="Milestone",JI$8&gt;=$G38,JI$8&lt;=$G38+$H38-1),1,""))</f>
        <v/>
      </c>
      <c r="JJ38" s="69" t="str">
        <f ca="1">IF(AND($C38="Goal",JJ$8&gt;=$G38,JJ$8&lt;=$G38+$H38-1),2,IF(AND($C38="Milestone",JJ$8&gt;=$G38,JJ$8&lt;=$G38+$H38-1),1,""))</f>
        <v/>
      </c>
      <c r="JK38" s="69" t="str">
        <f ca="1">IF(AND($C38="Goal",JK$8&gt;=$G38,JK$8&lt;=$G38+$H38-1),2,IF(AND($C38="Milestone",JK$8&gt;=$G38,JK$8&lt;=$G38+$H38-1),1,""))</f>
        <v/>
      </c>
      <c r="JL38" s="69" t="str">
        <f ca="1">IF(AND($C38="Goal",JL$8&gt;=$G38,JL$8&lt;=$G38+$H38-1),2,IF(AND($C38="Milestone",JL$8&gt;=$G38,JL$8&lt;=$G38+$H38-1),1,""))</f>
        <v/>
      </c>
      <c r="JM38" s="69" t="str">
        <f ca="1">IF(AND($C38="Goal",JM$8&gt;=$G38,JM$8&lt;=$G38+$H38-1),2,IF(AND($C38="Milestone",JM$8&gt;=$G38,JM$8&lt;=$G38+$H38-1),1,""))</f>
        <v/>
      </c>
      <c r="JN38" s="69" t="str">
        <f ca="1">IF(AND($C38="Goal",JN$8&gt;=$G38,JN$8&lt;=$G38+$H38-1),2,IF(AND($C38="Milestone",JN$8&gt;=$G38,JN$8&lt;=$G38+$H38-1),1,""))</f>
        <v/>
      </c>
      <c r="JO38" s="69" t="str">
        <f ca="1">IF(AND($C38="Goal",JO$8&gt;=$G38,JO$8&lt;=$G38+$H38-1),2,IF(AND($C38="Milestone",JO$8&gt;=$G38,JO$8&lt;=$G38+$H38-1),1,""))</f>
        <v/>
      </c>
      <c r="JP38" s="69" t="str">
        <f ca="1">IF(AND($C38="Goal",JP$8&gt;=$G38,JP$8&lt;=$G38+$H38-1),2,IF(AND($C38="Milestone",JP$8&gt;=$G38,JP$8&lt;=$G38+$H38-1),1,""))</f>
        <v/>
      </c>
      <c r="JQ38" s="69" t="str">
        <f ca="1">IF(AND($C38="Goal",JQ$8&gt;=$G38,JQ$8&lt;=$G38+$H38-1),2,IF(AND($C38="Milestone",JQ$8&gt;=$G38,JQ$8&lt;=$G38+$H38-1),1,""))</f>
        <v/>
      </c>
      <c r="JR38" s="69" t="str">
        <f ca="1">IF(AND($C38="Goal",JR$8&gt;=$G38,JR$8&lt;=$G38+$H38-1),2,IF(AND($C38="Milestone",JR$8&gt;=$G38,JR$8&lt;=$G38+$H38-1),1,""))</f>
        <v/>
      </c>
      <c r="JS38" s="69" t="str">
        <f ca="1">IF(AND($C38="Goal",JS$8&gt;=$G38,JS$8&lt;=$G38+$H38-1),2,IF(AND($C38="Milestone",JS$8&gt;=$G38,JS$8&lt;=$G38+$H38-1),1,""))</f>
        <v/>
      </c>
      <c r="JT38" s="69" t="str">
        <f ca="1">IF(AND($C38="Goal",JT$8&gt;=$G38,JT$8&lt;=$G38+$H38-1),2,IF(AND($C38="Milestone",JT$8&gt;=$G38,JT$8&lt;=$G38+$H38-1),1,""))</f>
        <v/>
      </c>
      <c r="JU38" s="69" t="str">
        <f ca="1">IF(AND($C38="Goal",JU$8&gt;=$G38,JU$8&lt;=$G38+$H38-1),2,IF(AND($C38="Milestone",JU$8&gt;=$G38,JU$8&lt;=$G38+$H38-1),1,""))</f>
        <v/>
      </c>
      <c r="JV38" s="69" t="str">
        <f ca="1">IF(AND($C38="Goal",JV$8&gt;=$G38,JV$8&lt;=$G38+$H38-1),2,IF(AND($C38="Milestone",JV$8&gt;=$G38,JV$8&lt;=$G38+$H38-1),1,""))</f>
        <v/>
      </c>
      <c r="JW38" s="69" t="str">
        <f ca="1">IF(AND($C38="Goal",JW$8&gt;=$G38,JW$8&lt;=$G38+$H38-1),2,IF(AND($C38="Milestone",JW$8&gt;=$G38,JW$8&lt;=$G38+$H38-1),1,""))</f>
        <v/>
      </c>
      <c r="JX38" s="69" t="str">
        <f ca="1">IF(AND($C38="Goal",JX$8&gt;=$G38,JX$8&lt;=$G38+$H38-1),2,IF(AND($C38="Milestone",JX$8&gt;=$G38,JX$8&lt;=$G38+$H38-1),1,""))</f>
        <v/>
      </c>
      <c r="JY38" s="69" t="str">
        <f ca="1">IF(AND($C38="Goal",JY$8&gt;=$G38,JY$8&lt;=$G38+$H38-1),2,IF(AND($C38="Milestone",JY$8&gt;=$G38,JY$8&lt;=$G38+$H38-1),1,""))</f>
        <v/>
      </c>
      <c r="JZ38" s="69" t="str">
        <f ca="1">IF(AND($C38="Goal",JZ$8&gt;=$G38,JZ$8&lt;=$G38+$H38-1),2,IF(AND($C38="Milestone",JZ$8&gt;=$G38,JZ$8&lt;=$G38+$H38-1),1,""))</f>
        <v/>
      </c>
      <c r="KA38" s="69" t="str">
        <f ca="1">IF(AND($C38="Goal",KA$8&gt;=$G38,KA$8&lt;=$G38+$H38-1),2,IF(AND($C38="Milestone",KA$8&gt;=$G38,KA$8&lt;=$G38+$H38-1),1,""))</f>
        <v/>
      </c>
      <c r="KB38" s="69" t="str">
        <f ca="1">IF(AND($C38="Goal",KB$8&gt;=$G38,KB$8&lt;=$G38+$H38-1),2,IF(AND($C38="Milestone",KB$8&gt;=$G38,KB$8&lt;=$G38+$H38-1),1,""))</f>
        <v/>
      </c>
      <c r="KC38" s="69" t="str">
        <f ca="1">IF(AND($C38="Goal",KC$8&gt;=$G38,KC$8&lt;=$G38+$H38-1),2,IF(AND($C38="Milestone",KC$8&gt;=$G38,KC$8&lt;=$G38+$H38-1),1,""))</f>
        <v/>
      </c>
      <c r="KD38" s="69" t="str">
        <f ca="1">IF(AND($C38="Goal",KD$8&gt;=$G38,KD$8&lt;=$G38+$H38-1),2,IF(AND($C38="Milestone",KD$8&gt;=$G38,KD$8&lt;=$G38+$H38-1),1,""))</f>
        <v/>
      </c>
      <c r="KE38" s="69" t="str">
        <f ca="1">IF(AND($C38="Goal",KE$8&gt;=$G38,KE$8&lt;=$G38+$H38-1),2,IF(AND($C38="Milestone",KE$8&gt;=$G38,KE$8&lt;=$G38+$H38-1),1,""))</f>
        <v/>
      </c>
      <c r="KF38" s="69" t="str">
        <f ca="1">IF(AND($C38="Goal",KF$8&gt;=$G38,KF$8&lt;=$G38+$H38-1),2,IF(AND($C38="Milestone",KF$8&gt;=$G38,KF$8&lt;=$G38+$H38-1),1,""))</f>
        <v/>
      </c>
      <c r="KG38" s="69" t="str">
        <f ca="1">IF(AND($C38="Goal",KG$8&gt;=$G38,KG$8&lt;=$G38+$H38-1),2,IF(AND($C38="Milestone",KG$8&gt;=$G38,KG$8&lt;=$G38+$H38-1),1,""))</f>
        <v/>
      </c>
      <c r="KH38" s="69" t="str">
        <f ca="1">IF(AND($C38="Goal",KH$8&gt;=$G38,KH$8&lt;=$G38+$H38-1),2,IF(AND($C38="Milestone",KH$8&gt;=$G38,KH$8&lt;=$G38+$H38-1),1,""))</f>
        <v/>
      </c>
      <c r="KI38" s="69" t="str">
        <f ca="1">IF(AND($C38="Goal",KI$8&gt;=$G38,KI$8&lt;=$G38+$H38-1),2,IF(AND($C38="Milestone",KI$8&gt;=$G38,KI$8&lt;=$G38+$H38-1),1,""))</f>
        <v/>
      </c>
      <c r="KJ38" s="69" t="str">
        <f ca="1">IF(AND($C38="Goal",KJ$8&gt;=$G38,KJ$8&lt;=$G38+$H38-1),2,IF(AND($C38="Milestone",KJ$8&gt;=$G38,KJ$8&lt;=$G38+$H38-1),1,""))</f>
        <v/>
      </c>
      <c r="KK38" s="69" t="str">
        <f ca="1">IF(AND($C38="Goal",KK$8&gt;=$G38,KK$8&lt;=$G38+$H38-1),2,IF(AND($C38="Milestone",KK$8&gt;=$G38,KK$8&lt;=$G38+$H38-1),1,""))</f>
        <v/>
      </c>
      <c r="KL38" s="69" t="str">
        <f ca="1">IF(AND($C38="Goal",KL$8&gt;=$G38,KL$8&lt;=$G38+$H38-1),2,IF(AND($C38="Milestone",KL$8&gt;=$G38,KL$8&lt;=$G38+$H38-1),1,""))</f>
        <v/>
      </c>
      <c r="KM38" s="69" t="str">
        <f ca="1">IF(AND($C38="Goal",KM$8&gt;=$G38,KM$8&lt;=$G38+$H38-1),2,IF(AND($C38="Milestone",KM$8&gt;=$G38,KM$8&lt;=$G38+$H38-1),1,""))</f>
        <v/>
      </c>
      <c r="KN38" s="69" t="str">
        <f ca="1">IF(AND($C38="Goal",KN$8&gt;=$G38,KN$8&lt;=$G38+$H38-1),2,IF(AND($C38="Milestone",KN$8&gt;=$G38,KN$8&lt;=$G38+$H38-1),1,""))</f>
        <v/>
      </c>
      <c r="KO38" s="69" t="str">
        <f ca="1">IF(AND($C38="Goal",KO$8&gt;=$G38,KO$8&lt;=$G38+$H38-1),2,IF(AND($C38="Milestone",KO$8&gt;=$G38,KO$8&lt;=$G38+$H38-1),1,""))</f>
        <v/>
      </c>
      <c r="KP38" s="69" t="str">
        <f ca="1">IF(AND($C38="Goal",KP$8&gt;=$G38,KP$8&lt;=$G38+$H38-1),2,IF(AND($C38="Milestone",KP$8&gt;=$G38,KP$8&lt;=$G38+$H38-1),1,""))</f>
        <v/>
      </c>
      <c r="KQ38" s="69" t="str">
        <f ca="1">IF(AND($C38="Goal",KQ$8&gt;=$G38,KQ$8&lt;=$G38+$H38-1),2,IF(AND($C38="Milestone",KQ$8&gt;=$G38,KQ$8&lt;=$G38+$H38-1),1,""))</f>
        <v/>
      </c>
      <c r="KR38" s="69" t="str">
        <f ca="1">IF(AND($C38="Goal",KR$8&gt;=$G38,KR$8&lt;=$G38+$H38-1),2,IF(AND($C38="Milestone",KR$8&gt;=$G38,KR$8&lt;=$G38+$H38-1),1,""))</f>
        <v/>
      </c>
      <c r="KS38" s="69" t="str">
        <f ca="1">IF(AND($C38="Goal",KS$8&gt;=$G38,KS$8&lt;=$G38+$H38-1),2,IF(AND($C38="Milestone",KS$8&gt;=$G38,KS$8&lt;=$G38+$H38-1),1,""))</f>
        <v/>
      </c>
      <c r="KT38" s="69" t="str">
        <f ca="1">IF(AND($C38="Goal",KT$8&gt;=$G38,KT$8&lt;=$G38+$H38-1),2,IF(AND($C38="Milestone",KT$8&gt;=$G38,KT$8&lt;=$G38+$H38-1),1,""))</f>
        <v/>
      </c>
      <c r="KU38" s="69" t="str">
        <f ca="1">IF(AND($C38="Goal",KU$8&gt;=$G38,KU$8&lt;=$G38+$H38-1),2,IF(AND($C38="Milestone",KU$8&gt;=$G38,KU$8&lt;=$G38+$H38-1),1,""))</f>
        <v/>
      </c>
      <c r="KV38" s="69" t="str">
        <f ca="1">IF(AND($C38="Goal",KV$8&gt;=$G38,KV$8&lt;=$G38+$H38-1),2,IF(AND($C38="Milestone",KV$8&gt;=$G38,KV$8&lt;=$G38+$H38-1),1,""))</f>
        <v/>
      </c>
      <c r="KW38" s="69" t="str">
        <f ca="1">IF(AND($C38="Goal",KW$8&gt;=$G38,KW$8&lt;=$G38+$H38-1),2,IF(AND($C38="Milestone",KW$8&gt;=$G38,KW$8&lt;=$G38+$H38-1),1,""))</f>
        <v/>
      </c>
      <c r="KX38" s="69" t="str">
        <f ca="1">IF(AND($C38="Goal",KX$8&gt;=$G38,KX$8&lt;=$G38+$H38-1),2,IF(AND($C38="Milestone",KX$8&gt;=$G38,KX$8&lt;=$G38+$H38-1),1,""))</f>
        <v/>
      </c>
      <c r="KY38" s="69" t="str">
        <f ca="1">IF(AND($C38="Goal",KY$8&gt;=$G38,KY$8&lt;=$G38+$H38-1),2,IF(AND($C38="Milestone",KY$8&gt;=$G38,KY$8&lt;=$G38+$H38-1),1,""))</f>
        <v/>
      </c>
      <c r="KZ38" s="69" t="str">
        <f ca="1">IF(AND($C38="Goal",KZ$8&gt;=$G38,KZ$8&lt;=$G38+$H38-1),2,IF(AND($C38="Milestone",KZ$8&gt;=$G38,KZ$8&lt;=$G38+$H38-1),1,""))</f>
        <v/>
      </c>
      <c r="LA38" s="69" t="str">
        <f ca="1">IF(AND($C38="Goal",LA$8&gt;=$G38,LA$8&lt;=$G38+$H38-1),2,IF(AND($C38="Milestone",LA$8&gt;=$G38,LA$8&lt;=$G38+$H38-1),1,""))</f>
        <v/>
      </c>
      <c r="LB38" s="69" t="str">
        <f ca="1">IF(AND($C38="Goal",LB$8&gt;=$G38,LB$8&lt;=$G38+$H38-1),2,IF(AND($C38="Milestone",LB$8&gt;=$G38,LB$8&lt;=$G38+$H38-1),1,""))</f>
        <v/>
      </c>
      <c r="LC38" s="69" t="str">
        <f ca="1">IF(AND($C38="Goal",LC$8&gt;=$G38,LC$8&lt;=$G38+$H38-1),2,IF(AND($C38="Milestone",LC$8&gt;=$G38,LC$8&lt;=$G38+$H38-1),1,""))</f>
        <v/>
      </c>
      <c r="LD38" s="69" t="str">
        <f ca="1">IF(AND($C38="Goal",LD$8&gt;=$G38,LD$8&lt;=$G38+$H38-1),2,IF(AND($C38="Milestone",LD$8&gt;=$G38,LD$8&lt;=$G38+$H38-1),1,""))</f>
        <v/>
      </c>
      <c r="LE38" s="69" t="str">
        <f ca="1">IF(AND($C38="Goal",LE$8&gt;=$G38,LE$8&lt;=$G38+$H38-1),2,IF(AND($C38="Milestone",LE$8&gt;=$G38,LE$8&lt;=$G38+$H38-1),1,""))</f>
        <v/>
      </c>
      <c r="LF38" s="69" t="str">
        <f ca="1">IF(AND($C38="Goal",LF$8&gt;=$G38,LF$8&lt;=$G38+$H38-1),2,IF(AND($C38="Milestone",LF$8&gt;=$G38,LF$8&lt;=$G38+$H38-1),1,""))</f>
        <v/>
      </c>
      <c r="LG38" s="69" t="str">
        <f ca="1">IF(AND($C38="Goal",LG$8&gt;=$G38,LG$8&lt;=$G38+$H38-1),2,IF(AND($C38="Milestone",LG$8&gt;=$G38,LG$8&lt;=$G38+$H38-1),1,""))</f>
        <v/>
      </c>
      <c r="LH38" s="69" t="str">
        <f ca="1">IF(AND($C38="Goal",LH$8&gt;=$G38,LH$8&lt;=$G38+$H38-1),2,IF(AND($C38="Milestone",LH$8&gt;=$G38,LH$8&lt;=$G38+$H38-1),1,""))</f>
        <v/>
      </c>
      <c r="LI38" s="69" t="str">
        <f ca="1">IF(AND($C38="Goal",LI$8&gt;=$G38,LI$8&lt;=$G38+$H38-1),2,IF(AND($C38="Milestone",LI$8&gt;=$G38,LI$8&lt;=$G38+$H38-1),1,""))</f>
        <v/>
      </c>
      <c r="LJ38" s="69" t="str">
        <f ca="1">IF(AND($C38="Goal",LJ$8&gt;=$G38,LJ$8&lt;=$G38+$H38-1),2,IF(AND($C38="Milestone",LJ$8&gt;=$G38,LJ$8&lt;=$G38+$H38-1),1,""))</f>
        <v/>
      </c>
      <c r="LK38" s="69" t="str">
        <f ca="1">IF(AND($C38="Goal",LK$8&gt;=$G38,LK$8&lt;=$G38+$H38-1),2,IF(AND($C38="Milestone",LK$8&gt;=$G38,LK$8&lt;=$G38+$H38-1),1,""))</f>
        <v/>
      </c>
      <c r="LL38" s="69" t="str">
        <f ca="1">IF(AND($C38="Goal",LL$8&gt;=$G38,LL$8&lt;=$G38+$H38-1),2,IF(AND($C38="Milestone",LL$8&gt;=$G38,LL$8&lt;=$G38+$H38-1),1,""))</f>
        <v/>
      </c>
      <c r="LM38" s="69" t="str">
        <f ca="1">IF(AND($C38="Goal",LM$8&gt;=$G38,LM$8&lt;=$G38+$H38-1),2,IF(AND($C38="Milestone",LM$8&gt;=$G38,LM$8&lt;=$G38+$H38-1),1,""))</f>
        <v/>
      </c>
      <c r="LN38" s="69" t="str">
        <f ca="1">IF(AND($C38="Goal",LN$8&gt;=$G38,LN$8&lt;=$G38+$H38-1),2,IF(AND($C38="Milestone",LN$8&gt;=$G38,LN$8&lt;=$G38+$H38-1),1,""))</f>
        <v/>
      </c>
      <c r="LO38" s="69" t="str">
        <f ca="1">IF(AND($C38="Goal",LO$8&gt;=$G38,LO$8&lt;=$G38+$H38-1),2,IF(AND($C38="Milestone",LO$8&gt;=$G38,LO$8&lt;=$G38+$H38-1),1,""))</f>
        <v/>
      </c>
      <c r="LP38" s="69" t="str">
        <f ca="1">IF(AND($C38="Goal",LP$8&gt;=$G38,LP$8&lt;=$G38+$H38-1),2,IF(AND($C38="Milestone",LP$8&gt;=$G38,LP$8&lt;=$G38+$H38-1),1,""))</f>
        <v/>
      </c>
      <c r="LQ38" s="69" t="str">
        <f ca="1">IF(AND($C38="Goal",LQ$8&gt;=$G38,LQ$8&lt;=$G38+$H38-1),2,IF(AND($C38="Milestone",LQ$8&gt;=$G38,LQ$8&lt;=$G38+$H38-1),1,""))</f>
        <v/>
      </c>
      <c r="LR38" s="69" t="str">
        <f ca="1">IF(AND($C38="Goal",LR$8&gt;=$G38,LR$8&lt;=$G38+$H38-1),2,IF(AND($C38="Milestone",LR$8&gt;=$G38,LR$8&lt;=$G38+$H38-1),1,""))</f>
        <v/>
      </c>
      <c r="LS38" s="69" t="str">
        <f ca="1">IF(AND($C38="Goal",LS$8&gt;=$G38,LS$8&lt;=$G38+$H38-1),2,IF(AND($C38="Milestone",LS$8&gt;=$G38,LS$8&lt;=$G38+$H38-1),1,""))</f>
        <v/>
      </c>
      <c r="LT38" s="69" t="str">
        <f ca="1">IF(AND($C38="Goal",LT$8&gt;=$G38,LT$8&lt;=$G38+$H38-1),2,IF(AND($C38="Milestone",LT$8&gt;=$G38,LT$8&lt;=$G38+$H38-1),1,""))</f>
        <v/>
      </c>
      <c r="LU38" s="69" t="str">
        <f ca="1">IF(AND($C38="Goal",LU$8&gt;=$G38,LU$8&lt;=$G38+$H38-1),2,IF(AND($C38="Milestone",LU$8&gt;=$G38,LU$8&lt;=$G38+$H38-1),1,""))</f>
        <v/>
      </c>
      <c r="LV38" s="69" t="str">
        <f ca="1">IF(AND($C38="Goal",LV$8&gt;=$G38,LV$8&lt;=$G38+$H38-1),2,IF(AND($C38="Milestone",LV$8&gt;=$G38,LV$8&lt;=$G38+$H38-1),1,""))</f>
        <v/>
      </c>
      <c r="LW38" s="69" t="str">
        <f ca="1">IF(AND($C38="Goal",LW$8&gt;=$G38,LW$8&lt;=$G38+$H38-1),2,IF(AND($C38="Milestone",LW$8&gt;=$G38,LW$8&lt;=$G38+$H38-1),1,""))</f>
        <v/>
      </c>
      <c r="LX38" s="69" t="str">
        <f ca="1">IF(AND($C38="Goal",LX$8&gt;=$G38,LX$8&lt;=$G38+$H38-1),2,IF(AND($C38="Milestone",LX$8&gt;=$G38,LX$8&lt;=$G38+$H38-1),1,""))</f>
        <v/>
      </c>
    </row>
    <row r="39" spans="1:336" s="1" customFormat="1" ht="25.25" customHeight="1" x14ac:dyDescent="0.25">
      <c r="A39" s="6"/>
      <c r="B39" s="75" t="s">
        <v>40</v>
      </c>
      <c r="C39" s="53"/>
      <c r="D39" s="53" t="str">
        <f ca="1">IF(G39="","",
IF(G39+Milestones4352[[#This Row],[Days]]="","",
IF(OR(F39=1,F39=100%),"Complete",
CHOOSE(
  1
  + --(((1-IF(F39&gt;1,F39/100,F39))*POWER(2.718281828,(60-MAX(0,G39+Milestones4352[[#This Row],[Days]]-TODAY()))/12))&gt;=0.6)
  + --(((1-IF(F39&gt;1,F39/100,F39))*POWER(2.718281828,(60-MAX(0,G39+Milestones4352[[#This Row],[Days]]-TODAY()))/12))&gt;=1.2)
  + --(((1-IF(F39&gt;1,F39/100,F39))*POWER(2.718281828,(60-MAX(0,G39+Milestones4352[[#This Row],[Days]]-TODAY()))/12))&gt;=2),
  "On track","Low risk","Medium risk","High risk"
))))</f>
        <v/>
      </c>
      <c r="E39" s="53"/>
      <c r="F39" s="10"/>
      <c r="G39" s="20"/>
      <c r="H39" s="12"/>
      <c r="I39" s="12" t="str">
        <f t="shared" si="207"/>
        <v/>
      </c>
      <c r="J39" s="12" t="str">
        <f ca="1">IF(OR(Milestones4352[[#This Row],[Start]]="",Milestones4352[[#This Row],[Days]]=""),"",(Milestones4352[[#This Row],[Start]]+Milestones4352[[#This Row],[Days]])-TODAY())</f>
        <v/>
      </c>
      <c r="K39" s="9"/>
      <c r="L39" s="69" t="str">
        <f ca="1">IF(AND($C39="Goal",L$8&gt;=$G39,L$8&lt;=$G39+$H39-1),2,IF(AND($C39="Milestone",L$8&gt;=$G39,L$8&lt;=$G39+$H39-1),1,""))</f>
        <v/>
      </c>
      <c r="M39" s="69" t="str">
        <f ca="1">IF(AND($C39="Goal",M$8&gt;=$G39,M$8&lt;=$G39+$H39-1),2,IF(AND($C39="Milestone",M$8&gt;=$G39,M$8&lt;=$G39+$H39-1),1,""))</f>
        <v/>
      </c>
      <c r="N39" s="69" t="str">
        <f ca="1">IF(AND($C39="Goal",N$8&gt;=$G39,N$8&lt;=$G39+$H39-1),2,IF(AND($C39="Milestone",N$8&gt;=$G39,N$8&lt;=$G39+$H39-1),1,""))</f>
        <v/>
      </c>
      <c r="O39" s="69" t="str">
        <f ca="1">IF(AND($C39="Goal",O$8&gt;=$G39,O$8&lt;=$G39+$H39-1),2,IF(AND($C39="Milestone",O$8&gt;=$G39,O$8&lt;=$G39+$H39-1),1,""))</f>
        <v/>
      </c>
      <c r="P39" s="69" t="str">
        <f ca="1">IF(AND($C39="Goal",P$8&gt;=$G39,P$8&lt;=$G39+$H39-1),2,IF(AND($C39="Milestone",P$8&gt;=$G39,P$8&lt;=$G39+$H39-1),1,""))</f>
        <v/>
      </c>
      <c r="Q39" s="69" t="str">
        <f ca="1">IF(AND($C39="Goal",Q$8&gt;=$G39,Q$8&lt;=$G39+$H39-1),2,IF(AND($C39="Milestone",Q$8&gt;=$G39,Q$8&lt;=$G39+$H39-1),1,""))</f>
        <v/>
      </c>
      <c r="R39" s="69" t="str">
        <f ca="1">IF(AND($C39="Goal",R$8&gt;=$G39,R$8&lt;=$G39+$H39-1),2,IF(AND($C39="Milestone",R$8&gt;=$G39,R$8&lt;=$G39+$H39-1),1,""))</f>
        <v/>
      </c>
      <c r="S39" s="69" t="str">
        <f ca="1">IF(AND($C39="Goal",S$8&gt;=$G39,S$8&lt;=$G39+$H39-1),2,IF(AND($C39="Milestone",S$8&gt;=$G39,S$8&lt;=$G39+$H39-1),1,""))</f>
        <v/>
      </c>
      <c r="T39" s="69" t="str">
        <f ca="1">IF(AND($C39="Goal",T$8&gt;=$G39,T$8&lt;=$G39+$H39-1),2,IF(AND($C39="Milestone",T$8&gt;=$G39,T$8&lt;=$G39+$H39-1),1,""))</f>
        <v/>
      </c>
      <c r="U39" s="69" t="str">
        <f ca="1">IF(AND($C39="Goal",U$8&gt;=$G39,U$8&lt;=$G39+$H39-1),2,IF(AND($C39="Milestone",U$8&gt;=$G39,U$8&lt;=$G39+$H39-1),1,""))</f>
        <v/>
      </c>
      <c r="V39" s="69" t="str">
        <f ca="1">IF(AND($C39="Goal",V$8&gt;=$G39,V$8&lt;=$G39+$H39-1),2,IF(AND($C39="Milestone",V$8&gt;=$G39,V$8&lt;=$G39+$H39-1),1,""))</f>
        <v/>
      </c>
      <c r="W39" s="69" t="str">
        <f ca="1">IF(AND($C39="Goal",W$8&gt;=$G39,W$8&lt;=$G39+$H39-1),2,IF(AND($C39="Milestone",W$8&gt;=$G39,W$8&lt;=$G39+$H39-1),1,""))</f>
        <v/>
      </c>
      <c r="X39" s="69" t="str">
        <f ca="1">IF(AND($C39="Goal",X$8&gt;=$G39,X$8&lt;=$G39+$H39-1),2,IF(AND($C39="Milestone",X$8&gt;=$G39,X$8&lt;=$G39+$H39-1),1,""))</f>
        <v/>
      </c>
      <c r="Y39" s="69" t="str">
        <f ca="1">IF(AND($C39="Goal",Y$8&gt;=$G39,Y$8&lt;=$G39+$H39-1),2,IF(AND($C39="Milestone",Y$8&gt;=$G39,Y$8&lt;=$G39+$H39-1),1,""))</f>
        <v/>
      </c>
      <c r="Z39" s="69" t="str">
        <f ca="1">IF(AND($C39="Goal",Z$8&gt;=$G39,Z$8&lt;=$G39+$H39-1),2,IF(AND($C39="Milestone",Z$8&gt;=$G39,Z$8&lt;=$G39+$H39-1),1,""))</f>
        <v/>
      </c>
      <c r="AA39" s="69" t="str">
        <f ca="1">IF(AND($C39="Goal",AA$8&gt;=$G39,AA$8&lt;=$G39+$H39-1),2,IF(AND($C39="Milestone",AA$8&gt;=$G39,AA$8&lt;=$G39+$H39-1),1,""))</f>
        <v/>
      </c>
      <c r="AB39" s="69" t="str">
        <f ca="1">IF(AND($C39="Goal",AB$8&gt;=$G39,AB$8&lt;=$G39+$H39-1),2,IF(AND($C39="Milestone",AB$8&gt;=$G39,AB$8&lt;=$G39+$H39-1),1,""))</f>
        <v/>
      </c>
      <c r="AC39" s="69" t="str">
        <f ca="1">IF(AND($C39="Goal",AC$8&gt;=$G39,AC$8&lt;=$G39+$H39-1),2,IF(AND($C39="Milestone",AC$8&gt;=$G39,AC$8&lt;=$G39+$H39-1),1,""))</f>
        <v/>
      </c>
      <c r="AD39" s="69" t="str">
        <f ca="1">IF(AND($C39="Goal",AD$8&gt;=$G39,AD$8&lt;=$G39+$H39-1),2,IF(AND($C39="Milestone",AD$8&gt;=$G39,AD$8&lt;=$G39+$H39-1),1,""))</f>
        <v/>
      </c>
      <c r="AE39" s="69" t="str">
        <f ca="1">IF(AND($C39="Goal",AE$8&gt;=$G39,AE$8&lt;=$G39+$H39-1),2,IF(AND($C39="Milestone",AE$8&gt;=$G39,AE$8&lt;=$G39+$H39-1),1,""))</f>
        <v/>
      </c>
      <c r="AF39" s="69" t="str">
        <f ca="1">IF(AND($C39="Goal",AF$8&gt;=$G39,AF$8&lt;=$G39+$H39-1),2,IF(AND($C39="Milestone",AF$8&gt;=$G39,AF$8&lt;=$G39+$H39-1),1,""))</f>
        <v/>
      </c>
      <c r="AG39" s="69" t="str">
        <f ca="1">IF(AND($C39="Goal",AG$8&gt;=$G39,AG$8&lt;=$G39+$H39-1),2,IF(AND($C39="Milestone",AG$8&gt;=$G39,AG$8&lt;=$G39+$H39-1),1,""))</f>
        <v/>
      </c>
      <c r="AH39" s="69" t="str">
        <f ca="1">IF(AND($C39="Goal",AH$8&gt;=$G39,AH$8&lt;=$G39+$H39-1),2,IF(AND($C39="Milestone",AH$8&gt;=$G39,AH$8&lt;=$G39+$H39-1),1,""))</f>
        <v/>
      </c>
      <c r="AI39" s="69" t="str">
        <f ca="1">IF(AND($C39="Goal",AI$8&gt;=$G39,AI$8&lt;=$G39+$H39-1),2,IF(AND($C39="Milestone",AI$8&gt;=$G39,AI$8&lt;=$G39+$H39-1),1,""))</f>
        <v/>
      </c>
      <c r="AJ39" s="69" t="str">
        <f ca="1">IF(AND($C39="Goal",AJ$8&gt;=$G39,AJ$8&lt;=$G39+$H39-1),2,IF(AND($C39="Milestone",AJ$8&gt;=$G39,AJ$8&lt;=$G39+$H39-1),1,""))</f>
        <v/>
      </c>
      <c r="AK39" s="69" t="str">
        <f ca="1">IF(AND($C39="Goal",AK$8&gt;=$G39,AK$8&lt;=$G39+$H39-1),2,IF(AND($C39="Milestone",AK$8&gt;=$G39,AK$8&lt;=$G39+$H39-1),1,""))</f>
        <v/>
      </c>
      <c r="AL39" s="69" t="str">
        <f ca="1">IF(AND($C39="Goal",AL$8&gt;=$G39,AL$8&lt;=$G39+$H39-1),2,IF(AND($C39="Milestone",AL$8&gt;=$G39,AL$8&lt;=$G39+$H39-1),1,""))</f>
        <v/>
      </c>
      <c r="AM39" s="69" t="str">
        <f ca="1">IF(AND($C39="Goal",AM$8&gt;=$G39,AM$8&lt;=$G39+$H39-1),2,IF(AND($C39="Milestone",AM$8&gt;=$G39,AM$8&lt;=$G39+$H39-1),1,""))</f>
        <v/>
      </c>
      <c r="AN39" s="69" t="str">
        <f ca="1">IF(AND($C39="Goal",AN$8&gt;=$G39,AN$8&lt;=$G39+$H39-1),2,IF(AND($C39="Milestone",AN$8&gt;=$G39,AN$8&lt;=$G39+$H39-1),1,""))</f>
        <v/>
      </c>
      <c r="AO39" s="69" t="str">
        <f ca="1">IF(AND($C39="Goal",AO$8&gt;=$G39,AO$8&lt;=$G39+$H39-1),2,IF(AND($C39="Milestone",AO$8&gt;=$G39,AO$8&lt;=$G39+$H39-1),1,""))</f>
        <v/>
      </c>
      <c r="AP39" s="69" t="str">
        <f ca="1">IF(AND($C39="Goal",AP$8&gt;=$G39,AP$8&lt;=$G39+$H39-1),2,IF(AND($C39="Milestone",AP$8&gt;=$G39,AP$8&lt;=$G39+$H39-1),1,""))</f>
        <v/>
      </c>
      <c r="AQ39" s="69" t="str">
        <f ca="1">IF(AND($C39="Goal",AQ$8&gt;=$G39,AQ$8&lt;=$G39+$H39-1),2,IF(AND($C39="Milestone",AQ$8&gt;=$G39,AQ$8&lt;=$G39+$H39-1),1,""))</f>
        <v/>
      </c>
      <c r="AR39" s="69" t="str">
        <f ca="1">IF(AND($C39="Goal",AR$8&gt;=$G39,AR$8&lt;=$G39+$H39-1),2,IF(AND($C39="Milestone",AR$8&gt;=$G39,AR$8&lt;=$G39+$H39-1),1,""))</f>
        <v/>
      </c>
      <c r="AS39" s="69" t="str">
        <f ca="1">IF(AND($C39="Goal",AS$8&gt;=$G39,AS$8&lt;=$G39+$H39-1),2,IF(AND($C39="Milestone",AS$8&gt;=$G39,AS$8&lt;=$G39+$H39-1),1,""))</f>
        <v/>
      </c>
      <c r="AT39" s="69" t="str">
        <f ca="1">IF(AND($C39="Goal",AT$8&gt;=$G39,AT$8&lt;=$G39+$H39-1),2,IF(AND($C39="Milestone",AT$8&gt;=$G39,AT$8&lt;=$G39+$H39-1),1,""))</f>
        <v/>
      </c>
      <c r="AU39" s="69" t="str">
        <f ca="1">IF(AND($C39="Goal",AU$8&gt;=$G39,AU$8&lt;=$G39+$H39-1),2,IF(AND($C39="Milestone",AU$8&gt;=$G39,AU$8&lt;=$G39+$H39-1),1,""))</f>
        <v/>
      </c>
      <c r="AV39" s="69" t="str">
        <f ca="1">IF(AND($C39="Goal",AV$8&gt;=$G39,AV$8&lt;=$G39+$H39-1),2,IF(AND($C39="Milestone",AV$8&gt;=$G39,AV$8&lt;=$G39+$H39-1),1,""))</f>
        <v/>
      </c>
      <c r="AW39" s="69" t="str">
        <f ca="1">IF(AND($C39="Goal",AW$8&gt;=$G39,AW$8&lt;=$G39+$H39-1),2,IF(AND($C39="Milestone",AW$8&gt;=$G39,AW$8&lt;=$G39+$H39-1),1,""))</f>
        <v/>
      </c>
      <c r="AX39" s="69" t="str">
        <f ca="1">IF(AND($C39="Goal",AX$8&gt;=$G39,AX$8&lt;=$G39+$H39-1),2,IF(AND($C39="Milestone",AX$8&gt;=$G39,AX$8&lt;=$G39+$H39-1),1,""))</f>
        <v/>
      </c>
      <c r="AY39" s="69" t="str">
        <f ca="1">IF(AND($C39="Goal",AY$8&gt;=$G39,AY$8&lt;=$G39+$H39-1),2,IF(AND($C39="Milestone",AY$8&gt;=$G39,AY$8&lt;=$G39+$H39-1),1,""))</f>
        <v/>
      </c>
      <c r="AZ39" s="69" t="str">
        <f ca="1">IF(AND($C39="Goal",AZ$8&gt;=$G39,AZ$8&lt;=$G39+$H39-1),2,IF(AND($C39="Milestone",AZ$8&gt;=$G39,AZ$8&lt;=$G39+$H39-1),1,""))</f>
        <v/>
      </c>
      <c r="BA39" s="69" t="str">
        <f ca="1">IF(AND($C39="Goal",BA$8&gt;=$G39,BA$8&lt;=$G39+$H39-1),2,IF(AND($C39="Milestone",BA$8&gt;=$G39,BA$8&lt;=$G39+$H39-1),1,""))</f>
        <v/>
      </c>
      <c r="BB39" s="69" t="str">
        <f ca="1">IF(AND($C39="Goal",BB$8&gt;=$G39,BB$8&lt;=$G39+$H39-1),2,IF(AND($C39="Milestone",BB$8&gt;=$G39,BB$8&lt;=$G39+$H39-1),1,""))</f>
        <v/>
      </c>
      <c r="BC39" s="69" t="str">
        <f ca="1">IF(AND($C39="Goal",BC$8&gt;=$G39,BC$8&lt;=$G39+$H39-1),2,IF(AND($C39="Milestone",BC$8&gt;=$G39,BC$8&lt;=$G39+$H39-1),1,""))</f>
        <v/>
      </c>
      <c r="BD39" s="69" t="str">
        <f ca="1">IF(AND($C39="Goal",BD$8&gt;=$G39,BD$8&lt;=$G39+$H39-1),2,IF(AND($C39="Milestone",BD$8&gt;=$G39,BD$8&lt;=$G39+$H39-1),1,""))</f>
        <v/>
      </c>
      <c r="BE39" s="69" t="str">
        <f ca="1">IF(AND($C39="Goal",BE$8&gt;=$G39,BE$8&lt;=$G39+$H39-1),2,IF(AND($C39="Milestone",BE$8&gt;=$G39,BE$8&lt;=$G39+$H39-1),1,""))</f>
        <v/>
      </c>
      <c r="BF39" s="69" t="str">
        <f ca="1">IF(AND($C39="Goal",BF$8&gt;=$G39,BF$8&lt;=$G39+$H39-1),2,IF(AND($C39="Milestone",BF$8&gt;=$G39,BF$8&lt;=$G39+$H39-1),1,""))</f>
        <v/>
      </c>
      <c r="BG39" s="69" t="str">
        <f ca="1">IF(AND($C39="Goal",BG$8&gt;=$G39,BG$8&lt;=$G39+$H39-1),2,IF(AND($C39="Milestone",BG$8&gt;=$G39,BG$8&lt;=$G39+$H39-1),1,""))</f>
        <v/>
      </c>
      <c r="BH39" s="69" t="str">
        <f ca="1">IF(AND($C39="Goal",BH$8&gt;=$G39,BH$8&lt;=$G39+$H39-1),2,IF(AND($C39="Milestone",BH$8&gt;=$G39,BH$8&lt;=$G39+$H39-1),1,""))</f>
        <v/>
      </c>
      <c r="BI39" s="69" t="str">
        <f ca="1">IF(AND($C39="Goal",BI$8&gt;=$G39,BI$8&lt;=$G39+$H39-1),2,IF(AND($C39="Milestone",BI$8&gt;=$G39,BI$8&lt;=$G39+$H39-1),1,""))</f>
        <v/>
      </c>
      <c r="BJ39" s="69" t="str">
        <f ca="1">IF(AND($C39="Goal",BJ$8&gt;=$G39,BJ$8&lt;=$G39+$H39-1),2,IF(AND($C39="Milestone",BJ$8&gt;=$G39,BJ$8&lt;=$G39+$H39-1),1,""))</f>
        <v/>
      </c>
      <c r="BK39" s="69" t="str">
        <f ca="1">IF(AND($C39="Goal",BK$8&gt;=$G39,BK$8&lt;=$G39+$H39-1),2,IF(AND($C39="Milestone",BK$8&gt;=$G39,BK$8&lt;=$G39+$H39-1),1,""))</f>
        <v/>
      </c>
      <c r="BL39" s="69" t="str">
        <f ca="1">IF(AND($C39="Goal",BL$8&gt;=$G39,BL$8&lt;=$G39+$H39-1),2,IF(AND($C39="Milestone",BL$8&gt;=$G39,BL$8&lt;=$G39+$H39-1),1,""))</f>
        <v/>
      </c>
      <c r="BM39" s="69" t="str">
        <f ca="1">IF(AND($C39="Goal",BM$8&gt;=$G39,BM$8&lt;=$G39+$H39-1),2,IF(AND($C39="Milestone",BM$8&gt;=$G39,BM$8&lt;=$G39+$H39-1),1,""))</f>
        <v/>
      </c>
      <c r="BN39" s="69" t="str">
        <f ca="1">IF(AND($C39="Goal",BN$8&gt;=$G39,BN$8&lt;=$G39+$H39-1),2,IF(AND($C39="Milestone",BN$8&gt;=$G39,BN$8&lt;=$G39+$H39-1),1,""))</f>
        <v/>
      </c>
      <c r="BO39" s="69" t="str">
        <f ca="1">IF(AND($C39="Goal",BO$8&gt;=$G39,BO$8&lt;=$G39+$H39-1),2,IF(AND($C39="Milestone",BO$8&gt;=$G39,BO$8&lt;=$G39+$H39-1),1,""))</f>
        <v/>
      </c>
      <c r="BP39" s="69" t="str">
        <f ca="1">IF(AND($C39="Goal",BP$8&gt;=$G39,BP$8&lt;=$G39+$H39-1),2,IF(AND($C39="Milestone",BP$8&gt;=$G39,BP$8&lt;=$G39+$H39-1),1,""))</f>
        <v/>
      </c>
      <c r="BQ39" s="69" t="str">
        <f ca="1">IF(AND($C39="Goal",BQ$8&gt;=$G39,BQ$8&lt;=$G39+$H39-1),2,IF(AND($C39="Milestone",BQ$8&gt;=$G39,BQ$8&lt;=$G39+$H39-1),1,""))</f>
        <v/>
      </c>
      <c r="BR39" s="69" t="str">
        <f ca="1">IF(AND($C39="Goal",BR$8&gt;=$G39,BR$8&lt;=$G39+$H39-1),2,IF(AND($C39="Milestone",BR$8&gt;=$G39,BR$8&lt;=$G39+$H39-1),1,""))</f>
        <v/>
      </c>
      <c r="BS39" s="69" t="str">
        <f ca="1">IF(AND($C39="Goal",BS$8&gt;=$G39,BS$8&lt;=$G39+$H39-1),2,IF(AND($C39="Milestone",BS$8&gt;=$G39,BS$8&lt;=$G39+$H39-1),1,""))</f>
        <v/>
      </c>
      <c r="BT39" s="69" t="str">
        <f ca="1">IF(AND($C39="Goal",BT$8&gt;=$G39,BT$8&lt;=$G39+$H39-1),2,IF(AND($C39="Milestone",BT$8&gt;=$G39,BT$8&lt;=$G39+$H39-1),1,""))</f>
        <v/>
      </c>
      <c r="BU39" s="69" t="str">
        <f ca="1">IF(AND($C39="Goal",BU$8&gt;=$G39,BU$8&lt;=$G39+$H39-1),2,IF(AND($C39="Milestone",BU$8&gt;=$G39,BU$8&lt;=$G39+$H39-1),1,""))</f>
        <v/>
      </c>
      <c r="BV39" s="69" t="str">
        <f ca="1">IF(AND($C39="Goal",BV$8&gt;=$G39,BV$8&lt;=$G39+$H39-1),2,IF(AND($C39="Milestone",BV$8&gt;=$G39,BV$8&lt;=$G39+$H39-1),1,""))</f>
        <v/>
      </c>
      <c r="BW39" s="69" t="str">
        <f ca="1">IF(AND($C39="Goal",BW$8&gt;=$G39,BW$8&lt;=$G39+$H39-1),2,IF(AND($C39="Milestone",BW$8&gt;=$G39,BW$8&lt;=$G39+$H39-1),1,""))</f>
        <v/>
      </c>
      <c r="BX39" s="69" t="str">
        <f ca="1">IF(AND($C39="Goal",BX$8&gt;=$G39,BX$8&lt;=$G39+$H39-1),2,IF(AND($C39="Milestone",BX$8&gt;=$G39,BX$8&lt;=$G39+$H39-1),1,""))</f>
        <v/>
      </c>
      <c r="BY39" s="69" t="str">
        <f ca="1">IF(AND($C39="Goal",BY$8&gt;=$G39,BY$8&lt;=$G39+$H39-1),2,IF(AND($C39="Milestone",BY$8&gt;=$G39,BY$8&lt;=$G39+$H39-1),1,""))</f>
        <v/>
      </c>
      <c r="BZ39" s="69" t="str">
        <f ca="1">IF(AND($C39="Goal",BZ$8&gt;=$G39,BZ$8&lt;=$G39+$H39-1),2,IF(AND($C39="Milestone",BZ$8&gt;=$G39,BZ$8&lt;=$G39+$H39-1),1,""))</f>
        <v/>
      </c>
      <c r="CA39" s="69" t="str">
        <f ca="1">IF(AND($C39="Goal",CA$8&gt;=$G39,CA$8&lt;=$G39+$H39-1),2,IF(AND($C39="Milestone",CA$8&gt;=$G39,CA$8&lt;=$G39+$H39-1),1,""))</f>
        <v/>
      </c>
      <c r="CB39" s="69" t="str">
        <f ca="1">IF(AND($C39="Goal",CB$8&gt;=$G39,CB$8&lt;=$G39+$H39-1),2,IF(AND($C39="Milestone",CB$8&gt;=$G39,CB$8&lt;=$G39+$H39-1),1,""))</f>
        <v/>
      </c>
      <c r="CC39" s="69" t="str">
        <f ca="1">IF(AND($C39="Goal",CC$8&gt;=$G39,CC$8&lt;=$G39+$H39-1),2,IF(AND($C39="Milestone",CC$8&gt;=$G39,CC$8&lt;=$G39+$H39-1),1,""))</f>
        <v/>
      </c>
      <c r="CD39" s="69" t="str">
        <f ca="1">IF(AND($C39="Goal",CD$8&gt;=$G39,CD$8&lt;=$G39+$H39-1),2,IF(AND($C39="Milestone",CD$8&gt;=$G39,CD$8&lt;=$G39+$H39-1),1,""))</f>
        <v/>
      </c>
      <c r="CE39" s="69" t="str">
        <f ca="1">IF(AND($C39="Goal",CE$8&gt;=$G39,CE$8&lt;=$G39+$H39-1),2,IF(AND($C39="Milestone",CE$8&gt;=$G39,CE$8&lt;=$G39+$H39-1),1,""))</f>
        <v/>
      </c>
      <c r="CF39" s="69" t="str">
        <f ca="1">IF(AND($C39="Goal",CF$8&gt;=$G39,CF$8&lt;=$G39+$H39-1),2,IF(AND($C39="Milestone",CF$8&gt;=$G39,CF$8&lt;=$G39+$H39-1),1,""))</f>
        <v/>
      </c>
      <c r="CG39" s="69" t="str">
        <f ca="1">IF(AND($C39="Goal",CG$8&gt;=$G39,CG$8&lt;=$G39+$H39-1),2,IF(AND($C39="Milestone",CG$8&gt;=$G39,CG$8&lt;=$G39+$H39-1),1,""))</f>
        <v/>
      </c>
      <c r="CH39" s="69" t="str">
        <f ca="1">IF(AND($C39="Goal",CH$8&gt;=$G39,CH$8&lt;=$G39+$H39-1),2,IF(AND($C39="Milestone",CH$8&gt;=$G39,CH$8&lt;=$G39+$H39-1),1,""))</f>
        <v/>
      </c>
      <c r="CI39" s="69" t="str">
        <f ca="1">IF(AND($C39="Goal",CI$8&gt;=$G39,CI$8&lt;=$G39+$H39-1),2,IF(AND($C39="Milestone",CI$8&gt;=$G39,CI$8&lt;=$G39+$H39-1),1,""))</f>
        <v/>
      </c>
      <c r="CJ39" s="69" t="str">
        <f ca="1">IF(AND($C39="Goal",CJ$8&gt;=$G39,CJ$8&lt;=$G39+$H39-1),2,IF(AND($C39="Milestone",CJ$8&gt;=$G39,CJ$8&lt;=$G39+$H39-1),1,""))</f>
        <v/>
      </c>
      <c r="CK39" s="69" t="str">
        <f ca="1">IF(AND($C39="Goal",CK$8&gt;=$G39,CK$8&lt;=$G39+$H39-1),2,IF(AND($C39="Milestone",CK$8&gt;=$G39,CK$8&lt;=$G39+$H39-1),1,""))</f>
        <v/>
      </c>
      <c r="CL39" s="69" t="str">
        <f ca="1">IF(AND($C39="Goal",CL$8&gt;=$G39,CL$8&lt;=$G39+$H39-1),2,IF(AND($C39="Milestone",CL$8&gt;=$G39,CL$8&lt;=$G39+$H39-1),1,""))</f>
        <v/>
      </c>
      <c r="CM39" s="69" t="str">
        <f ca="1">IF(AND($C39="Goal",CM$8&gt;=$G39,CM$8&lt;=$G39+$H39-1),2,IF(AND($C39="Milestone",CM$8&gt;=$G39,CM$8&lt;=$G39+$H39-1),1,""))</f>
        <v/>
      </c>
      <c r="CN39" s="69" t="str">
        <f ca="1">IF(AND($C39="Goal",CN$8&gt;=$G39,CN$8&lt;=$G39+$H39-1),2,IF(AND($C39="Milestone",CN$8&gt;=$G39,CN$8&lt;=$G39+$H39-1),1,""))</f>
        <v/>
      </c>
      <c r="CO39" s="69" t="str">
        <f ca="1">IF(AND($C39="Goal",CO$8&gt;=$G39,CO$8&lt;=$G39+$H39-1),2,IF(AND($C39="Milestone",CO$8&gt;=$G39,CO$8&lt;=$G39+$H39-1),1,""))</f>
        <v/>
      </c>
      <c r="CP39" s="69" t="str">
        <f ca="1">IF(AND($C39="Goal",CP$8&gt;=$G39,CP$8&lt;=$G39+$H39-1),2,IF(AND($C39="Milestone",CP$8&gt;=$G39,CP$8&lt;=$G39+$H39-1),1,""))</f>
        <v/>
      </c>
      <c r="CQ39" s="69" t="str">
        <f ca="1">IF(AND($C39="Goal",CQ$8&gt;=$G39,CQ$8&lt;=$G39+$H39-1),2,IF(AND($C39="Milestone",CQ$8&gt;=$G39,CQ$8&lt;=$G39+$H39-1),1,""))</f>
        <v/>
      </c>
      <c r="CR39" s="69" t="str">
        <f ca="1">IF(AND($C39="Goal",CR$8&gt;=$G39,CR$8&lt;=$G39+$H39-1),2,IF(AND($C39="Milestone",CR$8&gt;=$G39,CR$8&lt;=$G39+$H39-1),1,""))</f>
        <v/>
      </c>
      <c r="CS39" s="69" t="str">
        <f ca="1">IF(AND($C39="Goal",CS$8&gt;=$G39,CS$8&lt;=$G39+$H39-1),2,IF(AND($C39="Milestone",CS$8&gt;=$G39,CS$8&lt;=$G39+$H39-1),1,""))</f>
        <v/>
      </c>
      <c r="CT39" s="69" t="str">
        <f ca="1">IF(AND($C39="Goal",CT$8&gt;=$G39,CT$8&lt;=$G39+$H39-1),2,IF(AND($C39="Milestone",CT$8&gt;=$G39,CT$8&lt;=$G39+$H39-1),1,""))</f>
        <v/>
      </c>
      <c r="CU39" s="69" t="str">
        <f ca="1">IF(AND($C39="Goal",CU$8&gt;=$G39,CU$8&lt;=$G39+$H39-1),2,IF(AND($C39="Milestone",CU$8&gt;=$G39,CU$8&lt;=$G39+$H39-1),1,""))</f>
        <v/>
      </c>
      <c r="CV39" s="69" t="str">
        <f ca="1">IF(AND($C39="Goal",CV$8&gt;=$G39,CV$8&lt;=$G39+$H39-1),2,IF(AND($C39="Milestone",CV$8&gt;=$G39,CV$8&lt;=$G39+$H39-1),1,""))</f>
        <v/>
      </c>
      <c r="CW39" s="69" t="str">
        <f ca="1">IF(AND($C39="Goal",CW$8&gt;=$G39,CW$8&lt;=$G39+$H39-1),2,IF(AND($C39="Milestone",CW$8&gt;=$G39,CW$8&lt;=$G39+$H39-1),1,""))</f>
        <v/>
      </c>
      <c r="CX39" s="69" t="str">
        <f ca="1">IF(AND($C39="Goal",CX$8&gt;=$G39,CX$8&lt;=$G39+$H39-1),2,IF(AND($C39="Milestone",CX$8&gt;=$G39,CX$8&lt;=$G39+$H39-1),1,""))</f>
        <v/>
      </c>
      <c r="CY39" s="69" t="str">
        <f ca="1">IF(AND($C39="Goal",CY$8&gt;=$G39,CY$8&lt;=$G39+$H39-1),2,IF(AND($C39="Milestone",CY$8&gt;=$G39,CY$8&lt;=$G39+$H39-1),1,""))</f>
        <v/>
      </c>
      <c r="CZ39" s="69" t="str">
        <f ca="1">IF(AND($C39="Goal",CZ$8&gt;=$G39,CZ$8&lt;=$G39+$H39-1),2,IF(AND($C39="Milestone",CZ$8&gt;=$G39,CZ$8&lt;=$G39+$H39-1),1,""))</f>
        <v/>
      </c>
      <c r="DA39" s="69" t="str">
        <f ca="1">IF(AND($C39="Goal",DA$8&gt;=$G39,DA$8&lt;=$G39+$H39-1),2,IF(AND($C39="Milestone",DA$8&gt;=$G39,DA$8&lt;=$G39+$H39-1),1,""))</f>
        <v/>
      </c>
      <c r="DB39" s="69" t="str">
        <f ca="1">IF(AND($C39="Goal",DB$8&gt;=$G39,DB$8&lt;=$G39+$H39-1),2,IF(AND($C39="Milestone",DB$8&gt;=$G39,DB$8&lt;=$G39+$H39-1),1,""))</f>
        <v/>
      </c>
      <c r="DC39" s="69" t="str">
        <f ca="1">IF(AND($C39="Goal",DC$8&gt;=$G39,DC$8&lt;=$G39+$H39-1),2,IF(AND($C39="Milestone",DC$8&gt;=$G39,DC$8&lt;=$G39+$H39-1),1,""))</f>
        <v/>
      </c>
      <c r="DD39" s="69" t="str">
        <f ca="1">IF(AND($C39="Goal",DD$8&gt;=$G39,DD$8&lt;=$G39+$H39-1),2,IF(AND($C39="Milestone",DD$8&gt;=$G39,DD$8&lt;=$G39+$H39-1),1,""))</f>
        <v/>
      </c>
      <c r="DE39" s="69" t="str">
        <f ca="1">IF(AND($C39="Goal",DE$8&gt;=$G39,DE$8&lt;=$G39+$H39-1),2,IF(AND($C39="Milestone",DE$8&gt;=$G39,DE$8&lt;=$G39+$H39-1),1,""))</f>
        <v/>
      </c>
      <c r="DF39" s="69" t="str">
        <f ca="1">IF(AND($C39="Goal",DF$8&gt;=$G39,DF$8&lt;=$G39+$H39-1),2,IF(AND($C39="Milestone",DF$8&gt;=$G39,DF$8&lt;=$G39+$H39-1),1,""))</f>
        <v/>
      </c>
      <c r="DG39" s="69" t="str">
        <f ca="1">IF(AND($C39="Goal",DG$8&gt;=$G39,DG$8&lt;=$G39+$H39-1),2,IF(AND($C39="Milestone",DG$8&gt;=$G39,DG$8&lt;=$G39+$H39-1),1,""))</f>
        <v/>
      </c>
      <c r="DH39" s="69" t="str">
        <f ca="1">IF(AND($C39="Goal",DH$8&gt;=$G39,DH$8&lt;=$G39+$H39-1),2,IF(AND($C39="Milestone",DH$8&gt;=$G39,DH$8&lt;=$G39+$H39-1),1,""))</f>
        <v/>
      </c>
      <c r="DI39" s="69" t="str">
        <f ca="1">IF(AND($C39="Goal",DI$8&gt;=$G39,DI$8&lt;=$G39+$H39-1),2,IF(AND($C39="Milestone",DI$8&gt;=$G39,DI$8&lt;=$G39+$H39-1),1,""))</f>
        <v/>
      </c>
      <c r="DJ39" s="69" t="str">
        <f ca="1">IF(AND($C39="Goal",DJ$8&gt;=$G39,DJ$8&lt;=$G39+$H39-1),2,IF(AND($C39="Milestone",DJ$8&gt;=$G39,DJ$8&lt;=$G39+$H39-1),1,""))</f>
        <v/>
      </c>
      <c r="DK39" s="69" t="str">
        <f ca="1">IF(AND($C39="Goal",DK$8&gt;=$G39,DK$8&lt;=$G39+$H39-1),2,IF(AND($C39="Milestone",DK$8&gt;=$G39,DK$8&lt;=$G39+$H39-1),1,""))</f>
        <v/>
      </c>
      <c r="DL39" s="69" t="str">
        <f ca="1">IF(AND($C39="Goal",DL$8&gt;=$G39,DL$8&lt;=$G39+$H39-1),2,IF(AND($C39="Milestone",DL$8&gt;=$G39,DL$8&lt;=$G39+$H39-1),1,""))</f>
        <v/>
      </c>
      <c r="DM39" s="69" t="str">
        <f ca="1">IF(AND($C39="Goal",DM$8&gt;=$G39,DM$8&lt;=$G39+$H39-1),2,IF(AND($C39="Milestone",DM$8&gt;=$G39,DM$8&lt;=$G39+$H39-1),1,""))</f>
        <v/>
      </c>
      <c r="DN39" s="69" t="str">
        <f ca="1">IF(AND($C39="Goal",DN$8&gt;=$G39,DN$8&lt;=$G39+$H39-1),2,IF(AND($C39="Milestone",DN$8&gt;=$G39,DN$8&lt;=$G39+$H39-1),1,""))</f>
        <v/>
      </c>
      <c r="DO39" s="69" t="str">
        <f ca="1">IF(AND($C39="Goal",DO$8&gt;=$G39,DO$8&lt;=$G39+$H39-1),2,IF(AND($C39="Milestone",DO$8&gt;=$G39,DO$8&lt;=$G39+$H39-1),1,""))</f>
        <v/>
      </c>
      <c r="DP39" s="69" t="str">
        <f ca="1">IF(AND($C39="Goal",DP$8&gt;=$G39,DP$8&lt;=$G39+$H39-1),2,IF(AND($C39="Milestone",DP$8&gt;=$G39,DP$8&lt;=$G39+$H39-1),1,""))</f>
        <v/>
      </c>
      <c r="DQ39" s="69" t="str">
        <f ca="1">IF(AND($C39="Goal",DQ$8&gt;=$G39,DQ$8&lt;=$G39+$H39-1),2,IF(AND($C39="Milestone",DQ$8&gt;=$G39,DQ$8&lt;=$G39+$H39-1),1,""))</f>
        <v/>
      </c>
      <c r="DR39" s="69" t="str">
        <f ca="1">IF(AND($C39="Goal",DR$8&gt;=$G39,DR$8&lt;=$G39+$H39-1),2,IF(AND($C39="Milestone",DR$8&gt;=$G39,DR$8&lt;=$G39+$H39-1),1,""))</f>
        <v/>
      </c>
      <c r="DS39" s="69" t="str">
        <f ca="1">IF(AND($C39="Goal",DS$8&gt;=$G39,DS$8&lt;=$G39+$H39-1),2,IF(AND($C39="Milestone",DS$8&gt;=$G39,DS$8&lt;=$G39+$H39-1),1,""))</f>
        <v/>
      </c>
      <c r="DT39" s="69" t="str">
        <f ca="1">IF(AND($C39="Goal",DT$8&gt;=$G39,DT$8&lt;=$G39+$H39-1),2,IF(AND($C39="Milestone",DT$8&gt;=$G39,DT$8&lt;=$G39+$H39-1),1,""))</f>
        <v/>
      </c>
      <c r="DU39" s="69" t="str">
        <f ca="1">IF(AND($C39="Goal",DU$8&gt;=$G39,DU$8&lt;=$G39+$H39-1),2,IF(AND($C39="Milestone",DU$8&gt;=$G39,DU$8&lt;=$G39+$H39-1),1,""))</f>
        <v/>
      </c>
      <c r="DV39" s="69" t="str">
        <f ca="1">IF(AND($C39="Goal",DV$8&gt;=$G39,DV$8&lt;=$G39+$H39-1),2,IF(AND($C39="Milestone",DV$8&gt;=$G39,DV$8&lt;=$G39+$H39-1),1,""))</f>
        <v/>
      </c>
      <c r="DW39" s="69" t="str">
        <f ca="1">IF(AND($C39="Goal",DW$8&gt;=$G39,DW$8&lt;=$G39+$H39-1),2,IF(AND($C39="Milestone",DW$8&gt;=$G39,DW$8&lt;=$G39+$H39-1),1,""))</f>
        <v/>
      </c>
      <c r="DX39" s="69" t="str">
        <f ca="1">IF(AND($C39="Goal",DX$8&gt;=$G39,DX$8&lt;=$G39+$H39-1),2,IF(AND($C39="Milestone",DX$8&gt;=$G39,DX$8&lt;=$G39+$H39-1),1,""))</f>
        <v/>
      </c>
      <c r="DY39" s="69" t="str">
        <f ca="1">IF(AND($C39="Goal",DY$8&gt;=$G39,DY$8&lt;=$G39+$H39-1),2,IF(AND($C39="Milestone",DY$8&gt;=$G39,DY$8&lt;=$G39+$H39-1),1,""))</f>
        <v/>
      </c>
      <c r="DZ39" s="69" t="str">
        <f ca="1">IF(AND($C39="Goal",DZ$8&gt;=$G39,DZ$8&lt;=$G39+$H39-1),2,IF(AND($C39="Milestone",DZ$8&gt;=$G39,DZ$8&lt;=$G39+$H39-1),1,""))</f>
        <v/>
      </c>
      <c r="EA39" s="69" t="str">
        <f ca="1">IF(AND($C39="Goal",EA$8&gt;=$G39,EA$8&lt;=$G39+$H39-1),2,IF(AND($C39="Milestone",EA$8&gt;=$G39,EA$8&lt;=$G39+$H39-1),1,""))</f>
        <v/>
      </c>
      <c r="EB39" s="69" t="str">
        <f ca="1">IF(AND($C39="Goal",EB$8&gt;=$G39,EB$8&lt;=$G39+$H39-1),2,IF(AND($C39="Milestone",EB$8&gt;=$G39,EB$8&lt;=$G39+$H39-1),1,""))</f>
        <v/>
      </c>
      <c r="EC39" s="69" t="str">
        <f ca="1">IF(AND($C39="Goal",EC$8&gt;=$G39,EC$8&lt;=$G39+$H39-1),2,IF(AND($C39="Milestone",EC$8&gt;=$G39,EC$8&lt;=$G39+$H39-1),1,""))</f>
        <v/>
      </c>
      <c r="ED39" s="69" t="str">
        <f ca="1">IF(AND($C39="Goal",ED$8&gt;=$G39,ED$8&lt;=$G39+$H39-1),2,IF(AND($C39="Milestone",ED$8&gt;=$G39,ED$8&lt;=$G39+$H39-1),1,""))</f>
        <v/>
      </c>
      <c r="EE39" s="69" t="str">
        <f ca="1">IF(AND($C39="Goal",EE$8&gt;=$G39,EE$8&lt;=$G39+$H39-1),2,IF(AND($C39="Milestone",EE$8&gt;=$G39,EE$8&lt;=$G39+$H39-1),1,""))</f>
        <v/>
      </c>
      <c r="EF39" s="69" t="str">
        <f ca="1">IF(AND($C39="Goal",EF$8&gt;=$G39,EF$8&lt;=$G39+$H39-1),2,IF(AND($C39="Milestone",EF$8&gt;=$G39,EF$8&lt;=$G39+$H39-1),1,""))</f>
        <v/>
      </c>
      <c r="EG39" s="69" t="str">
        <f ca="1">IF(AND($C39="Goal",EG$8&gt;=$G39,EG$8&lt;=$G39+$H39-1),2,IF(AND($C39="Milestone",EG$8&gt;=$G39,EG$8&lt;=$G39+$H39-1),1,""))</f>
        <v/>
      </c>
      <c r="EH39" s="69" t="str">
        <f ca="1">IF(AND($C39="Goal",EH$8&gt;=$G39,EH$8&lt;=$G39+$H39-1),2,IF(AND($C39="Milestone",EH$8&gt;=$G39,EH$8&lt;=$G39+$H39-1),1,""))</f>
        <v/>
      </c>
      <c r="EI39" s="69" t="str">
        <f ca="1">IF(AND($C39="Goal",EI$8&gt;=$G39,EI$8&lt;=$G39+$H39-1),2,IF(AND($C39="Milestone",EI$8&gt;=$G39,EI$8&lt;=$G39+$H39-1),1,""))</f>
        <v/>
      </c>
      <c r="EJ39" s="69" t="str">
        <f ca="1">IF(AND($C39="Goal",EJ$8&gt;=$G39,EJ$8&lt;=$G39+$H39-1),2,IF(AND($C39="Milestone",EJ$8&gt;=$G39,EJ$8&lt;=$G39+$H39-1),1,""))</f>
        <v/>
      </c>
      <c r="EK39" s="69" t="str">
        <f ca="1">IF(AND($C39="Goal",EK$8&gt;=$G39,EK$8&lt;=$G39+$H39-1),2,IF(AND($C39="Milestone",EK$8&gt;=$G39,EK$8&lt;=$G39+$H39-1),1,""))</f>
        <v/>
      </c>
      <c r="EL39" s="69" t="str">
        <f ca="1">IF(AND($C39="Goal",EL$8&gt;=$G39,EL$8&lt;=$G39+$H39-1),2,IF(AND($C39="Milestone",EL$8&gt;=$G39,EL$8&lt;=$G39+$H39-1),1,""))</f>
        <v/>
      </c>
      <c r="EM39" s="69" t="str">
        <f ca="1">IF(AND($C39="Goal",EM$8&gt;=$G39,EM$8&lt;=$G39+$H39-1),2,IF(AND($C39="Milestone",EM$8&gt;=$G39,EM$8&lt;=$G39+$H39-1),1,""))</f>
        <v/>
      </c>
      <c r="EN39" s="69" t="str">
        <f ca="1">IF(AND($C39="Goal",EN$8&gt;=$G39,EN$8&lt;=$G39+$H39-1),2,IF(AND($C39="Milestone",EN$8&gt;=$G39,EN$8&lt;=$G39+$H39-1),1,""))</f>
        <v/>
      </c>
      <c r="EO39" s="69" t="str">
        <f ca="1">IF(AND($C39="Goal",EO$8&gt;=$G39,EO$8&lt;=$G39+$H39-1),2,IF(AND($C39="Milestone",EO$8&gt;=$G39,EO$8&lt;=$G39+$H39-1),1,""))</f>
        <v/>
      </c>
      <c r="EP39" s="69" t="str">
        <f ca="1">IF(AND($C39="Goal",EP$8&gt;=$G39,EP$8&lt;=$G39+$H39-1),2,IF(AND($C39="Milestone",EP$8&gt;=$G39,EP$8&lt;=$G39+$H39-1),1,""))</f>
        <v/>
      </c>
      <c r="EQ39" s="69" t="str">
        <f ca="1">IF(AND($C39="Goal",EQ$8&gt;=$G39,EQ$8&lt;=$G39+$H39-1),2,IF(AND($C39="Milestone",EQ$8&gt;=$G39,EQ$8&lt;=$G39+$H39-1),1,""))</f>
        <v/>
      </c>
      <c r="ER39" s="69" t="str">
        <f ca="1">IF(AND($C39="Goal",ER$8&gt;=$G39,ER$8&lt;=$G39+$H39-1),2,IF(AND($C39="Milestone",ER$8&gt;=$G39,ER$8&lt;=$G39+$H39-1),1,""))</f>
        <v/>
      </c>
      <c r="ES39" s="69" t="str">
        <f ca="1">IF(AND($C39="Goal",ES$8&gt;=$G39,ES$8&lt;=$G39+$H39-1),2,IF(AND($C39="Milestone",ES$8&gt;=$G39,ES$8&lt;=$G39+$H39-1),1,""))</f>
        <v/>
      </c>
      <c r="ET39" s="69" t="str">
        <f ca="1">IF(AND($C39="Goal",ET$8&gt;=$G39,ET$8&lt;=$G39+$H39-1),2,IF(AND($C39="Milestone",ET$8&gt;=$G39,ET$8&lt;=$G39+$H39-1),1,""))</f>
        <v/>
      </c>
      <c r="EU39" s="69" t="str">
        <f ca="1">IF(AND($C39="Goal",EU$8&gt;=$G39,EU$8&lt;=$G39+$H39-1),2,IF(AND($C39="Milestone",EU$8&gt;=$G39,EU$8&lt;=$G39+$H39-1),1,""))</f>
        <v/>
      </c>
      <c r="EV39" s="69" t="str">
        <f ca="1">IF(AND($C39="Goal",EV$8&gt;=$G39,EV$8&lt;=$G39+$H39-1),2,IF(AND($C39="Milestone",EV$8&gt;=$G39,EV$8&lt;=$G39+$H39-1),1,""))</f>
        <v/>
      </c>
      <c r="EW39" s="69" t="str">
        <f ca="1">IF(AND($C39="Goal",EW$8&gt;=$G39,EW$8&lt;=$G39+$H39-1),2,IF(AND($C39="Milestone",EW$8&gt;=$G39,EW$8&lt;=$G39+$H39-1),1,""))</f>
        <v/>
      </c>
      <c r="EX39" s="69" t="str">
        <f ca="1">IF(AND($C39="Goal",EX$8&gt;=$G39,EX$8&lt;=$G39+$H39-1),2,IF(AND($C39="Milestone",EX$8&gt;=$G39,EX$8&lt;=$G39+$H39-1),1,""))</f>
        <v/>
      </c>
      <c r="EY39" s="69" t="str">
        <f ca="1">IF(AND($C39="Goal",EY$8&gt;=$G39,EY$8&lt;=$G39+$H39-1),2,IF(AND($C39="Milestone",EY$8&gt;=$G39,EY$8&lt;=$G39+$H39-1),1,""))</f>
        <v/>
      </c>
      <c r="EZ39" s="69" t="str">
        <f ca="1">IF(AND($C39="Goal",EZ$8&gt;=$G39,EZ$8&lt;=$G39+$H39-1),2,IF(AND($C39="Milestone",EZ$8&gt;=$G39,EZ$8&lt;=$G39+$H39-1),1,""))</f>
        <v/>
      </c>
      <c r="FA39" s="69" t="str">
        <f ca="1">IF(AND($C39="Goal",FA$8&gt;=$G39,FA$8&lt;=$G39+$H39-1),2,IF(AND($C39="Milestone",FA$8&gt;=$G39,FA$8&lt;=$G39+$H39-1),1,""))</f>
        <v/>
      </c>
      <c r="FB39" s="69" t="str">
        <f ca="1">IF(AND($C39="Goal",FB$8&gt;=$G39,FB$8&lt;=$G39+$H39-1),2,IF(AND($C39="Milestone",FB$8&gt;=$G39,FB$8&lt;=$G39+$H39-1),1,""))</f>
        <v/>
      </c>
      <c r="FC39" s="69" t="str">
        <f ca="1">IF(AND($C39="Goal",FC$8&gt;=$G39,FC$8&lt;=$G39+$H39-1),2,IF(AND($C39="Milestone",FC$8&gt;=$G39,FC$8&lt;=$G39+$H39-1),1,""))</f>
        <v/>
      </c>
      <c r="FD39" s="69" t="str">
        <f ca="1">IF(AND($C39="Goal",FD$8&gt;=$G39,FD$8&lt;=$G39+$H39-1),2,IF(AND($C39="Milestone",FD$8&gt;=$G39,FD$8&lt;=$G39+$H39-1),1,""))</f>
        <v/>
      </c>
      <c r="FE39" s="69" t="str">
        <f ca="1">IF(AND($C39="Goal",FE$8&gt;=$G39,FE$8&lt;=$G39+$H39-1),2,IF(AND($C39="Milestone",FE$8&gt;=$G39,FE$8&lt;=$G39+$H39-1),1,""))</f>
        <v/>
      </c>
      <c r="FF39" s="69" t="str">
        <f ca="1">IF(AND($C39="Goal",FF$8&gt;=$G39,FF$8&lt;=$G39+$H39-1),2,IF(AND($C39="Milestone",FF$8&gt;=$G39,FF$8&lt;=$G39+$H39-1),1,""))</f>
        <v/>
      </c>
      <c r="FG39" s="69" t="str">
        <f ca="1">IF(AND($C39="Goal",FG$8&gt;=$G39,FG$8&lt;=$G39+$H39-1),2,IF(AND($C39="Milestone",FG$8&gt;=$G39,FG$8&lt;=$G39+$H39-1),1,""))</f>
        <v/>
      </c>
      <c r="FH39" s="69" t="str">
        <f ca="1">IF(AND($C39="Goal",FH$8&gt;=$G39,FH$8&lt;=$G39+$H39-1),2,IF(AND($C39="Milestone",FH$8&gt;=$G39,FH$8&lt;=$G39+$H39-1),1,""))</f>
        <v/>
      </c>
      <c r="FI39" s="69" t="str">
        <f ca="1">IF(AND($C39="Goal",FI$8&gt;=$G39,FI$8&lt;=$G39+$H39-1),2,IF(AND($C39="Milestone",FI$8&gt;=$G39,FI$8&lt;=$G39+$H39-1),1,""))</f>
        <v/>
      </c>
      <c r="FJ39" s="69" t="str">
        <f ca="1">IF(AND($C39="Goal",FJ$8&gt;=$G39,FJ$8&lt;=$G39+$H39-1),2,IF(AND($C39="Milestone",FJ$8&gt;=$G39,FJ$8&lt;=$G39+$H39-1),1,""))</f>
        <v/>
      </c>
      <c r="FK39" s="69" t="str">
        <f ca="1">IF(AND($C39="Goal",FK$8&gt;=$G39,FK$8&lt;=$G39+$H39-1),2,IF(AND($C39="Milestone",FK$8&gt;=$G39,FK$8&lt;=$G39+$H39-1),1,""))</f>
        <v/>
      </c>
      <c r="FL39" s="69" t="str">
        <f ca="1">IF(AND($C39="Goal",FL$8&gt;=$G39,FL$8&lt;=$G39+$H39-1),2,IF(AND($C39="Milestone",FL$8&gt;=$G39,FL$8&lt;=$G39+$H39-1),1,""))</f>
        <v/>
      </c>
      <c r="FM39" s="69" t="str">
        <f ca="1">IF(AND($C39="Goal",FM$8&gt;=$G39,FM$8&lt;=$G39+$H39-1),2,IF(AND($C39="Milestone",FM$8&gt;=$G39,FM$8&lt;=$G39+$H39-1),1,""))</f>
        <v/>
      </c>
      <c r="FN39" s="69" t="str">
        <f ca="1">IF(AND($C39="Goal",FN$8&gt;=$G39,FN$8&lt;=$G39+$H39-1),2,IF(AND($C39="Milestone",FN$8&gt;=$G39,FN$8&lt;=$G39+$H39-1),1,""))</f>
        <v/>
      </c>
      <c r="FO39" s="69" t="str">
        <f ca="1">IF(AND($C39="Goal",FO$8&gt;=$G39,FO$8&lt;=$G39+$H39-1),2,IF(AND($C39="Milestone",FO$8&gt;=$G39,FO$8&lt;=$G39+$H39-1),1,""))</f>
        <v/>
      </c>
      <c r="FP39" s="69" t="str">
        <f ca="1">IF(AND($C39="Goal",FP$8&gt;=$G39,FP$8&lt;=$G39+$H39-1),2,IF(AND($C39="Milestone",FP$8&gt;=$G39,FP$8&lt;=$G39+$H39-1),1,""))</f>
        <v/>
      </c>
      <c r="FQ39" s="69" t="str">
        <f ca="1">IF(AND($C39="Goal",FQ$8&gt;=$G39,FQ$8&lt;=$G39+$H39-1),2,IF(AND($C39="Milestone",FQ$8&gt;=$G39,FQ$8&lt;=$G39+$H39-1),1,""))</f>
        <v/>
      </c>
      <c r="FR39" s="69" t="str">
        <f ca="1">IF(AND($C39="Goal",FR$8&gt;=$G39,FR$8&lt;=$G39+$H39-1),2,IF(AND($C39="Milestone",FR$8&gt;=$G39,FR$8&lt;=$G39+$H39-1),1,""))</f>
        <v/>
      </c>
      <c r="FS39" s="69" t="str">
        <f ca="1">IF(AND($C39="Goal",FS$8&gt;=$G39,FS$8&lt;=$G39+$H39-1),2,IF(AND($C39="Milestone",FS$8&gt;=$G39,FS$8&lt;=$G39+$H39-1),1,""))</f>
        <v/>
      </c>
      <c r="FT39" s="69" t="str">
        <f ca="1">IF(AND($C39="Goal",FT$8&gt;=$G39,FT$8&lt;=$G39+$H39-1),2,IF(AND($C39="Milestone",FT$8&gt;=$G39,FT$8&lt;=$G39+$H39-1),1,""))</f>
        <v/>
      </c>
      <c r="FU39" s="69" t="str">
        <f ca="1">IF(AND($C39="Goal",FU$8&gt;=$G39,FU$8&lt;=$G39+$H39-1),2,IF(AND($C39="Milestone",FU$8&gt;=$G39,FU$8&lt;=$G39+$H39-1),1,""))</f>
        <v/>
      </c>
      <c r="FV39" s="69" t="str">
        <f ca="1">IF(AND($C39="Goal",FV$8&gt;=$G39,FV$8&lt;=$G39+$H39-1),2,IF(AND($C39="Milestone",FV$8&gt;=$G39,FV$8&lt;=$G39+$H39-1),1,""))</f>
        <v/>
      </c>
      <c r="FW39" s="69" t="str">
        <f ca="1">IF(AND($C39="Goal",FW$8&gt;=$G39,FW$8&lt;=$G39+$H39-1),2,IF(AND($C39="Milestone",FW$8&gt;=$G39,FW$8&lt;=$G39+$H39-1),1,""))</f>
        <v/>
      </c>
      <c r="FX39" s="69" t="str">
        <f ca="1">IF(AND($C39="Goal",FX$8&gt;=$G39,FX$8&lt;=$G39+$H39-1),2,IF(AND($C39="Milestone",FX$8&gt;=$G39,FX$8&lt;=$G39+$H39-1),1,""))</f>
        <v/>
      </c>
      <c r="FY39" s="69" t="str">
        <f ca="1">IF(AND($C39="Goal",FY$8&gt;=$G39,FY$8&lt;=$G39+$H39-1),2,IF(AND($C39="Milestone",FY$8&gt;=$G39,FY$8&lt;=$G39+$H39-1),1,""))</f>
        <v/>
      </c>
      <c r="FZ39" s="69" t="str">
        <f ca="1">IF(AND($C39="Goal",FZ$8&gt;=$G39,FZ$8&lt;=$G39+$H39-1),2,IF(AND($C39="Milestone",FZ$8&gt;=$G39,FZ$8&lt;=$G39+$H39-1),1,""))</f>
        <v/>
      </c>
      <c r="GA39" s="69" t="str">
        <f ca="1">IF(AND($C39="Goal",GA$8&gt;=$G39,GA$8&lt;=$G39+$H39-1),2,IF(AND($C39="Milestone",GA$8&gt;=$G39,GA$8&lt;=$G39+$H39-1),1,""))</f>
        <v/>
      </c>
      <c r="GB39" s="69" t="str">
        <f ca="1">IF(AND($C39="Goal",GB$8&gt;=$G39,GB$8&lt;=$G39+$H39-1),2,IF(AND($C39="Milestone",GB$8&gt;=$G39,GB$8&lt;=$G39+$H39-1),1,""))</f>
        <v/>
      </c>
      <c r="GC39" s="69" t="str">
        <f ca="1">IF(AND($C39="Goal",GC$8&gt;=$G39,GC$8&lt;=$G39+$H39-1),2,IF(AND($C39="Milestone",GC$8&gt;=$G39,GC$8&lt;=$G39+$H39-1),1,""))</f>
        <v/>
      </c>
      <c r="GD39" s="69" t="str">
        <f ca="1">IF(AND($C39="Goal",GD$8&gt;=$G39,GD$8&lt;=$G39+$H39-1),2,IF(AND($C39="Milestone",GD$8&gt;=$G39,GD$8&lt;=$G39+$H39-1),1,""))</f>
        <v/>
      </c>
      <c r="GE39" s="69" t="str">
        <f ca="1">IF(AND($C39="Goal",GE$8&gt;=$G39,GE$8&lt;=$G39+$H39-1),2,IF(AND($C39="Milestone",GE$8&gt;=$G39,GE$8&lt;=$G39+$H39-1),1,""))</f>
        <v/>
      </c>
      <c r="GF39" s="69" t="str">
        <f ca="1">IF(AND($C39="Goal",GF$8&gt;=$G39,GF$8&lt;=$G39+$H39-1),2,IF(AND($C39="Milestone",GF$8&gt;=$G39,GF$8&lt;=$G39+$H39-1),1,""))</f>
        <v/>
      </c>
      <c r="GG39" s="69" t="str">
        <f ca="1">IF(AND($C39="Goal",GG$8&gt;=$G39,GG$8&lt;=$G39+$H39-1),2,IF(AND($C39="Milestone",GG$8&gt;=$G39,GG$8&lt;=$G39+$H39-1),1,""))</f>
        <v/>
      </c>
      <c r="GH39" s="69" t="str">
        <f ca="1">IF(AND($C39="Goal",GH$8&gt;=$G39,GH$8&lt;=$G39+$H39-1),2,IF(AND($C39="Milestone",GH$8&gt;=$G39,GH$8&lt;=$G39+$H39-1),1,""))</f>
        <v/>
      </c>
      <c r="GI39" s="69" t="str">
        <f ca="1">IF(AND($C39="Goal",GI$8&gt;=$G39,GI$8&lt;=$G39+$H39-1),2,IF(AND($C39="Milestone",GI$8&gt;=$G39,GI$8&lt;=$G39+$H39-1),1,""))</f>
        <v/>
      </c>
      <c r="GJ39" s="69" t="str">
        <f ca="1">IF(AND($C39="Goal",GJ$8&gt;=$G39,GJ$8&lt;=$G39+$H39-1),2,IF(AND($C39="Milestone",GJ$8&gt;=$G39,GJ$8&lt;=$G39+$H39-1),1,""))</f>
        <v/>
      </c>
      <c r="GK39" s="69" t="str">
        <f ca="1">IF(AND($C39="Goal",GK$8&gt;=$G39,GK$8&lt;=$G39+$H39-1),2,IF(AND($C39="Milestone",GK$8&gt;=$G39,GK$8&lt;=$G39+$H39-1),1,""))</f>
        <v/>
      </c>
      <c r="GL39" s="69" t="str">
        <f ca="1">IF(AND($C39="Goal",GL$8&gt;=$G39,GL$8&lt;=$G39+$H39-1),2,IF(AND($C39="Milestone",GL$8&gt;=$G39,GL$8&lt;=$G39+$H39-1),1,""))</f>
        <v/>
      </c>
      <c r="GM39" s="69" t="str">
        <f ca="1">IF(AND($C39="Goal",GM$8&gt;=$G39,GM$8&lt;=$G39+$H39-1),2,IF(AND($C39="Milestone",GM$8&gt;=$G39,GM$8&lt;=$G39+$H39-1),1,""))</f>
        <v/>
      </c>
      <c r="GN39" s="69" t="str">
        <f ca="1">IF(AND($C39="Goal",GN$8&gt;=$G39,GN$8&lt;=$G39+$H39-1),2,IF(AND($C39="Milestone",GN$8&gt;=$G39,GN$8&lt;=$G39+$H39-1),1,""))</f>
        <v/>
      </c>
      <c r="GO39" s="69" t="str">
        <f ca="1">IF(AND($C39="Goal",GO$8&gt;=$G39,GO$8&lt;=$G39+$H39-1),2,IF(AND($C39="Milestone",GO$8&gt;=$G39,GO$8&lt;=$G39+$H39-1),1,""))</f>
        <v/>
      </c>
      <c r="GP39" s="69" t="str">
        <f ca="1">IF(AND($C39="Goal",GP$8&gt;=$G39,GP$8&lt;=$G39+$H39-1),2,IF(AND($C39="Milestone",GP$8&gt;=$G39,GP$8&lt;=$G39+$H39-1),1,""))</f>
        <v/>
      </c>
      <c r="GQ39" s="69" t="str">
        <f ca="1">IF(AND($C39="Goal",GQ$8&gt;=$G39,GQ$8&lt;=$G39+$H39-1),2,IF(AND($C39="Milestone",GQ$8&gt;=$G39,GQ$8&lt;=$G39+$H39-1),1,""))</f>
        <v/>
      </c>
      <c r="GR39" s="69" t="str">
        <f ca="1">IF(AND($C39="Goal",GR$8&gt;=$G39,GR$8&lt;=$G39+$H39-1),2,IF(AND($C39="Milestone",GR$8&gt;=$G39,GR$8&lt;=$G39+$H39-1),1,""))</f>
        <v/>
      </c>
      <c r="GS39" s="69" t="str">
        <f ca="1">IF(AND($C39="Goal",GS$8&gt;=$G39,GS$8&lt;=$G39+$H39-1),2,IF(AND($C39="Milestone",GS$8&gt;=$G39,GS$8&lt;=$G39+$H39-1),1,""))</f>
        <v/>
      </c>
      <c r="GT39" s="69" t="str">
        <f ca="1">IF(AND($C39="Goal",GT$8&gt;=$G39,GT$8&lt;=$G39+$H39-1),2,IF(AND($C39="Milestone",GT$8&gt;=$G39,GT$8&lt;=$G39+$H39-1),1,""))</f>
        <v/>
      </c>
      <c r="GU39" s="69" t="str">
        <f ca="1">IF(AND($C39="Goal",GU$8&gt;=$G39,GU$8&lt;=$G39+$H39-1),2,IF(AND($C39="Milestone",GU$8&gt;=$G39,GU$8&lt;=$G39+$H39-1),1,""))</f>
        <v/>
      </c>
      <c r="GV39" s="69" t="str">
        <f ca="1">IF(AND($C39="Goal",GV$8&gt;=$G39,GV$8&lt;=$G39+$H39-1),2,IF(AND($C39="Milestone",GV$8&gt;=$G39,GV$8&lt;=$G39+$H39-1),1,""))</f>
        <v/>
      </c>
      <c r="GW39" s="69" t="str">
        <f ca="1">IF(AND($C39="Goal",GW$8&gt;=$G39,GW$8&lt;=$G39+$H39-1),2,IF(AND($C39="Milestone",GW$8&gt;=$G39,GW$8&lt;=$G39+$H39-1),1,""))</f>
        <v/>
      </c>
      <c r="GX39" s="69" t="str">
        <f ca="1">IF(AND($C39="Goal",GX$8&gt;=$G39,GX$8&lt;=$G39+$H39-1),2,IF(AND($C39="Milestone",GX$8&gt;=$G39,GX$8&lt;=$G39+$H39-1),1,""))</f>
        <v/>
      </c>
      <c r="GY39" s="69" t="str">
        <f ca="1">IF(AND($C39="Goal",GY$8&gt;=$G39,GY$8&lt;=$G39+$H39-1),2,IF(AND($C39="Milestone",GY$8&gt;=$G39,GY$8&lt;=$G39+$H39-1),1,""))</f>
        <v/>
      </c>
      <c r="GZ39" s="69" t="str">
        <f ca="1">IF(AND($C39="Goal",GZ$8&gt;=$G39,GZ$8&lt;=$G39+$H39-1),2,IF(AND($C39="Milestone",GZ$8&gt;=$G39,GZ$8&lt;=$G39+$H39-1),1,""))</f>
        <v/>
      </c>
      <c r="HA39" s="69" t="str">
        <f ca="1">IF(AND($C39="Goal",HA$8&gt;=$G39,HA$8&lt;=$G39+$H39-1),2,IF(AND($C39="Milestone",HA$8&gt;=$G39,HA$8&lt;=$G39+$H39-1),1,""))</f>
        <v/>
      </c>
      <c r="HB39" s="69" t="str">
        <f ca="1">IF(AND($C39="Goal",HB$8&gt;=$G39,HB$8&lt;=$G39+$H39-1),2,IF(AND($C39="Milestone",HB$8&gt;=$G39,HB$8&lt;=$G39+$H39-1),1,""))</f>
        <v/>
      </c>
      <c r="HC39" s="69" t="str">
        <f ca="1">IF(AND($C39="Goal",HC$8&gt;=$G39,HC$8&lt;=$G39+$H39-1),2,IF(AND($C39="Milestone",HC$8&gt;=$G39,HC$8&lt;=$G39+$H39-1),1,""))</f>
        <v/>
      </c>
      <c r="HD39" s="69" t="str">
        <f ca="1">IF(AND($C39="Goal",HD$8&gt;=$G39,HD$8&lt;=$G39+$H39-1),2,IF(AND($C39="Milestone",HD$8&gt;=$G39,HD$8&lt;=$G39+$H39-1),1,""))</f>
        <v/>
      </c>
      <c r="HE39" s="69" t="str">
        <f ca="1">IF(AND($C39="Goal",HE$8&gt;=$G39,HE$8&lt;=$G39+$H39-1),2,IF(AND($C39="Milestone",HE$8&gt;=$G39,HE$8&lt;=$G39+$H39-1),1,""))</f>
        <v/>
      </c>
      <c r="HF39" s="69" t="str">
        <f ca="1">IF(AND($C39="Goal",HF$8&gt;=$G39,HF$8&lt;=$G39+$H39-1),2,IF(AND($C39="Milestone",HF$8&gt;=$G39,HF$8&lt;=$G39+$H39-1),1,""))</f>
        <v/>
      </c>
      <c r="HG39" s="69" t="str">
        <f ca="1">IF(AND($C39="Goal",HG$8&gt;=$G39,HG$8&lt;=$G39+$H39-1),2,IF(AND($C39="Milestone",HG$8&gt;=$G39,HG$8&lt;=$G39+$H39-1),1,""))</f>
        <v/>
      </c>
      <c r="HH39" s="69" t="str">
        <f ca="1">IF(AND($C39="Goal",HH$8&gt;=$G39,HH$8&lt;=$G39+$H39-1),2,IF(AND($C39="Milestone",HH$8&gt;=$G39,HH$8&lt;=$G39+$H39-1),1,""))</f>
        <v/>
      </c>
      <c r="HI39" s="69" t="str">
        <f ca="1">IF(AND($C39="Goal",HI$8&gt;=$G39,HI$8&lt;=$G39+$H39-1),2,IF(AND($C39="Milestone",HI$8&gt;=$G39,HI$8&lt;=$G39+$H39-1),1,""))</f>
        <v/>
      </c>
      <c r="HJ39" s="69" t="str">
        <f ca="1">IF(AND($C39="Goal",HJ$8&gt;=$G39,HJ$8&lt;=$G39+$H39-1),2,IF(AND($C39="Milestone",HJ$8&gt;=$G39,HJ$8&lt;=$G39+$H39-1),1,""))</f>
        <v/>
      </c>
      <c r="HK39" s="69" t="str">
        <f ca="1">IF(AND($C39="Goal",HK$8&gt;=$G39,HK$8&lt;=$G39+$H39-1),2,IF(AND($C39="Milestone",HK$8&gt;=$G39,HK$8&lt;=$G39+$H39-1),1,""))</f>
        <v/>
      </c>
      <c r="HL39" s="69" t="str">
        <f ca="1">IF(AND($C39="Goal",HL$8&gt;=$G39,HL$8&lt;=$G39+$H39-1),2,IF(AND($C39="Milestone",HL$8&gt;=$G39,HL$8&lt;=$G39+$H39-1),1,""))</f>
        <v/>
      </c>
      <c r="HM39" s="69" t="str">
        <f ca="1">IF(AND($C39="Goal",HM$8&gt;=$G39,HM$8&lt;=$G39+$H39-1),2,IF(AND($C39="Milestone",HM$8&gt;=$G39,HM$8&lt;=$G39+$H39-1),1,""))</f>
        <v/>
      </c>
      <c r="HN39" s="69" t="str">
        <f ca="1">IF(AND($C39="Goal",HN$8&gt;=$G39,HN$8&lt;=$G39+$H39-1),2,IF(AND($C39="Milestone",HN$8&gt;=$G39,HN$8&lt;=$G39+$H39-1),1,""))</f>
        <v/>
      </c>
      <c r="HO39" s="69" t="str">
        <f ca="1">IF(AND($C39="Goal",HO$8&gt;=$G39,HO$8&lt;=$G39+$H39-1),2,IF(AND($C39="Milestone",HO$8&gt;=$G39,HO$8&lt;=$G39+$H39-1),1,""))</f>
        <v/>
      </c>
      <c r="HP39" s="69" t="str">
        <f ca="1">IF(AND($C39="Goal",HP$8&gt;=$G39,HP$8&lt;=$G39+$H39-1),2,IF(AND($C39="Milestone",HP$8&gt;=$G39,HP$8&lt;=$G39+$H39-1),1,""))</f>
        <v/>
      </c>
      <c r="HQ39" s="69" t="str">
        <f ca="1">IF(AND($C39="Goal",HQ$8&gt;=$G39,HQ$8&lt;=$G39+$H39-1),2,IF(AND($C39="Milestone",HQ$8&gt;=$G39,HQ$8&lt;=$G39+$H39-1),1,""))</f>
        <v/>
      </c>
      <c r="HR39" s="69" t="str">
        <f ca="1">IF(AND($C39="Goal",HR$8&gt;=$G39,HR$8&lt;=$G39+$H39-1),2,IF(AND($C39="Milestone",HR$8&gt;=$G39,HR$8&lt;=$G39+$H39-1),1,""))</f>
        <v/>
      </c>
      <c r="HS39" s="69" t="str">
        <f ca="1">IF(AND($C39="Goal",HS$8&gt;=$G39,HS$8&lt;=$G39+$H39-1),2,IF(AND($C39="Milestone",HS$8&gt;=$G39,HS$8&lt;=$G39+$H39-1),1,""))</f>
        <v/>
      </c>
      <c r="HT39" s="69" t="str">
        <f ca="1">IF(AND($C39="Goal",HT$8&gt;=$G39,HT$8&lt;=$G39+$H39-1),2,IF(AND($C39="Milestone",HT$8&gt;=$G39,HT$8&lt;=$G39+$H39-1),1,""))</f>
        <v/>
      </c>
      <c r="HU39" s="69" t="str">
        <f ca="1">IF(AND($C39="Goal",HU$8&gt;=$G39,HU$8&lt;=$G39+$H39-1),2,IF(AND($C39="Milestone",HU$8&gt;=$G39,HU$8&lt;=$G39+$H39-1),1,""))</f>
        <v/>
      </c>
      <c r="HV39" s="69" t="str">
        <f ca="1">IF(AND($C39="Goal",HV$8&gt;=$G39,HV$8&lt;=$G39+$H39-1),2,IF(AND($C39="Milestone",HV$8&gt;=$G39,HV$8&lt;=$G39+$H39-1),1,""))</f>
        <v/>
      </c>
      <c r="HW39" s="69" t="str">
        <f ca="1">IF(AND($C39="Goal",HW$8&gt;=$G39,HW$8&lt;=$G39+$H39-1),2,IF(AND($C39="Milestone",HW$8&gt;=$G39,HW$8&lt;=$G39+$H39-1),1,""))</f>
        <v/>
      </c>
      <c r="HX39" s="69" t="str">
        <f ca="1">IF(AND($C39="Goal",HX$8&gt;=$G39,HX$8&lt;=$G39+$H39-1),2,IF(AND($C39="Milestone",HX$8&gt;=$G39,HX$8&lt;=$G39+$H39-1),1,""))</f>
        <v/>
      </c>
      <c r="HY39" s="69" t="str">
        <f ca="1">IF(AND($C39="Goal",HY$8&gt;=$G39,HY$8&lt;=$G39+$H39-1),2,IF(AND($C39="Milestone",HY$8&gt;=$G39,HY$8&lt;=$G39+$H39-1),1,""))</f>
        <v/>
      </c>
      <c r="HZ39" s="69" t="str">
        <f ca="1">IF(AND($C39="Goal",HZ$8&gt;=$G39,HZ$8&lt;=$G39+$H39-1),2,IF(AND($C39="Milestone",HZ$8&gt;=$G39,HZ$8&lt;=$G39+$H39-1),1,""))</f>
        <v/>
      </c>
      <c r="IA39" s="69" t="str">
        <f ca="1">IF(AND($C39="Goal",IA$8&gt;=$G39,IA$8&lt;=$G39+$H39-1),2,IF(AND($C39="Milestone",IA$8&gt;=$G39,IA$8&lt;=$G39+$H39-1),1,""))</f>
        <v/>
      </c>
      <c r="IB39" s="69" t="str">
        <f ca="1">IF(AND($C39="Goal",IB$8&gt;=$G39,IB$8&lt;=$G39+$H39-1),2,IF(AND($C39="Milestone",IB$8&gt;=$G39,IB$8&lt;=$G39+$H39-1),1,""))</f>
        <v/>
      </c>
      <c r="IC39" s="69" t="str">
        <f ca="1">IF(AND($C39="Goal",IC$8&gt;=$G39,IC$8&lt;=$G39+$H39-1),2,IF(AND($C39="Milestone",IC$8&gt;=$G39,IC$8&lt;=$G39+$H39-1),1,""))</f>
        <v/>
      </c>
      <c r="ID39" s="69" t="str">
        <f ca="1">IF(AND($C39="Goal",ID$8&gt;=$G39,ID$8&lt;=$G39+$H39-1),2,IF(AND($C39="Milestone",ID$8&gt;=$G39,ID$8&lt;=$G39+$H39-1),1,""))</f>
        <v/>
      </c>
      <c r="IE39" s="69" t="str">
        <f ca="1">IF(AND($C39="Goal",IE$8&gt;=$G39,IE$8&lt;=$G39+$H39-1),2,IF(AND($C39="Milestone",IE$8&gt;=$G39,IE$8&lt;=$G39+$H39-1),1,""))</f>
        <v/>
      </c>
      <c r="IF39" s="69" t="str">
        <f ca="1">IF(AND($C39="Goal",IF$8&gt;=$G39,IF$8&lt;=$G39+$H39-1),2,IF(AND($C39="Milestone",IF$8&gt;=$G39,IF$8&lt;=$G39+$H39-1),1,""))</f>
        <v/>
      </c>
      <c r="IG39" s="69" t="str">
        <f ca="1">IF(AND($C39="Goal",IG$8&gt;=$G39,IG$8&lt;=$G39+$H39-1),2,IF(AND($C39="Milestone",IG$8&gt;=$G39,IG$8&lt;=$G39+$H39-1),1,""))</f>
        <v/>
      </c>
      <c r="IH39" s="69" t="str">
        <f ca="1">IF(AND($C39="Goal",IH$8&gt;=$G39,IH$8&lt;=$G39+$H39-1),2,IF(AND($C39="Milestone",IH$8&gt;=$G39,IH$8&lt;=$G39+$H39-1),1,""))</f>
        <v/>
      </c>
      <c r="II39" s="69" t="str">
        <f ca="1">IF(AND($C39="Goal",II$8&gt;=$G39,II$8&lt;=$G39+$H39-1),2,IF(AND($C39="Milestone",II$8&gt;=$G39,II$8&lt;=$G39+$H39-1),1,""))</f>
        <v/>
      </c>
      <c r="IJ39" s="69" t="str">
        <f ca="1">IF(AND($C39="Goal",IJ$8&gt;=$G39,IJ$8&lt;=$G39+$H39-1),2,IF(AND($C39="Milestone",IJ$8&gt;=$G39,IJ$8&lt;=$G39+$H39-1),1,""))</f>
        <v/>
      </c>
      <c r="IK39" s="69" t="str">
        <f ca="1">IF(AND($C39="Goal",IK$8&gt;=$G39,IK$8&lt;=$G39+$H39-1),2,IF(AND($C39="Milestone",IK$8&gt;=$G39,IK$8&lt;=$G39+$H39-1),1,""))</f>
        <v/>
      </c>
      <c r="IL39" s="69" t="str">
        <f ca="1">IF(AND($C39="Goal",IL$8&gt;=$G39,IL$8&lt;=$G39+$H39-1),2,IF(AND($C39="Milestone",IL$8&gt;=$G39,IL$8&lt;=$G39+$H39-1),1,""))</f>
        <v/>
      </c>
      <c r="IM39" s="69" t="str">
        <f ca="1">IF(AND($C39="Goal",IM$8&gt;=$G39,IM$8&lt;=$G39+$H39-1),2,IF(AND($C39="Milestone",IM$8&gt;=$G39,IM$8&lt;=$G39+$H39-1),1,""))</f>
        <v/>
      </c>
      <c r="IN39" s="69" t="str">
        <f ca="1">IF(AND($C39="Goal",IN$8&gt;=$G39,IN$8&lt;=$G39+$H39-1),2,IF(AND($C39="Milestone",IN$8&gt;=$G39,IN$8&lt;=$G39+$H39-1),1,""))</f>
        <v/>
      </c>
      <c r="IO39" s="69" t="str">
        <f ca="1">IF(AND($C39="Goal",IO$8&gt;=$G39,IO$8&lt;=$G39+$H39-1),2,IF(AND($C39="Milestone",IO$8&gt;=$G39,IO$8&lt;=$G39+$H39-1),1,""))</f>
        <v/>
      </c>
      <c r="IP39" s="69" t="str">
        <f ca="1">IF(AND($C39="Goal",IP$8&gt;=$G39,IP$8&lt;=$G39+$H39-1),2,IF(AND($C39="Milestone",IP$8&gt;=$G39,IP$8&lt;=$G39+$H39-1),1,""))</f>
        <v/>
      </c>
      <c r="IQ39" s="69" t="str">
        <f ca="1">IF(AND($C39="Goal",IQ$8&gt;=$G39,IQ$8&lt;=$G39+$H39-1),2,IF(AND($C39="Milestone",IQ$8&gt;=$G39,IQ$8&lt;=$G39+$H39-1),1,""))</f>
        <v/>
      </c>
      <c r="IR39" s="69" t="str">
        <f ca="1">IF(AND($C39="Goal",IR$8&gt;=$G39,IR$8&lt;=$G39+$H39-1),2,IF(AND($C39="Milestone",IR$8&gt;=$G39,IR$8&lt;=$G39+$H39-1),1,""))</f>
        <v/>
      </c>
      <c r="IS39" s="69" t="str">
        <f ca="1">IF(AND($C39="Goal",IS$8&gt;=$G39,IS$8&lt;=$G39+$H39-1),2,IF(AND($C39="Milestone",IS$8&gt;=$G39,IS$8&lt;=$G39+$H39-1),1,""))</f>
        <v/>
      </c>
      <c r="IT39" s="69" t="str">
        <f ca="1">IF(AND($C39="Goal",IT$8&gt;=$G39,IT$8&lt;=$G39+$H39-1),2,IF(AND($C39="Milestone",IT$8&gt;=$G39,IT$8&lt;=$G39+$H39-1),1,""))</f>
        <v/>
      </c>
      <c r="IU39" s="69" t="str">
        <f ca="1">IF(AND($C39="Goal",IU$8&gt;=$G39,IU$8&lt;=$G39+$H39-1),2,IF(AND($C39="Milestone",IU$8&gt;=$G39,IU$8&lt;=$G39+$H39-1),1,""))</f>
        <v/>
      </c>
      <c r="IV39" s="69" t="str">
        <f ca="1">IF(AND($C39="Goal",IV$8&gt;=$G39,IV$8&lt;=$G39+$H39-1),2,IF(AND($C39="Milestone",IV$8&gt;=$G39,IV$8&lt;=$G39+$H39-1),1,""))</f>
        <v/>
      </c>
      <c r="IW39" s="69" t="str">
        <f ca="1">IF(AND($C39="Goal",IW$8&gt;=$G39,IW$8&lt;=$G39+$H39-1),2,IF(AND($C39="Milestone",IW$8&gt;=$G39,IW$8&lt;=$G39+$H39-1),1,""))</f>
        <v/>
      </c>
      <c r="IX39" s="69" t="str">
        <f ca="1">IF(AND($C39="Goal",IX$8&gt;=$G39,IX$8&lt;=$G39+$H39-1),2,IF(AND($C39="Milestone",IX$8&gt;=$G39,IX$8&lt;=$G39+$H39-1),1,""))</f>
        <v/>
      </c>
      <c r="IY39" s="69" t="str">
        <f ca="1">IF(AND($C39="Goal",IY$8&gt;=$G39,IY$8&lt;=$G39+$H39-1),2,IF(AND($C39="Milestone",IY$8&gt;=$G39,IY$8&lt;=$G39+$H39-1),1,""))</f>
        <v/>
      </c>
      <c r="IZ39" s="69" t="str">
        <f ca="1">IF(AND($C39="Goal",IZ$8&gt;=$G39,IZ$8&lt;=$G39+$H39-1),2,IF(AND($C39="Milestone",IZ$8&gt;=$G39,IZ$8&lt;=$G39+$H39-1),1,""))</f>
        <v/>
      </c>
      <c r="JA39" s="69" t="str">
        <f ca="1">IF(AND($C39="Goal",JA$8&gt;=$G39,JA$8&lt;=$G39+$H39-1),2,IF(AND($C39="Milestone",JA$8&gt;=$G39,JA$8&lt;=$G39+$H39-1),1,""))</f>
        <v/>
      </c>
      <c r="JB39" s="69" t="str">
        <f ca="1">IF(AND($C39="Goal",JB$8&gt;=$G39,JB$8&lt;=$G39+$H39-1),2,IF(AND($C39="Milestone",JB$8&gt;=$G39,JB$8&lt;=$G39+$H39-1),1,""))</f>
        <v/>
      </c>
      <c r="JC39" s="69" t="str">
        <f ca="1">IF(AND($C39="Goal",JC$8&gt;=$G39,JC$8&lt;=$G39+$H39-1),2,IF(AND($C39="Milestone",JC$8&gt;=$G39,JC$8&lt;=$G39+$H39-1),1,""))</f>
        <v/>
      </c>
      <c r="JD39" s="69" t="str">
        <f ca="1">IF(AND($C39="Goal",JD$8&gt;=$G39,JD$8&lt;=$G39+$H39-1),2,IF(AND($C39="Milestone",JD$8&gt;=$G39,JD$8&lt;=$G39+$H39-1),1,""))</f>
        <v/>
      </c>
      <c r="JE39" s="69" t="str">
        <f ca="1">IF(AND($C39="Goal",JE$8&gt;=$G39,JE$8&lt;=$G39+$H39-1),2,IF(AND($C39="Milestone",JE$8&gt;=$G39,JE$8&lt;=$G39+$H39-1),1,""))</f>
        <v/>
      </c>
      <c r="JF39" s="69" t="str">
        <f ca="1">IF(AND($C39="Goal",JF$8&gt;=$G39,JF$8&lt;=$G39+$H39-1),2,IF(AND($C39="Milestone",JF$8&gt;=$G39,JF$8&lt;=$G39+$H39-1),1,""))</f>
        <v/>
      </c>
      <c r="JG39" s="69" t="str">
        <f ca="1">IF(AND($C39="Goal",JG$8&gt;=$G39,JG$8&lt;=$G39+$H39-1),2,IF(AND($C39="Milestone",JG$8&gt;=$G39,JG$8&lt;=$G39+$H39-1),1,""))</f>
        <v/>
      </c>
      <c r="JH39" s="69" t="str">
        <f ca="1">IF(AND($C39="Goal",JH$8&gt;=$G39,JH$8&lt;=$G39+$H39-1),2,IF(AND($C39="Milestone",JH$8&gt;=$G39,JH$8&lt;=$G39+$H39-1),1,""))</f>
        <v/>
      </c>
      <c r="JI39" s="69" t="str">
        <f ca="1">IF(AND($C39="Goal",JI$8&gt;=$G39,JI$8&lt;=$G39+$H39-1),2,IF(AND($C39="Milestone",JI$8&gt;=$G39,JI$8&lt;=$G39+$H39-1),1,""))</f>
        <v/>
      </c>
      <c r="JJ39" s="69" t="str">
        <f ca="1">IF(AND($C39="Goal",JJ$8&gt;=$G39,JJ$8&lt;=$G39+$H39-1),2,IF(AND($C39="Milestone",JJ$8&gt;=$G39,JJ$8&lt;=$G39+$H39-1),1,""))</f>
        <v/>
      </c>
      <c r="JK39" s="69" t="str">
        <f ca="1">IF(AND($C39="Goal",JK$8&gt;=$G39,JK$8&lt;=$G39+$H39-1),2,IF(AND($C39="Milestone",JK$8&gt;=$G39,JK$8&lt;=$G39+$H39-1),1,""))</f>
        <v/>
      </c>
      <c r="JL39" s="69" t="str">
        <f ca="1">IF(AND($C39="Goal",JL$8&gt;=$G39,JL$8&lt;=$G39+$H39-1),2,IF(AND($C39="Milestone",JL$8&gt;=$G39,JL$8&lt;=$G39+$H39-1),1,""))</f>
        <v/>
      </c>
      <c r="JM39" s="69" t="str">
        <f ca="1">IF(AND($C39="Goal",JM$8&gt;=$G39,JM$8&lt;=$G39+$H39-1),2,IF(AND($C39="Milestone",JM$8&gt;=$G39,JM$8&lt;=$G39+$H39-1),1,""))</f>
        <v/>
      </c>
      <c r="JN39" s="69" t="str">
        <f ca="1">IF(AND($C39="Goal",JN$8&gt;=$G39,JN$8&lt;=$G39+$H39-1),2,IF(AND($C39="Milestone",JN$8&gt;=$G39,JN$8&lt;=$G39+$H39-1),1,""))</f>
        <v/>
      </c>
      <c r="JO39" s="69" t="str">
        <f ca="1">IF(AND($C39="Goal",JO$8&gt;=$G39,JO$8&lt;=$G39+$H39-1),2,IF(AND($C39="Milestone",JO$8&gt;=$G39,JO$8&lt;=$G39+$H39-1),1,""))</f>
        <v/>
      </c>
      <c r="JP39" s="69" t="str">
        <f ca="1">IF(AND($C39="Goal",JP$8&gt;=$G39,JP$8&lt;=$G39+$H39-1),2,IF(AND($C39="Milestone",JP$8&gt;=$G39,JP$8&lt;=$G39+$H39-1),1,""))</f>
        <v/>
      </c>
      <c r="JQ39" s="69" t="str">
        <f ca="1">IF(AND($C39="Goal",JQ$8&gt;=$G39,JQ$8&lt;=$G39+$H39-1),2,IF(AND($C39="Milestone",JQ$8&gt;=$G39,JQ$8&lt;=$G39+$H39-1),1,""))</f>
        <v/>
      </c>
      <c r="JR39" s="69" t="str">
        <f ca="1">IF(AND($C39="Goal",JR$8&gt;=$G39,JR$8&lt;=$G39+$H39-1),2,IF(AND($C39="Milestone",JR$8&gt;=$G39,JR$8&lt;=$G39+$H39-1),1,""))</f>
        <v/>
      </c>
      <c r="JS39" s="69" t="str">
        <f ca="1">IF(AND($C39="Goal",JS$8&gt;=$G39,JS$8&lt;=$G39+$H39-1),2,IF(AND($C39="Milestone",JS$8&gt;=$G39,JS$8&lt;=$G39+$H39-1),1,""))</f>
        <v/>
      </c>
      <c r="JT39" s="69" t="str">
        <f ca="1">IF(AND($C39="Goal",JT$8&gt;=$G39,JT$8&lt;=$G39+$H39-1),2,IF(AND($C39="Milestone",JT$8&gt;=$G39,JT$8&lt;=$G39+$H39-1),1,""))</f>
        <v/>
      </c>
      <c r="JU39" s="69" t="str">
        <f ca="1">IF(AND($C39="Goal",JU$8&gt;=$G39,JU$8&lt;=$G39+$H39-1),2,IF(AND($C39="Milestone",JU$8&gt;=$G39,JU$8&lt;=$G39+$H39-1),1,""))</f>
        <v/>
      </c>
      <c r="JV39" s="69" t="str">
        <f ca="1">IF(AND($C39="Goal",JV$8&gt;=$G39,JV$8&lt;=$G39+$H39-1),2,IF(AND($C39="Milestone",JV$8&gt;=$G39,JV$8&lt;=$G39+$H39-1),1,""))</f>
        <v/>
      </c>
      <c r="JW39" s="69" t="str">
        <f ca="1">IF(AND($C39="Goal",JW$8&gt;=$G39,JW$8&lt;=$G39+$H39-1),2,IF(AND($C39="Milestone",JW$8&gt;=$G39,JW$8&lt;=$G39+$H39-1),1,""))</f>
        <v/>
      </c>
      <c r="JX39" s="69" t="str">
        <f ca="1">IF(AND($C39="Goal",JX$8&gt;=$G39,JX$8&lt;=$G39+$H39-1),2,IF(AND($C39="Milestone",JX$8&gt;=$G39,JX$8&lt;=$G39+$H39-1),1,""))</f>
        <v/>
      </c>
      <c r="JY39" s="69" t="str">
        <f ca="1">IF(AND($C39="Goal",JY$8&gt;=$G39,JY$8&lt;=$G39+$H39-1),2,IF(AND($C39="Milestone",JY$8&gt;=$G39,JY$8&lt;=$G39+$H39-1),1,""))</f>
        <v/>
      </c>
      <c r="JZ39" s="69" t="str">
        <f ca="1">IF(AND($C39="Goal",JZ$8&gt;=$G39,JZ$8&lt;=$G39+$H39-1),2,IF(AND($C39="Milestone",JZ$8&gt;=$G39,JZ$8&lt;=$G39+$H39-1),1,""))</f>
        <v/>
      </c>
      <c r="KA39" s="69" t="str">
        <f ca="1">IF(AND($C39="Goal",KA$8&gt;=$G39,KA$8&lt;=$G39+$H39-1),2,IF(AND($C39="Milestone",KA$8&gt;=$G39,KA$8&lt;=$G39+$H39-1),1,""))</f>
        <v/>
      </c>
      <c r="KB39" s="69" t="str">
        <f ca="1">IF(AND($C39="Goal",KB$8&gt;=$G39,KB$8&lt;=$G39+$H39-1),2,IF(AND($C39="Milestone",KB$8&gt;=$G39,KB$8&lt;=$G39+$H39-1),1,""))</f>
        <v/>
      </c>
      <c r="KC39" s="69" t="str">
        <f ca="1">IF(AND($C39="Goal",KC$8&gt;=$G39,KC$8&lt;=$G39+$H39-1),2,IF(AND($C39="Milestone",KC$8&gt;=$G39,KC$8&lt;=$G39+$H39-1),1,""))</f>
        <v/>
      </c>
      <c r="KD39" s="69" t="str">
        <f ca="1">IF(AND($C39="Goal",KD$8&gt;=$G39,KD$8&lt;=$G39+$H39-1),2,IF(AND($C39="Milestone",KD$8&gt;=$G39,KD$8&lt;=$G39+$H39-1),1,""))</f>
        <v/>
      </c>
      <c r="KE39" s="69" t="str">
        <f ca="1">IF(AND($C39="Goal",KE$8&gt;=$G39,KE$8&lt;=$G39+$H39-1),2,IF(AND($C39="Milestone",KE$8&gt;=$G39,KE$8&lt;=$G39+$H39-1),1,""))</f>
        <v/>
      </c>
      <c r="KF39" s="69" t="str">
        <f ca="1">IF(AND($C39="Goal",KF$8&gt;=$G39,KF$8&lt;=$G39+$H39-1),2,IF(AND($C39="Milestone",KF$8&gt;=$G39,KF$8&lt;=$G39+$H39-1),1,""))</f>
        <v/>
      </c>
      <c r="KG39" s="69" t="str">
        <f ca="1">IF(AND($C39="Goal",KG$8&gt;=$G39,KG$8&lt;=$G39+$H39-1),2,IF(AND($C39="Milestone",KG$8&gt;=$G39,KG$8&lt;=$G39+$H39-1),1,""))</f>
        <v/>
      </c>
      <c r="KH39" s="69" t="str">
        <f ca="1">IF(AND($C39="Goal",KH$8&gt;=$G39,KH$8&lt;=$G39+$H39-1),2,IF(AND($C39="Milestone",KH$8&gt;=$G39,KH$8&lt;=$G39+$H39-1),1,""))</f>
        <v/>
      </c>
      <c r="KI39" s="69" t="str">
        <f ca="1">IF(AND($C39="Goal",KI$8&gt;=$G39,KI$8&lt;=$G39+$H39-1),2,IF(AND($C39="Milestone",KI$8&gt;=$G39,KI$8&lt;=$G39+$H39-1),1,""))</f>
        <v/>
      </c>
      <c r="KJ39" s="69" t="str">
        <f ca="1">IF(AND($C39="Goal",KJ$8&gt;=$G39,KJ$8&lt;=$G39+$H39-1),2,IF(AND($C39="Milestone",KJ$8&gt;=$G39,KJ$8&lt;=$G39+$H39-1),1,""))</f>
        <v/>
      </c>
      <c r="KK39" s="69" t="str">
        <f ca="1">IF(AND($C39="Goal",KK$8&gt;=$G39,KK$8&lt;=$G39+$H39-1),2,IF(AND($C39="Milestone",KK$8&gt;=$G39,KK$8&lt;=$G39+$H39-1),1,""))</f>
        <v/>
      </c>
      <c r="KL39" s="69" t="str">
        <f ca="1">IF(AND($C39="Goal",KL$8&gt;=$G39,KL$8&lt;=$G39+$H39-1),2,IF(AND($C39="Milestone",KL$8&gt;=$G39,KL$8&lt;=$G39+$H39-1),1,""))</f>
        <v/>
      </c>
      <c r="KM39" s="69" t="str">
        <f ca="1">IF(AND($C39="Goal",KM$8&gt;=$G39,KM$8&lt;=$G39+$H39-1),2,IF(AND($C39="Milestone",KM$8&gt;=$G39,KM$8&lt;=$G39+$H39-1),1,""))</f>
        <v/>
      </c>
      <c r="KN39" s="69" t="str">
        <f ca="1">IF(AND($C39="Goal",KN$8&gt;=$G39,KN$8&lt;=$G39+$H39-1),2,IF(AND($C39="Milestone",KN$8&gt;=$G39,KN$8&lt;=$G39+$H39-1),1,""))</f>
        <v/>
      </c>
      <c r="KO39" s="69" t="str">
        <f ca="1">IF(AND($C39="Goal",KO$8&gt;=$G39,KO$8&lt;=$G39+$H39-1),2,IF(AND($C39="Milestone",KO$8&gt;=$G39,KO$8&lt;=$G39+$H39-1),1,""))</f>
        <v/>
      </c>
      <c r="KP39" s="69" t="str">
        <f ca="1">IF(AND($C39="Goal",KP$8&gt;=$G39,KP$8&lt;=$G39+$H39-1),2,IF(AND($C39="Milestone",KP$8&gt;=$G39,KP$8&lt;=$G39+$H39-1),1,""))</f>
        <v/>
      </c>
      <c r="KQ39" s="69" t="str">
        <f ca="1">IF(AND($C39="Goal",KQ$8&gt;=$G39,KQ$8&lt;=$G39+$H39-1),2,IF(AND($C39="Milestone",KQ$8&gt;=$G39,KQ$8&lt;=$G39+$H39-1),1,""))</f>
        <v/>
      </c>
      <c r="KR39" s="69" t="str">
        <f ca="1">IF(AND($C39="Goal",KR$8&gt;=$G39,KR$8&lt;=$G39+$H39-1),2,IF(AND($C39="Milestone",KR$8&gt;=$G39,KR$8&lt;=$G39+$H39-1),1,""))</f>
        <v/>
      </c>
      <c r="KS39" s="69" t="str">
        <f ca="1">IF(AND($C39="Goal",KS$8&gt;=$G39,KS$8&lt;=$G39+$H39-1),2,IF(AND($C39="Milestone",KS$8&gt;=$G39,KS$8&lt;=$G39+$H39-1),1,""))</f>
        <v/>
      </c>
      <c r="KT39" s="69" t="str">
        <f ca="1">IF(AND($C39="Goal",KT$8&gt;=$G39,KT$8&lt;=$G39+$H39-1),2,IF(AND($C39="Milestone",KT$8&gt;=$G39,KT$8&lt;=$G39+$H39-1),1,""))</f>
        <v/>
      </c>
      <c r="KU39" s="69" t="str">
        <f ca="1">IF(AND($C39="Goal",KU$8&gt;=$G39,KU$8&lt;=$G39+$H39-1),2,IF(AND($C39="Milestone",KU$8&gt;=$G39,KU$8&lt;=$G39+$H39-1),1,""))</f>
        <v/>
      </c>
      <c r="KV39" s="69" t="str">
        <f ca="1">IF(AND($C39="Goal",KV$8&gt;=$G39,KV$8&lt;=$G39+$H39-1),2,IF(AND($C39="Milestone",KV$8&gt;=$G39,KV$8&lt;=$G39+$H39-1),1,""))</f>
        <v/>
      </c>
      <c r="KW39" s="69" t="str">
        <f ca="1">IF(AND($C39="Goal",KW$8&gt;=$G39,KW$8&lt;=$G39+$H39-1),2,IF(AND($C39="Milestone",KW$8&gt;=$G39,KW$8&lt;=$G39+$H39-1),1,""))</f>
        <v/>
      </c>
      <c r="KX39" s="69" t="str">
        <f ca="1">IF(AND($C39="Goal",KX$8&gt;=$G39,KX$8&lt;=$G39+$H39-1),2,IF(AND($C39="Milestone",KX$8&gt;=$G39,KX$8&lt;=$G39+$H39-1),1,""))</f>
        <v/>
      </c>
      <c r="KY39" s="69" t="str">
        <f ca="1">IF(AND($C39="Goal",KY$8&gt;=$G39,KY$8&lt;=$G39+$H39-1),2,IF(AND($C39="Milestone",KY$8&gt;=$G39,KY$8&lt;=$G39+$H39-1),1,""))</f>
        <v/>
      </c>
      <c r="KZ39" s="69" t="str">
        <f ca="1">IF(AND($C39="Goal",KZ$8&gt;=$G39,KZ$8&lt;=$G39+$H39-1),2,IF(AND($C39="Milestone",KZ$8&gt;=$G39,KZ$8&lt;=$G39+$H39-1),1,""))</f>
        <v/>
      </c>
      <c r="LA39" s="69" t="str">
        <f ca="1">IF(AND($C39="Goal",LA$8&gt;=$G39,LA$8&lt;=$G39+$H39-1),2,IF(AND($C39="Milestone",LA$8&gt;=$G39,LA$8&lt;=$G39+$H39-1),1,""))</f>
        <v/>
      </c>
      <c r="LB39" s="69" t="str">
        <f ca="1">IF(AND($C39="Goal",LB$8&gt;=$G39,LB$8&lt;=$G39+$H39-1),2,IF(AND($C39="Milestone",LB$8&gt;=$G39,LB$8&lt;=$G39+$H39-1),1,""))</f>
        <v/>
      </c>
      <c r="LC39" s="69" t="str">
        <f ca="1">IF(AND($C39="Goal",LC$8&gt;=$G39,LC$8&lt;=$G39+$H39-1),2,IF(AND($C39="Milestone",LC$8&gt;=$G39,LC$8&lt;=$G39+$H39-1),1,""))</f>
        <v/>
      </c>
      <c r="LD39" s="69" t="str">
        <f ca="1">IF(AND($C39="Goal",LD$8&gt;=$G39,LD$8&lt;=$G39+$H39-1),2,IF(AND($C39="Milestone",LD$8&gt;=$G39,LD$8&lt;=$G39+$H39-1),1,""))</f>
        <v/>
      </c>
      <c r="LE39" s="69" t="str">
        <f ca="1">IF(AND($C39="Goal",LE$8&gt;=$G39,LE$8&lt;=$G39+$H39-1),2,IF(AND($C39="Milestone",LE$8&gt;=$G39,LE$8&lt;=$G39+$H39-1),1,""))</f>
        <v/>
      </c>
      <c r="LF39" s="69" t="str">
        <f ca="1">IF(AND($C39="Goal",LF$8&gt;=$G39,LF$8&lt;=$G39+$H39-1),2,IF(AND($C39="Milestone",LF$8&gt;=$G39,LF$8&lt;=$G39+$H39-1),1,""))</f>
        <v/>
      </c>
      <c r="LG39" s="69" t="str">
        <f ca="1">IF(AND($C39="Goal",LG$8&gt;=$G39,LG$8&lt;=$G39+$H39-1),2,IF(AND($C39="Milestone",LG$8&gt;=$G39,LG$8&lt;=$G39+$H39-1),1,""))</f>
        <v/>
      </c>
      <c r="LH39" s="69" t="str">
        <f ca="1">IF(AND($C39="Goal",LH$8&gt;=$G39,LH$8&lt;=$G39+$H39-1),2,IF(AND($C39="Milestone",LH$8&gt;=$G39,LH$8&lt;=$G39+$H39-1),1,""))</f>
        <v/>
      </c>
      <c r="LI39" s="69" t="str">
        <f ca="1">IF(AND($C39="Goal",LI$8&gt;=$G39,LI$8&lt;=$G39+$H39-1),2,IF(AND($C39="Milestone",LI$8&gt;=$G39,LI$8&lt;=$G39+$H39-1),1,""))</f>
        <v/>
      </c>
      <c r="LJ39" s="69" t="str">
        <f ca="1">IF(AND($C39="Goal",LJ$8&gt;=$G39,LJ$8&lt;=$G39+$H39-1),2,IF(AND($C39="Milestone",LJ$8&gt;=$G39,LJ$8&lt;=$G39+$H39-1),1,""))</f>
        <v/>
      </c>
      <c r="LK39" s="69" t="str">
        <f ca="1">IF(AND($C39="Goal",LK$8&gt;=$G39,LK$8&lt;=$G39+$H39-1),2,IF(AND($C39="Milestone",LK$8&gt;=$G39,LK$8&lt;=$G39+$H39-1),1,""))</f>
        <v/>
      </c>
      <c r="LL39" s="69" t="str">
        <f ca="1">IF(AND($C39="Goal",LL$8&gt;=$G39,LL$8&lt;=$G39+$H39-1),2,IF(AND($C39="Milestone",LL$8&gt;=$G39,LL$8&lt;=$G39+$H39-1),1,""))</f>
        <v/>
      </c>
      <c r="LM39" s="69" t="str">
        <f ca="1">IF(AND($C39="Goal",LM$8&gt;=$G39,LM$8&lt;=$G39+$H39-1),2,IF(AND($C39="Milestone",LM$8&gt;=$G39,LM$8&lt;=$G39+$H39-1),1,""))</f>
        <v/>
      </c>
      <c r="LN39" s="69" t="str">
        <f ca="1">IF(AND($C39="Goal",LN$8&gt;=$G39,LN$8&lt;=$G39+$H39-1),2,IF(AND($C39="Milestone",LN$8&gt;=$G39,LN$8&lt;=$G39+$H39-1),1,""))</f>
        <v/>
      </c>
      <c r="LO39" s="69" t="str">
        <f ca="1">IF(AND($C39="Goal",LO$8&gt;=$G39,LO$8&lt;=$G39+$H39-1),2,IF(AND($C39="Milestone",LO$8&gt;=$G39,LO$8&lt;=$G39+$H39-1),1,""))</f>
        <v/>
      </c>
      <c r="LP39" s="69" t="str">
        <f ca="1">IF(AND($C39="Goal",LP$8&gt;=$G39,LP$8&lt;=$G39+$H39-1),2,IF(AND($C39="Milestone",LP$8&gt;=$G39,LP$8&lt;=$G39+$H39-1),1,""))</f>
        <v/>
      </c>
      <c r="LQ39" s="69" t="str">
        <f ca="1">IF(AND($C39="Goal",LQ$8&gt;=$G39,LQ$8&lt;=$G39+$H39-1),2,IF(AND($C39="Milestone",LQ$8&gt;=$G39,LQ$8&lt;=$G39+$H39-1),1,""))</f>
        <v/>
      </c>
      <c r="LR39" s="69" t="str">
        <f ca="1">IF(AND($C39="Goal",LR$8&gt;=$G39,LR$8&lt;=$G39+$H39-1),2,IF(AND($C39="Milestone",LR$8&gt;=$G39,LR$8&lt;=$G39+$H39-1),1,""))</f>
        <v/>
      </c>
      <c r="LS39" s="69" t="str">
        <f ca="1">IF(AND($C39="Goal",LS$8&gt;=$G39,LS$8&lt;=$G39+$H39-1),2,IF(AND($C39="Milestone",LS$8&gt;=$G39,LS$8&lt;=$G39+$H39-1),1,""))</f>
        <v/>
      </c>
      <c r="LT39" s="69" t="str">
        <f ca="1">IF(AND($C39="Goal",LT$8&gt;=$G39,LT$8&lt;=$G39+$H39-1),2,IF(AND($C39="Milestone",LT$8&gt;=$G39,LT$8&lt;=$G39+$H39-1),1,""))</f>
        <v/>
      </c>
      <c r="LU39" s="69" t="str">
        <f ca="1">IF(AND($C39="Goal",LU$8&gt;=$G39,LU$8&lt;=$G39+$H39-1),2,IF(AND($C39="Milestone",LU$8&gt;=$G39,LU$8&lt;=$G39+$H39-1),1,""))</f>
        <v/>
      </c>
      <c r="LV39" s="69" t="str">
        <f ca="1">IF(AND($C39="Goal",LV$8&gt;=$G39,LV$8&lt;=$G39+$H39-1),2,IF(AND($C39="Milestone",LV$8&gt;=$G39,LV$8&lt;=$G39+$H39-1),1,""))</f>
        <v/>
      </c>
      <c r="LW39" s="69" t="str">
        <f ca="1">IF(AND($C39="Goal",LW$8&gt;=$G39,LW$8&lt;=$G39+$H39-1),2,IF(AND($C39="Milestone",LW$8&gt;=$G39,LW$8&lt;=$G39+$H39-1),1,""))</f>
        <v/>
      </c>
      <c r="LX39" s="69" t="str">
        <f ca="1">IF(AND($C39="Goal",LX$8&gt;=$G39,LX$8&lt;=$G39+$H39-1),2,IF(AND($C39="Milestone",LX$8&gt;=$G39,LX$8&lt;=$G39+$H39-1),1,""))</f>
        <v/>
      </c>
    </row>
    <row r="40" spans="1:336" s="1" customFormat="1" ht="25.25" customHeight="1" x14ac:dyDescent="0.25">
      <c r="A40" s="6"/>
      <c r="B40" s="47" t="s">
        <v>41</v>
      </c>
      <c r="C40" s="58"/>
      <c r="D40" s="58" t="str">
        <f ca="1">IF(G40="","",
IF(G40+Milestones4352[[#This Row],[Days]]="","",
IF(OR(F40=1,F40=100%),"Complete",
CHOOSE(
  1
  + --(((1-IF(F40&gt;1,F40/100,F40))*POWER(2.718281828,(60-MAX(0,G40+Milestones4352[[#This Row],[Days]]-TODAY()))/12))&gt;=0.6)
  + --(((1-IF(F40&gt;1,F40/100,F40))*POWER(2.718281828,(60-MAX(0,G40+Milestones4352[[#This Row],[Days]]-TODAY()))/12))&gt;=1.2)
  + --(((1-IF(F40&gt;1,F40/100,F40))*POWER(2.718281828,(60-MAX(0,G40+Milestones4352[[#This Row],[Days]]-TODAY()))/12))&gt;=2),
  "On track","Low risk","Medium risk","High risk"
))))</f>
        <v>On track</v>
      </c>
      <c r="E40" s="58"/>
      <c r="F40" s="56">
        <v>0</v>
      </c>
      <c r="G40" s="71">
        <f>G37+H37</f>
        <v>46123</v>
      </c>
      <c r="H40" s="57">
        <v>9</v>
      </c>
      <c r="I40" s="57">
        <f t="shared" si="207"/>
        <v>6</v>
      </c>
      <c r="J40" s="12">
        <f ca="1">IF(OR(Milestones4352[[#This Row],[Start]]="",Milestones4352[[#This Row],[Days]]=""),"",(Milestones4352[[#This Row],[Start]]+Milestones4352[[#This Row],[Days]])-TODAY())</f>
        <v>183</v>
      </c>
      <c r="K40" s="9"/>
      <c r="L40" s="69" t="str">
        <f ca="1">IF(AND($C40="Goal",L$8&gt;=$G40,L$8&lt;=$G40+$H40-1),2,IF(AND($C40="Milestone",L$8&gt;=$G40,L$8&lt;=$G40+$H40-1),1,""))</f>
        <v/>
      </c>
      <c r="M40" s="69" t="str">
        <f ca="1">IF(AND($C40="Goal",M$8&gt;=$G40,M$8&lt;=$G40+$H40-1),2,IF(AND($C40="Milestone",M$8&gt;=$G40,M$8&lt;=$G40+$H40-1),1,""))</f>
        <v/>
      </c>
      <c r="N40" s="69" t="str">
        <f ca="1">IF(AND($C40="Goal",N$8&gt;=$G40,N$8&lt;=$G40+$H40-1),2,IF(AND($C40="Milestone",N$8&gt;=$G40,N$8&lt;=$G40+$H40-1),1,""))</f>
        <v/>
      </c>
      <c r="O40" s="69" t="str">
        <f ca="1">IF(AND($C40="Goal",O$8&gt;=$G40,O$8&lt;=$G40+$H40-1),2,IF(AND($C40="Milestone",O$8&gt;=$G40,O$8&lt;=$G40+$H40-1),1,""))</f>
        <v/>
      </c>
      <c r="P40" s="69" t="str">
        <f ca="1">IF(AND($C40="Goal",P$8&gt;=$G40,P$8&lt;=$G40+$H40-1),2,IF(AND($C40="Milestone",P$8&gt;=$G40,P$8&lt;=$G40+$H40-1),1,""))</f>
        <v/>
      </c>
      <c r="Q40" s="69" t="str">
        <f ca="1">IF(AND($C40="Goal",Q$8&gt;=$G40,Q$8&lt;=$G40+$H40-1),2,IF(AND($C40="Milestone",Q$8&gt;=$G40,Q$8&lt;=$G40+$H40-1),1,""))</f>
        <v/>
      </c>
      <c r="R40" s="69" t="str">
        <f ca="1">IF(AND($C40="Goal",R$8&gt;=$G40,R$8&lt;=$G40+$H40-1),2,IF(AND($C40="Milestone",R$8&gt;=$G40,R$8&lt;=$G40+$H40-1),1,""))</f>
        <v/>
      </c>
      <c r="S40" s="69" t="str">
        <f ca="1">IF(AND($C40="Goal",S$8&gt;=$G40,S$8&lt;=$G40+$H40-1),2,IF(AND($C40="Milestone",S$8&gt;=$G40,S$8&lt;=$G40+$H40-1),1,""))</f>
        <v/>
      </c>
      <c r="T40" s="69" t="str">
        <f ca="1">IF(AND($C40="Goal",T$8&gt;=$G40,T$8&lt;=$G40+$H40-1),2,IF(AND($C40="Milestone",T$8&gt;=$G40,T$8&lt;=$G40+$H40-1),1,""))</f>
        <v/>
      </c>
      <c r="U40" s="69" t="str">
        <f ca="1">IF(AND($C40="Goal",U$8&gt;=$G40,U$8&lt;=$G40+$H40-1),2,IF(AND($C40="Milestone",U$8&gt;=$G40,U$8&lt;=$G40+$H40-1),1,""))</f>
        <v/>
      </c>
      <c r="V40" s="69" t="str">
        <f ca="1">IF(AND($C40="Goal",V$8&gt;=$G40,V$8&lt;=$G40+$H40-1),2,IF(AND($C40="Milestone",V$8&gt;=$G40,V$8&lt;=$G40+$H40-1),1,""))</f>
        <v/>
      </c>
      <c r="W40" s="69" t="str">
        <f ca="1">IF(AND($C40="Goal",W$8&gt;=$G40,W$8&lt;=$G40+$H40-1),2,IF(AND($C40="Milestone",W$8&gt;=$G40,W$8&lt;=$G40+$H40-1),1,""))</f>
        <v/>
      </c>
      <c r="X40" s="69" t="str">
        <f ca="1">IF(AND($C40="Goal",X$8&gt;=$G40,X$8&lt;=$G40+$H40-1),2,IF(AND($C40="Milestone",X$8&gt;=$G40,X$8&lt;=$G40+$H40-1),1,""))</f>
        <v/>
      </c>
      <c r="Y40" s="69" t="str">
        <f ca="1">IF(AND($C40="Goal",Y$8&gt;=$G40,Y$8&lt;=$G40+$H40-1),2,IF(AND($C40="Milestone",Y$8&gt;=$G40,Y$8&lt;=$G40+$H40-1),1,""))</f>
        <v/>
      </c>
      <c r="Z40" s="69" t="str">
        <f ca="1">IF(AND($C40="Goal",Z$8&gt;=$G40,Z$8&lt;=$G40+$H40-1),2,IF(AND($C40="Milestone",Z$8&gt;=$G40,Z$8&lt;=$G40+$H40-1),1,""))</f>
        <v/>
      </c>
      <c r="AA40" s="69" t="str">
        <f ca="1">IF(AND($C40="Goal",AA$8&gt;=$G40,AA$8&lt;=$G40+$H40-1),2,IF(AND($C40="Milestone",AA$8&gt;=$G40,AA$8&lt;=$G40+$H40-1),1,""))</f>
        <v/>
      </c>
      <c r="AB40" s="69" t="str">
        <f ca="1">IF(AND($C40="Goal",AB$8&gt;=$G40,AB$8&lt;=$G40+$H40-1),2,IF(AND($C40="Milestone",AB$8&gt;=$G40,AB$8&lt;=$G40+$H40-1),1,""))</f>
        <v/>
      </c>
      <c r="AC40" s="69" t="str">
        <f ca="1">IF(AND($C40="Goal",AC$8&gt;=$G40,AC$8&lt;=$G40+$H40-1),2,IF(AND($C40="Milestone",AC$8&gt;=$G40,AC$8&lt;=$G40+$H40-1),1,""))</f>
        <v/>
      </c>
      <c r="AD40" s="69" t="str">
        <f ca="1">IF(AND($C40="Goal",AD$8&gt;=$G40,AD$8&lt;=$G40+$H40-1),2,IF(AND($C40="Milestone",AD$8&gt;=$G40,AD$8&lt;=$G40+$H40-1),1,""))</f>
        <v/>
      </c>
      <c r="AE40" s="69" t="str">
        <f ca="1">IF(AND($C40="Goal",AE$8&gt;=$G40,AE$8&lt;=$G40+$H40-1),2,IF(AND($C40="Milestone",AE$8&gt;=$G40,AE$8&lt;=$G40+$H40-1),1,""))</f>
        <v/>
      </c>
      <c r="AF40" s="69" t="str">
        <f ca="1">IF(AND($C40="Goal",AF$8&gt;=$G40,AF$8&lt;=$G40+$H40-1),2,IF(AND($C40="Milestone",AF$8&gt;=$G40,AF$8&lt;=$G40+$H40-1),1,""))</f>
        <v/>
      </c>
      <c r="AG40" s="69" t="str">
        <f ca="1">IF(AND($C40="Goal",AG$8&gt;=$G40,AG$8&lt;=$G40+$H40-1),2,IF(AND($C40="Milestone",AG$8&gt;=$G40,AG$8&lt;=$G40+$H40-1),1,""))</f>
        <v/>
      </c>
      <c r="AH40" s="69" t="str">
        <f ca="1">IF(AND($C40="Goal",AH$8&gt;=$G40,AH$8&lt;=$G40+$H40-1),2,IF(AND($C40="Milestone",AH$8&gt;=$G40,AH$8&lt;=$G40+$H40-1),1,""))</f>
        <v/>
      </c>
      <c r="AI40" s="69" t="str">
        <f ca="1">IF(AND($C40="Goal",AI$8&gt;=$G40,AI$8&lt;=$G40+$H40-1),2,IF(AND($C40="Milestone",AI$8&gt;=$G40,AI$8&lt;=$G40+$H40-1),1,""))</f>
        <v/>
      </c>
      <c r="AJ40" s="69" t="str">
        <f ca="1">IF(AND($C40="Goal",AJ$8&gt;=$G40,AJ$8&lt;=$G40+$H40-1),2,IF(AND($C40="Milestone",AJ$8&gt;=$G40,AJ$8&lt;=$G40+$H40-1),1,""))</f>
        <v/>
      </c>
      <c r="AK40" s="69" t="str">
        <f ca="1">IF(AND($C40="Goal",AK$8&gt;=$G40,AK$8&lt;=$G40+$H40-1),2,IF(AND($C40="Milestone",AK$8&gt;=$G40,AK$8&lt;=$G40+$H40-1),1,""))</f>
        <v/>
      </c>
      <c r="AL40" s="69" t="str">
        <f ca="1">IF(AND($C40="Goal",AL$8&gt;=$G40,AL$8&lt;=$G40+$H40-1),2,IF(AND($C40="Milestone",AL$8&gt;=$G40,AL$8&lt;=$G40+$H40-1),1,""))</f>
        <v/>
      </c>
      <c r="AM40" s="69" t="str">
        <f ca="1">IF(AND($C40="Goal",AM$8&gt;=$G40,AM$8&lt;=$G40+$H40-1),2,IF(AND($C40="Milestone",AM$8&gt;=$G40,AM$8&lt;=$G40+$H40-1),1,""))</f>
        <v/>
      </c>
      <c r="AN40" s="69" t="str">
        <f ca="1">IF(AND($C40="Goal",AN$8&gt;=$G40,AN$8&lt;=$G40+$H40-1),2,IF(AND($C40="Milestone",AN$8&gt;=$G40,AN$8&lt;=$G40+$H40-1),1,""))</f>
        <v/>
      </c>
      <c r="AO40" s="69" t="str">
        <f ca="1">IF(AND($C40="Goal",AO$8&gt;=$G40,AO$8&lt;=$G40+$H40-1),2,IF(AND($C40="Milestone",AO$8&gt;=$G40,AO$8&lt;=$G40+$H40-1),1,""))</f>
        <v/>
      </c>
      <c r="AP40" s="69" t="str">
        <f ca="1">IF(AND($C40="Goal",AP$8&gt;=$G40,AP$8&lt;=$G40+$H40-1),2,IF(AND($C40="Milestone",AP$8&gt;=$G40,AP$8&lt;=$G40+$H40-1),1,""))</f>
        <v/>
      </c>
      <c r="AQ40" s="69" t="str">
        <f ca="1">IF(AND($C40="Goal",AQ$8&gt;=$G40,AQ$8&lt;=$G40+$H40-1),2,IF(AND($C40="Milestone",AQ$8&gt;=$G40,AQ$8&lt;=$G40+$H40-1),1,""))</f>
        <v/>
      </c>
      <c r="AR40" s="69" t="str">
        <f ca="1">IF(AND($C40="Goal",AR$8&gt;=$G40,AR$8&lt;=$G40+$H40-1),2,IF(AND($C40="Milestone",AR$8&gt;=$G40,AR$8&lt;=$G40+$H40-1),1,""))</f>
        <v/>
      </c>
      <c r="AS40" s="69" t="str">
        <f ca="1">IF(AND($C40="Goal",AS$8&gt;=$G40,AS$8&lt;=$G40+$H40-1),2,IF(AND($C40="Milestone",AS$8&gt;=$G40,AS$8&lt;=$G40+$H40-1),1,""))</f>
        <v/>
      </c>
      <c r="AT40" s="69" t="str">
        <f ca="1">IF(AND($C40="Goal",AT$8&gt;=$G40,AT$8&lt;=$G40+$H40-1),2,IF(AND($C40="Milestone",AT$8&gt;=$G40,AT$8&lt;=$G40+$H40-1),1,""))</f>
        <v/>
      </c>
      <c r="AU40" s="69" t="str">
        <f ca="1">IF(AND($C40="Goal",AU$8&gt;=$G40,AU$8&lt;=$G40+$H40-1),2,IF(AND($C40="Milestone",AU$8&gt;=$G40,AU$8&lt;=$G40+$H40-1),1,""))</f>
        <v/>
      </c>
      <c r="AV40" s="69" t="str">
        <f ca="1">IF(AND($C40="Goal",AV$8&gt;=$G40,AV$8&lt;=$G40+$H40-1),2,IF(AND($C40="Milestone",AV$8&gt;=$G40,AV$8&lt;=$G40+$H40-1),1,""))</f>
        <v/>
      </c>
      <c r="AW40" s="69" t="str">
        <f ca="1">IF(AND($C40="Goal",AW$8&gt;=$G40,AW$8&lt;=$G40+$H40-1),2,IF(AND($C40="Milestone",AW$8&gt;=$G40,AW$8&lt;=$G40+$H40-1),1,""))</f>
        <v/>
      </c>
      <c r="AX40" s="69" t="str">
        <f ca="1">IF(AND($C40="Goal",AX$8&gt;=$G40,AX$8&lt;=$G40+$H40-1),2,IF(AND($C40="Milestone",AX$8&gt;=$G40,AX$8&lt;=$G40+$H40-1),1,""))</f>
        <v/>
      </c>
      <c r="AY40" s="69" t="str">
        <f ca="1">IF(AND($C40="Goal",AY$8&gt;=$G40,AY$8&lt;=$G40+$H40-1),2,IF(AND($C40="Milestone",AY$8&gt;=$G40,AY$8&lt;=$G40+$H40-1),1,""))</f>
        <v/>
      </c>
      <c r="AZ40" s="69" t="str">
        <f ca="1">IF(AND($C40="Goal",AZ$8&gt;=$G40,AZ$8&lt;=$G40+$H40-1),2,IF(AND($C40="Milestone",AZ$8&gt;=$G40,AZ$8&lt;=$G40+$H40-1),1,""))</f>
        <v/>
      </c>
      <c r="BA40" s="69" t="str">
        <f ca="1">IF(AND($C40="Goal",BA$8&gt;=$G40,BA$8&lt;=$G40+$H40-1),2,IF(AND($C40="Milestone",BA$8&gt;=$G40,BA$8&lt;=$G40+$H40-1),1,""))</f>
        <v/>
      </c>
      <c r="BB40" s="69" t="str">
        <f ca="1">IF(AND($C40="Goal",BB$8&gt;=$G40,BB$8&lt;=$G40+$H40-1),2,IF(AND($C40="Milestone",BB$8&gt;=$G40,BB$8&lt;=$G40+$H40-1),1,""))</f>
        <v/>
      </c>
      <c r="BC40" s="69" t="str">
        <f ca="1">IF(AND($C40="Goal",BC$8&gt;=$G40,BC$8&lt;=$G40+$H40-1),2,IF(AND($C40="Milestone",BC$8&gt;=$G40,BC$8&lt;=$G40+$H40-1),1,""))</f>
        <v/>
      </c>
      <c r="BD40" s="69" t="str">
        <f ca="1">IF(AND($C40="Goal",BD$8&gt;=$G40,BD$8&lt;=$G40+$H40-1),2,IF(AND($C40="Milestone",BD$8&gt;=$G40,BD$8&lt;=$G40+$H40-1),1,""))</f>
        <v/>
      </c>
      <c r="BE40" s="69" t="str">
        <f ca="1">IF(AND($C40="Goal",BE$8&gt;=$G40,BE$8&lt;=$G40+$H40-1),2,IF(AND($C40="Milestone",BE$8&gt;=$G40,BE$8&lt;=$G40+$H40-1),1,""))</f>
        <v/>
      </c>
      <c r="BF40" s="69" t="str">
        <f ca="1">IF(AND($C40="Goal",BF$8&gt;=$G40,BF$8&lt;=$G40+$H40-1),2,IF(AND($C40="Milestone",BF$8&gt;=$G40,BF$8&lt;=$G40+$H40-1),1,""))</f>
        <v/>
      </c>
      <c r="BG40" s="69" t="str">
        <f ca="1">IF(AND($C40="Goal",BG$8&gt;=$G40,BG$8&lt;=$G40+$H40-1),2,IF(AND($C40="Milestone",BG$8&gt;=$G40,BG$8&lt;=$G40+$H40-1),1,""))</f>
        <v/>
      </c>
      <c r="BH40" s="69" t="str">
        <f ca="1">IF(AND($C40="Goal",BH$8&gt;=$G40,BH$8&lt;=$G40+$H40-1),2,IF(AND($C40="Milestone",BH$8&gt;=$G40,BH$8&lt;=$G40+$H40-1),1,""))</f>
        <v/>
      </c>
      <c r="BI40" s="69" t="str">
        <f ca="1">IF(AND($C40="Goal",BI$8&gt;=$G40,BI$8&lt;=$G40+$H40-1),2,IF(AND($C40="Milestone",BI$8&gt;=$G40,BI$8&lt;=$G40+$H40-1),1,""))</f>
        <v/>
      </c>
      <c r="BJ40" s="69" t="str">
        <f ca="1">IF(AND($C40="Goal",BJ$8&gt;=$G40,BJ$8&lt;=$G40+$H40-1),2,IF(AND($C40="Milestone",BJ$8&gt;=$G40,BJ$8&lt;=$G40+$H40-1),1,""))</f>
        <v/>
      </c>
      <c r="BK40" s="69" t="str">
        <f ca="1">IF(AND($C40="Goal",BK$8&gt;=$G40,BK$8&lt;=$G40+$H40-1),2,IF(AND($C40="Milestone",BK$8&gt;=$G40,BK$8&lt;=$G40+$H40-1),1,""))</f>
        <v/>
      </c>
      <c r="BL40" s="69" t="str">
        <f ca="1">IF(AND($C40="Goal",BL$8&gt;=$G40,BL$8&lt;=$G40+$H40-1),2,IF(AND($C40="Milestone",BL$8&gt;=$G40,BL$8&lt;=$G40+$H40-1),1,""))</f>
        <v/>
      </c>
      <c r="BM40" s="69" t="str">
        <f ca="1">IF(AND($C40="Goal",BM$8&gt;=$G40,BM$8&lt;=$G40+$H40-1),2,IF(AND($C40="Milestone",BM$8&gt;=$G40,BM$8&lt;=$G40+$H40-1),1,""))</f>
        <v/>
      </c>
      <c r="BN40" s="69" t="str">
        <f ca="1">IF(AND($C40="Goal",BN$8&gt;=$G40,BN$8&lt;=$G40+$H40-1),2,IF(AND($C40="Milestone",BN$8&gt;=$G40,BN$8&lt;=$G40+$H40-1),1,""))</f>
        <v/>
      </c>
      <c r="BO40" s="69" t="str">
        <f ca="1">IF(AND($C40="Goal",BO$8&gt;=$G40,BO$8&lt;=$G40+$H40-1),2,IF(AND($C40="Milestone",BO$8&gt;=$G40,BO$8&lt;=$G40+$H40-1),1,""))</f>
        <v/>
      </c>
      <c r="BP40" s="69" t="str">
        <f ca="1">IF(AND($C40="Goal",BP$8&gt;=$G40,BP$8&lt;=$G40+$H40-1),2,IF(AND($C40="Milestone",BP$8&gt;=$G40,BP$8&lt;=$G40+$H40-1),1,""))</f>
        <v/>
      </c>
      <c r="BQ40" s="69" t="str">
        <f ca="1">IF(AND($C40="Goal",BQ$8&gt;=$G40,BQ$8&lt;=$G40+$H40-1),2,IF(AND($C40="Milestone",BQ$8&gt;=$G40,BQ$8&lt;=$G40+$H40-1),1,""))</f>
        <v/>
      </c>
      <c r="BR40" s="69" t="str">
        <f ca="1">IF(AND($C40="Goal",BR$8&gt;=$G40,BR$8&lt;=$G40+$H40-1),2,IF(AND($C40="Milestone",BR$8&gt;=$G40,BR$8&lt;=$G40+$H40-1),1,""))</f>
        <v/>
      </c>
      <c r="BS40" s="69" t="str">
        <f ca="1">IF(AND($C40="Goal",BS$8&gt;=$G40,BS$8&lt;=$G40+$H40-1),2,IF(AND($C40="Milestone",BS$8&gt;=$G40,BS$8&lt;=$G40+$H40-1),1,""))</f>
        <v/>
      </c>
      <c r="BT40" s="69" t="str">
        <f ca="1">IF(AND($C40="Goal",BT$8&gt;=$G40,BT$8&lt;=$G40+$H40-1),2,IF(AND($C40="Milestone",BT$8&gt;=$G40,BT$8&lt;=$G40+$H40-1),1,""))</f>
        <v/>
      </c>
      <c r="BU40" s="69" t="str">
        <f ca="1">IF(AND($C40="Goal",BU$8&gt;=$G40,BU$8&lt;=$G40+$H40-1),2,IF(AND($C40="Milestone",BU$8&gt;=$G40,BU$8&lt;=$G40+$H40-1),1,""))</f>
        <v/>
      </c>
      <c r="BV40" s="69" t="str">
        <f ca="1">IF(AND($C40="Goal",BV$8&gt;=$G40,BV$8&lt;=$G40+$H40-1),2,IF(AND($C40="Milestone",BV$8&gt;=$G40,BV$8&lt;=$G40+$H40-1),1,""))</f>
        <v/>
      </c>
      <c r="BW40" s="69" t="str">
        <f ca="1">IF(AND($C40="Goal",BW$8&gt;=$G40,BW$8&lt;=$G40+$H40-1),2,IF(AND($C40="Milestone",BW$8&gt;=$G40,BW$8&lt;=$G40+$H40-1),1,""))</f>
        <v/>
      </c>
      <c r="BX40" s="69" t="str">
        <f ca="1">IF(AND($C40="Goal",BX$8&gt;=$G40,BX$8&lt;=$G40+$H40-1),2,IF(AND($C40="Milestone",BX$8&gt;=$G40,BX$8&lt;=$G40+$H40-1),1,""))</f>
        <v/>
      </c>
      <c r="BY40" s="69" t="str">
        <f ca="1">IF(AND($C40="Goal",BY$8&gt;=$G40,BY$8&lt;=$G40+$H40-1),2,IF(AND($C40="Milestone",BY$8&gt;=$G40,BY$8&lt;=$G40+$H40-1),1,""))</f>
        <v/>
      </c>
      <c r="BZ40" s="69" t="str">
        <f ca="1">IF(AND($C40="Goal",BZ$8&gt;=$G40,BZ$8&lt;=$G40+$H40-1),2,IF(AND($C40="Milestone",BZ$8&gt;=$G40,BZ$8&lt;=$G40+$H40-1),1,""))</f>
        <v/>
      </c>
      <c r="CA40" s="69" t="str">
        <f ca="1">IF(AND($C40="Goal",CA$8&gt;=$G40,CA$8&lt;=$G40+$H40-1),2,IF(AND($C40="Milestone",CA$8&gt;=$G40,CA$8&lt;=$G40+$H40-1),1,""))</f>
        <v/>
      </c>
      <c r="CB40" s="69" t="str">
        <f ca="1">IF(AND($C40="Goal",CB$8&gt;=$G40,CB$8&lt;=$G40+$H40-1),2,IF(AND($C40="Milestone",CB$8&gt;=$G40,CB$8&lt;=$G40+$H40-1),1,""))</f>
        <v/>
      </c>
      <c r="CC40" s="69" t="str">
        <f ca="1">IF(AND($C40="Goal",CC$8&gt;=$G40,CC$8&lt;=$G40+$H40-1),2,IF(AND($C40="Milestone",CC$8&gt;=$G40,CC$8&lt;=$G40+$H40-1),1,""))</f>
        <v/>
      </c>
      <c r="CD40" s="69" t="str">
        <f ca="1">IF(AND($C40="Goal",CD$8&gt;=$G40,CD$8&lt;=$G40+$H40-1),2,IF(AND($C40="Milestone",CD$8&gt;=$G40,CD$8&lt;=$G40+$H40-1),1,""))</f>
        <v/>
      </c>
      <c r="CE40" s="69" t="str">
        <f ca="1">IF(AND($C40="Goal",CE$8&gt;=$G40,CE$8&lt;=$G40+$H40-1),2,IF(AND($C40="Milestone",CE$8&gt;=$G40,CE$8&lt;=$G40+$H40-1),1,""))</f>
        <v/>
      </c>
      <c r="CF40" s="69" t="str">
        <f ca="1">IF(AND($C40="Goal",CF$8&gt;=$G40,CF$8&lt;=$G40+$H40-1),2,IF(AND($C40="Milestone",CF$8&gt;=$G40,CF$8&lt;=$G40+$H40-1),1,""))</f>
        <v/>
      </c>
      <c r="CG40" s="69" t="str">
        <f ca="1">IF(AND($C40="Goal",CG$8&gt;=$G40,CG$8&lt;=$G40+$H40-1),2,IF(AND($C40="Milestone",CG$8&gt;=$G40,CG$8&lt;=$G40+$H40-1),1,""))</f>
        <v/>
      </c>
      <c r="CH40" s="69" t="str">
        <f ca="1">IF(AND($C40="Goal",CH$8&gt;=$G40,CH$8&lt;=$G40+$H40-1),2,IF(AND($C40="Milestone",CH$8&gt;=$G40,CH$8&lt;=$G40+$H40-1),1,""))</f>
        <v/>
      </c>
      <c r="CI40" s="69" t="str">
        <f ca="1">IF(AND($C40="Goal",CI$8&gt;=$G40,CI$8&lt;=$G40+$H40-1),2,IF(AND($C40="Milestone",CI$8&gt;=$G40,CI$8&lt;=$G40+$H40-1),1,""))</f>
        <v/>
      </c>
      <c r="CJ40" s="69" t="str">
        <f ca="1">IF(AND($C40="Goal",CJ$8&gt;=$G40,CJ$8&lt;=$G40+$H40-1),2,IF(AND($C40="Milestone",CJ$8&gt;=$G40,CJ$8&lt;=$G40+$H40-1),1,""))</f>
        <v/>
      </c>
      <c r="CK40" s="69" t="str">
        <f ca="1">IF(AND($C40="Goal",CK$8&gt;=$G40,CK$8&lt;=$G40+$H40-1),2,IF(AND($C40="Milestone",CK$8&gt;=$G40,CK$8&lt;=$G40+$H40-1),1,""))</f>
        <v/>
      </c>
      <c r="CL40" s="69" t="str">
        <f ca="1">IF(AND($C40="Goal",CL$8&gt;=$G40,CL$8&lt;=$G40+$H40-1),2,IF(AND($C40="Milestone",CL$8&gt;=$G40,CL$8&lt;=$G40+$H40-1),1,""))</f>
        <v/>
      </c>
      <c r="CM40" s="69" t="str">
        <f ca="1">IF(AND($C40="Goal",CM$8&gt;=$G40,CM$8&lt;=$G40+$H40-1),2,IF(AND($C40="Milestone",CM$8&gt;=$G40,CM$8&lt;=$G40+$H40-1),1,""))</f>
        <v/>
      </c>
      <c r="CN40" s="69" t="str">
        <f ca="1">IF(AND($C40="Goal",CN$8&gt;=$G40,CN$8&lt;=$G40+$H40-1),2,IF(AND($C40="Milestone",CN$8&gt;=$G40,CN$8&lt;=$G40+$H40-1),1,""))</f>
        <v/>
      </c>
      <c r="CO40" s="69" t="str">
        <f ca="1">IF(AND($C40="Goal",CO$8&gt;=$G40,CO$8&lt;=$G40+$H40-1),2,IF(AND($C40="Milestone",CO$8&gt;=$G40,CO$8&lt;=$G40+$H40-1),1,""))</f>
        <v/>
      </c>
      <c r="CP40" s="69" t="str">
        <f ca="1">IF(AND($C40="Goal",CP$8&gt;=$G40,CP$8&lt;=$G40+$H40-1),2,IF(AND($C40="Milestone",CP$8&gt;=$G40,CP$8&lt;=$G40+$H40-1),1,""))</f>
        <v/>
      </c>
      <c r="CQ40" s="69" t="str">
        <f ca="1">IF(AND($C40="Goal",CQ$8&gt;=$G40,CQ$8&lt;=$G40+$H40-1),2,IF(AND($C40="Milestone",CQ$8&gt;=$G40,CQ$8&lt;=$G40+$H40-1),1,""))</f>
        <v/>
      </c>
      <c r="CR40" s="69" t="str">
        <f ca="1">IF(AND($C40="Goal",CR$8&gt;=$G40,CR$8&lt;=$G40+$H40-1),2,IF(AND($C40="Milestone",CR$8&gt;=$G40,CR$8&lt;=$G40+$H40-1),1,""))</f>
        <v/>
      </c>
      <c r="CS40" s="69" t="str">
        <f ca="1">IF(AND($C40="Goal",CS$8&gt;=$G40,CS$8&lt;=$G40+$H40-1),2,IF(AND($C40="Milestone",CS$8&gt;=$G40,CS$8&lt;=$G40+$H40-1),1,""))</f>
        <v/>
      </c>
      <c r="CT40" s="69" t="str">
        <f ca="1">IF(AND($C40="Goal",CT$8&gt;=$G40,CT$8&lt;=$G40+$H40-1),2,IF(AND($C40="Milestone",CT$8&gt;=$G40,CT$8&lt;=$G40+$H40-1),1,""))</f>
        <v/>
      </c>
      <c r="CU40" s="69" t="str">
        <f ca="1">IF(AND($C40="Goal",CU$8&gt;=$G40,CU$8&lt;=$G40+$H40-1),2,IF(AND($C40="Milestone",CU$8&gt;=$G40,CU$8&lt;=$G40+$H40-1),1,""))</f>
        <v/>
      </c>
      <c r="CV40" s="69" t="str">
        <f ca="1">IF(AND($C40="Goal",CV$8&gt;=$G40,CV$8&lt;=$G40+$H40-1),2,IF(AND($C40="Milestone",CV$8&gt;=$G40,CV$8&lt;=$G40+$H40-1),1,""))</f>
        <v/>
      </c>
      <c r="CW40" s="69" t="str">
        <f ca="1">IF(AND($C40="Goal",CW$8&gt;=$G40,CW$8&lt;=$G40+$H40-1),2,IF(AND($C40="Milestone",CW$8&gt;=$G40,CW$8&lt;=$G40+$H40-1),1,""))</f>
        <v/>
      </c>
      <c r="CX40" s="69" t="str">
        <f ca="1">IF(AND($C40="Goal",CX$8&gt;=$G40,CX$8&lt;=$G40+$H40-1),2,IF(AND($C40="Milestone",CX$8&gt;=$G40,CX$8&lt;=$G40+$H40-1),1,""))</f>
        <v/>
      </c>
      <c r="CY40" s="69" t="str">
        <f ca="1">IF(AND($C40="Goal",CY$8&gt;=$G40,CY$8&lt;=$G40+$H40-1),2,IF(AND($C40="Milestone",CY$8&gt;=$G40,CY$8&lt;=$G40+$H40-1),1,""))</f>
        <v/>
      </c>
      <c r="CZ40" s="69" t="str">
        <f ca="1">IF(AND($C40="Goal",CZ$8&gt;=$G40,CZ$8&lt;=$G40+$H40-1),2,IF(AND($C40="Milestone",CZ$8&gt;=$G40,CZ$8&lt;=$G40+$H40-1),1,""))</f>
        <v/>
      </c>
      <c r="DA40" s="69" t="str">
        <f ca="1">IF(AND($C40="Goal",DA$8&gt;=$G40,DA$8&lt;=$G40+$H40-1),2,IF(AND($C40="Milestone",DA$8&gt;=$G40,DA$8&lt;=$G40+$H40-1),1,""))</f>
        <v/>
      </c>
      <c r="DB40" s="69" t="str">
        <f ca="1">IF(AND($C40="Goal",DB$8&gt;=$G40,DB$8&lt;=$G40+$H40-1),2,IF(AND($C40="Milestone",DB$8&gt;=$G40,DB$8&lt;=$G40+$H40-1),1,""))</f>
        <v/>
      </c>
      <c r="DC40" s="69" t="str">
        <f ca="1">IF(AND($C40="Goal",DC$8&gt;=$G40,DC$8&lt;=$G40+$H40-1),2,IF(AND($C40="Milestone",DC$8&gt;=$G40,DC$8&lt;=$G40+$H40-1),1,""))</f>
        <v/>
      </c>
      <c r="DD40" s="69" t="str">
        <f ca="1">IF(AND($C40="Goal",DD$8&gt;=$G40,DD$8&lt;=$G40+$H40-1),2,IF(AND($C40="Milestone",DD$8&gt;=$G40,DD$8&lt;=$G40+$H40-1),1,""))</f>
        <v/>
      </c>
      <c r="DE40" s="69" t="str">
        <f ca="1">IF(AND($C40="Goal",DE$8&gt;=$G40,DE$8&lt;=$G40+$H40-1),2,IF(AND($C40="Milestone",DE$8&gt;=$G40,DE$8&lt;=$G40+$H40-1),1,""))</f>
        <v/>
      </c>
      <c r="DF40" s="69" t="str">
        <f ca="1">IF(AND($C40="Goal",DF$8&gt;=$G40,DF$8&lt;=$G40+$H40-1),2,IF(AND($C40="Milestone",DF$8&gt;=$G40,DF$8&lt;=$G40+$H40-1),1,""))</f>
        <v/>
      </c>
      <c r="DG40" s="69" t="str">
        <f ca="1">IF(AND($C40="Goal",DG$8&gt;=$G40,DG$8&lt;=$G40+$H40-1),2,IF(AND($C40="Milestone",DG$8&gt;=$G40,DG$8&lt;=$G40+$H40-1),1,""))</f>
        <v/>
      </c>
      <c r="DH40" s="69" t="str">
        <f ca="1">IF(AND($C40="Goal",DH$8&gt;=$G40,DH$8&lt;=$G40+$H40-1),2,IF(AND($C40="Milestone",DH$8&gt;=$G40,DH$8&lt;=$G40+$H40-1),1,""))</f>
        <v/>
      </c>
      <c r="DI40" s="69" t="str">
        <f ca="1">IF(AND($C40="Goal",DI$8&gt;=$G40,DI$8&lt;=$G40+$H40-1),2,IF(AND($C40="Milestone",DI$8&gt;=$G40,DI$8&lt;=$G40+$H40-1),1,""))</f>
        <v/>
      </c>
      <c r="DJ40" s="69" t="str">
        <f ca="1">IF(AND($C40="Goal",DJ$8&gt;=$G40,DJ$8&lt;=$G40+$H40-1),2,IF(AND($C40="Milestone",DJ$8&gt;=$G40,DJ$8&lt;=$G40+$H40-1),1,""))</f>
        <v/>
      </c>
      <c r="DK40" s="69" t="str">
        <f ca="1">IF(AND($C40="Goal",DK$8&gt;=$G40,DK$8&lt;=$G40+$H40-1),2,IF(AND($C40="Milestone",DK$8&gt;=$G40,DK$8&lt;=$G40+$H40-1),1,""))</f>
        <v/>
      </c>
      <c r="DL40" s="69" t="str">
        <f ca="1">IF(AND($C40="Goal",DL$8&gt;=$G40,DL$8&lt;=$G40+$H40-1),2,IF(AND($C40="Milestone",DL$8&gt;=$G40,DL$8&lt;=$G40+$H40-1),1,""))</f>
        <v/>
      </c>
      <c r="DM40" s="69" t="str">
        <f ca="1">IF(AND($C40="Goal",DM$8&gt;=$G40,DM$8&lt;=$G40+$H40-1),2,IF(AND($C40="Milestone",DM$8&gt;=$G40,DM$8&lt;=$G40+$H40-1),1,""))</f>
        <v/>
      </c>
      <c r="DN40" s="69" t="str">
        <f ca="1">IF(AND($C40="Goal",DN$8&gt;=$G40,DN$8&lt;=$G40+$H40-1),2,IF(AND($C40="Milestone",DN$8&gt;=$G40,DN$8&lt;=$G40+$H40-1),1,""))</f>
        <v/>
      </c>
      <c r="DO40" s="69" t="str">
        <f ca="1">IF(AND($C40="Goal",DO$8&gt;=$G40,DO$8&lt;=$G40+$H40-1),2,IF(AND($C40="Milestone",DO$8&gt;=$G40,DO$8&lt;=$G40+$H40-1),1,""))</f>
        <v/>
      </c>
      <c r="DP40" s="69" t="str">
        <f ca="1">IF(AND($C40="Goal",DP$8&gt;=$G40,DP$8&lt;=$G40+$H40-1),2,IF(AND($C40="Milestone",DP$8&gt;=$G40,DP$8&lt;=$G40+$H40-1),1,""))</f>
        <v/>
      </c>
      <c r="DQ40" s="69" t="str">
        <f ca="1">IF(AND($C40="Goal",DQ$8&gt;=$G40,DQ$8&lt;=$G40+$H40-1),2,IF(AND($C40="Milestone",DQ$8&gt;=$G40,DQ$8&lt;=$G40+$H40-1),1,""))</f>
        <v/>
      </c>
      <c r="DR40" s="69" t="str">
        <f ca="1">IF(AND($C40="Goal",DR$8&gt;=$G40,DR$8&lt;=$G40+$H40-1),2,IF(AND($C40="Milestone",DR$8&gt;=$G40,DR$8&lt;=$G40+$H40-1),1,""))</f>
        <v/>
      </c>
      <c r="DS40" s="69" t="str">
        <f ca="1">IF(AND($C40="Goal",DS$8&gt;=$G40,DS$8&lt;=$G40+$H40-1),2,IF(AND($C40="Milestone",DS$8&gt;=$G40,DS$8&lt;=$G40+$H40-1),1,""))</f>
        <v/>
      </c>
      <c r="DT40" s="69" t="str">
        <f ca="1">IF(AND($C40="Goal",DT$8&gt;=$G40,DT$8&lt;=$G40+$H40-1),2,IF(AND($C40="Milestone",DT$8&gt;=$G40,DT$8&lt;=$G40+$H40-1),1,""))</f>
        <v/>
      </c>
      <c r="DU40" s="69" t="str">
        <f ca="1">IF(AND($C40="Goal",DU$8&gt;=$G40,DU$8&lt;=$G40+$H40-1),2,IF(AND($C40="Milestone",DU$8&gt;=$G40,DU$8&lt;=$G40+$H40-1),1,""))</f>
        <v/>
      </c>
      <c r="DV40" s="69" t="str">
        <f ca="1">IF(AND($C40="Goal",DV$8&gt;=$G40,DV$8&lt;=$G40+$H40-1),2,IF(AND($C40="Milestone",DV$8&gt;=$G40,DV$8&lt;=$G40+$H40-1),1,""))</f>
        <v/>
      </c>
      <c r="DW40" s="69" t="str">
        <f ca="1">IF(AND($C40="Goal",DW$8&gt;=$G40,DW$8&lt;=$G40+$H40-1),2,IF(AND($C40="Milestone",DW$8&gt;=$G40,DW$8&lt;=$G40+$H40-1),1,""))</f>
        <v/>
      </c>
      <c r="DX40" s="69" t="str">
        <f ca="1">IF(AND($C40="Goal",DX$8&gt;=$G40,DX$8&lt;=$G40+$H40-1),2,IF(AND($C40="Milestone",DX$8&gt;=$G40,DX$8&lt;=$G40+$H40-1),1,""))</f>
        <v/>
      </c>
      <c r="DY40" s="69" t="str">
        <f ca="1">IF(AND($C40="Goal",DY$8&gt;=$G40,DY$8&lt;=$G40+$H40-1),2,IF(AND($C40="Milestone",DY$8&gt;=$G40,DY$8&lt;=$G40+$H40-1),1,""))</f>
        <v/>
      </c>
      <c r="DZ40" s="69" t="str">
        <f ca="1">IF(AND($C40="Goal",DZ$8&gt;=$G40,DZ$8&lt;=$G40+$H40-1),2,IF(AND($C40="Milestone",DZ$8&gt;=$G40,DZ$8&lt;=$G40+$H40-1),1,""))</f>
        <v/>
      </c>
      <c r="EA40" s="69" t="str">
        <f ca="1">IF(AND($C40="Goal",EA$8&gt;=$G40,EA$8&lt;=$G40+$H40-1),2,IF(AND($C40="Milestone",EA$8&gt;=$G40,EA$8&lt;=$G40+$H40-1),1,""))</f>
        <v/>
      </c>
      <c r="EB40" s="69" t="str">
        <f ca="1">IF(AND($C40="Goal",EB$8&gt;=$G40,EB$8&lt;=$G40+$H40-1),2,IF(AND($C40="Milestone",EB$8&gt;=$G40,EB$8&lt;=$G40+$H40-1),1,""))</f>
        <v/>
      </c>
      <c r="EC40" s="69" t="str">
        <f ca="1">IF(AND($C40="Goal",EC$8&gt;=$G40,EC$8&lt;=$G40+$H40-1),2,IF(AND($C40="Milestone",EC$8&gt;=$G40,EC$8&lt;=$G40+$H40-1),1,""))</f>
        <v/>
      </c>
      <c r="ED40" s="69" t="str">
        <f ca="1">IF(AND($C40="Goal",ED$8&gt;=$G40,ED$8&lt;=$G40+$H40-1),2,IF(AND($C40="Milestone",ED$8&gt;=$G40,ED$8&lt;=$G40+$H40-1),1,""))</f>
        <v/>
      </c>
      <c r="EE40" s="69" t="str">
        <f ca="1">IF(AND($C40="Goal",EE$8&gt;=$G40,EE$8&lt;=$G40+$H40-1),2,IF(AND($C40="Milestone",EE$8&gt;=$G40,EE$8&lt;=$G40+$H40-1),1,""))</f>
        <v/>
      </c>
      <c r="EF40" s="69" t="str">
        <f ca="1">IF(AND($C40="Goal",EF$8&gt;=$G40,EF$8&lt;=$G40+$H40-1),2,IF(AND($C40="Milestone",EF$8&gt;=$G40,EF$8&lt;=$G40+$H40-1),1,""))</f>
        <v/>
      </c>
      <c r="EG40" s="69" t="str">
        <f ca="1">IF(AND($C40="Goal",EG$8&gt;=$G40,EG$8&lt;=$G40+$H40-1),2,IF(AND($C40="Milestone",EG$8&gt;=$G40,EG$8&lt;=$G40+$H40-1),1,""))</f>
        <v/>
      </c>
      <c r="EH40" s="69" t="str">
        <f ca="1">IF(AND($C40="Goal",EH$8&gt;=$G40,EH$8&lt;=$G40+$H40-1),2,IF(AND($C40="Milestone",EH$8&gt;=$G40,EH$8&lt;=$G40+$H40-1),1,""))</f>
        <v/>
      </c>
      <c r="EI40" s="69" t="str">
        <f ca="1">IF(AND($C40="Goal",EI$8&gt;=$G40,EI$8&lt;=$G40+$H40-1),2,IF(AND($C40="Milestone",EI$8&gt;=$G40,EI$8&lt;=$G40+$H40-1),1,""))</f>
        <v/>
      </c>
      <c r="EJ40" s="69" t="str">
        <f ca="1">IF(AND($C40="Goal",EJ$8&gt;=$G40,EJ$8&lt;=$G40+$H40-1),2,IF(AND($C40="Milestone",EJ$8&gt;=$G40,EJ$8&lt;=$G40+$H40-1),1,""))</f>
        <v/>
      </c>
      <c r="EK40" s="69" t="str">
        <f ca="1">IF(AND($C40="Goal",EK$8&gt;=$G40,EK$8&lt;=$G40+$H40-1),2,IF(AND($C40="Milestone",EK$8&gt;=$G40,EK$8&lt;=$G40+$H40-1),1,""))</f>
        <v/>
      </c>
      <c r="EL40" s="69" t="str">
        <f ca="1">IF(AND($C40="Goal",EL$8&gt;=$G40,EL$8&lt;=$G40+$H40-1),2,IF(AND($C40="Milestone",EL$8&gt;=$G40,EL$8&lt;=$G40+$H40-1),1,""))</f>
        <v/>
      </c>
      <c r="EM40" s="69" t="str">
        <f ca="1">IF(AND($C40="Goal",EM$8&gt;=$G40,EM$8&lt;=$G40+$H40-1),2,IF(AND($C40="Milestone",EM$8&gt;=$G40,EM$8&lt;=$G40+$H40-1),1,""))</f>
        <v/>
      </c>
      <c r="EN40" s="69" t="str">
        <f ca="1">IF(AND($C40="Goal",EN$8&gt;=$G40,EN$8&lt;=$G40+$H40-1),2,IF(AND($C40="Milestone",EN$8&gt;=$G40,EN$8&lt;=$G40+$H40-1),1,""))</f>
        <v/>
      </c>
      <c r="EO40" s="69" t="str">
        <f ca="1">IF(AND($C40="Goal",EO$8&gt;=$G40,EO$8&lt;=$G40+$H40-1),2,IF(AND($C40="Milestone",EO$8&gt;=$G40,EO$8&lt;=$G40+$H40-1),1,""))</f>
        <v/>
      </c>
      <c r="EP40" s="69" t="str">
        <f ca="1">IF(AND($C40="Goal",EP$8&gt;=$G40,EP$8&lt;=$G40+$H40-1),2,IF(AND($C40="Milestone",EP$8&gt;=$G40,EP$8&lt;=$G40+$H40-1),1,""))</f>
        <v/>
      </c>
      <c r="EQ40" s="69" t="str">
        <f ca="1">IF(AND($C40="Goal",EQ$8&gt;=$G40,EQ$8&lt;=$G40+$H40-1),2,IF(AND($C40="Milestone",EQ$8&gt;=$G40,EQ$8&lt;=$G40+$H40-1),1,""))</f>
        <v/>
      </c>
      <c r="ER40" s="69" t="str">
        <f ca="1">IF(AND($C40="Goal",ER$8&gt;=$G40,ER$8&lt;=$G40+$H40-1),2,IF(AND($C40="Milestone",ER$8&gt;=$G40,ER$8&lt;=$G40+$H40-1),1,""))</f>
        <v/>
      </c>
      <c r="ES40" s="69" t="str">
        <f ca="1">IF(AND($C40="Goal",ES$8&gt;=$G40,ES$8&lt;=$G40+$H40-1),2,IF(AND($C40="Milestone",ES$8&gt;=$G40,ES$8&lt;=$G40+$H40-1),1,""))</f>
        <v/>
      </c>
      <c r="ET40" s="69" t="str">
        <f ca="1">IF(AND($C40="Goal",ET$8&gt;=$G40,ET$8&lt;=$G40+$H40-1),2,IF(AND($C40="Milestone",ET$8&gt;=$G40,ET$8&lt;=$G40+$H40-1),1,""))</f>
        <v/>
      </c>
      <c r="EU40" s="69" t="str">
        <f ca="1">IF(AND($C40="Goal",EU$8&gt;=$G40,EU$8&lt;=$G40+$H40-1),2,IF(AND($C40="Milestone",EU$8&gt;=$G40,EU$8&lt;=$G40+$H40-1),1,""))</f>
        <v/>
      </c>
      <c r="EV40" s="69" t="str">
        <f ca="1">IF(AND($C40="Goal",EV$8&gt;=$G40,EV$8&lt;=$G40+$H40-1),2,IF(AND($C40="Milestone",EV$8&gt;=$G40,EV$8&lt;=$G40+$H40-1),1,""))</f>
        <v/>
      </c>
      <c r="EW40" s="69" t="str">
        <f ca="1">IF(AND($C40="Goal",EW$8&gt;=$G40,EW$8&lt;=$G40+$H40-1),2,IF(AND($C40="Milestone",EW$8&gt;=$G40,EW$8&lt;=$G40+$H40-1),1,""))</f>
        <v/>
      </c>
      <c r="EX40" s="69" t="str">
        <f ca="1">IF(AND($C40="Goal",EX$8&gt;=$G40,EX$8&lt;=$G40+$H40-1),2,IF(AND($C40="Milestone",EX$8&gt;=$G40,EX$8&lt;=$G40+$H40-1),1,""))</f>
        <v/>
      </c>
      <c r="EY40" s="69" t="str">
        <f ca="1">IF(AND($C40="Goal",EY$8&gt;=$G40,EY$8&lt;=$G40+$H40-1),2,IF(AND($C40="Milestone",EY$8&gt;=$G40,EY$8&lt;=$G40+$H40-1),1,""))</f>
        <v/>
      </c>
      <c r="EZ40" s="69" t="str">
        <f ca="1">IF(AND($C40="Goal",EZ$8&gt;=$G40,EZ$8&lt;=$G40+$H40-1),2,IF(AND($C40="Milestone",EZ$8&gt;=$G40,EZ$8&lt;=$G40+$H40-1),1,""))</f>
        <v/>
      </c>
      <c r="FA40" s="69" t="str">
        <f ca="1">IF(AND($C40="Goal",FA$8&gt;=$G40,FA$8&lt;=$G40+$H40-1),2,IF(AND($C40="Milestone",FA$8&gt;=$G40,FA$8&lt;=$G40+$H40-1),1,""))</f>
        <v/>
      </c>
      <c r="FB40" s="69" t="str">
        <f ca="1">IF(AND($C40="Goal",FB$8&gt;=$G40,FB$8&lt;=$G40+$H40-1),2,IF(AND($C40="Milestone",FB$8&gt;=$G40,FB$8&lt;=$G40+$H40-1),1,""))</f>
        <v/>
      </c>
      <c r="FC40" s="69" t="str">
        <f ca="1">IF(AND($C40="Goal",FC$8&gt;=$G40,FC$8&lt;=$G40+$H40-1),2,IF(AND($C40="Milestone",FC$8&gt;=$G40,FC$8&lt;=$G40+$H40-1),1,""))</f>
        <v/>
      </c>
      <c r="FD40" s="69" t="str">
        <f ca="1">IF(AND($C40="Goal",FD$8&gt;=$G40,FD$8&lt;=$G40+$H40-1),2,IF(AND($C40="Milestone",FD$8&gt;=$G40,FD$8&lt;=$G40+$H40-1),1,""))</f>
        <v/>
      </c>
      <c r="FE40" s="69" t="str">
        <f ca="1">IF(AND($C40="Goal",FE$8&gt;=$G40,FE$8&lt;=$G40+$H40-1),2,IF(AND($C40="Milestone",FE$8&gt;=$G40,FE$8&lt;=$G40+$H40-1),1,""))</f>
        <v/>
      </c>
      <c r="FF40" s="69" t="str">
        <f ca="1">IF(AND($C40="Goal",FF$8&gt;=$G40,FF$8&lt;=$G40+$H40-1),2,IF(AND($C40="Milestone",FF$8&gt;=$G40,FF$8&lt;=$G40+$H40-1),1,""))</f>
        <v/>
      </c>
      <c r="FG40" s="69" t="str">
        <f ca="1">IF(AND($C40="Goal",FG$8&gt;=$G40,FG$8&lt;=$G40+$H40-1),2,IF(AND($C40="Milestone",FG$8&gt;=$G40,FG$8&lt;=$G40+$H40-1),1,""))</f>
        <v/>
      </c>
      <c r="FH40" s="69" t="str">
        <f ca="1">IF(AND($C40="Goal",FH$8&gt;=$G40,FH$8&lt;=$G40+$H40-1),2,IF(AND($C40="Milestone",FH$8&gt;=$G40,FH$8&lt;=$G40+$H40-1),1,""))</f>
        <v/>
      </c>
      <c r="FI40" s="69" t="str">
        <f ca="1">IF(AND($C40="Goal",FI$8&gt;=$G40,FI$8&lt;=$G40+$H40-1),2,IF(AND($C40="Milestone",FI$8&gt;=$G40,FI$8&lt;=$G40+$H40-1),1,""))</f>
        <v/>
      </c>
      <c r="FJ40" s="69" t="str">
        <f ca="1">IF(AND($C40="Goal",FJ$8&gt;=$G40,FJ$8&lt;=$G40+$H40-1),2,IF(AND($C40="Milestone",FJ$8&gt;=$G40,FJ$8&lt;=$G40+$H40-1),1,""))</f>
        <v/>
      </c>
      <c r="FK40" s="69" t="str">
        <f ca="1">IF(AND($C40="Goal",FK$8&gt;=$G40,FK$8&lt;=$G40+$H40-1),2,IF(AND($C40="Milestone",FK$8&gt;=$G40,FK$8&lt;=$G40+$H40-1),1,""))</f>
        <v/>
      </c>
      <c r="FL40" s="69" t="str">
        <f ca="1">IF(AND($C40="Goal",FL$8&gt;=$G40,FL$8&lt;=$G40+$H40-1),2,IF(AND($C40="Milestone",FL$8&gt;=$G40,FL$8&lt;=$G40+$H40-1),1,""))</f>
        <v/>
      </c>
      <c r="FM40" s="69" t="str">
        <f ca="1">IF(AND($C40="Goal",FM$8&gt;=$G40,FM$8&lt;=$G40+$H40-1),2,IF(AND($C40="Milestone",FM$8&gt;=$G40,FM$8&lt;=$G40+$H40-1),1,""))</f>
        <v/>
      </c>
      <c r="FN40" s="69" t="str">
        <f ca="1">IF(AND($C40="Goal",FN$8&gt;=$G40,FN$8&lt;=$G40+$H40-1),2,IF(AND($C40="Milestone",FN$8&gt;=$G40,FN$8&lt;=$G40+$H40-1),1,""))</f>
        <v/>
      </c>
      <c r="FO40" s="69" t="str">
        <f ca="1">IF(AND($C40="Goal",FO$8&gt;=$G40,FO$8&lt;=$G40+$H40-1),2,IF(AND($C40="Milestone",FO$8&gt;=$G40,FO$8&lt;=$G40+$H40-1),1,""))</f>
        <v/>
      </c>
      <c r="FP40" s="69" t="str">
        <f ca="1">IF(AND($C40="Goal",FP$8&gt;=$G40,FP$8&lt;=$G40+$H40-1),2,IF(AND($C40="Milestone",FP$8&gt;=$G40,FP$8&lt;=$G40+$H40-1),1,""))</f>
        <v/>
      </c>
      <c r="FQ40" s="69" t="str">
        <f ca="1">IF(AND($C40="Goal",FQ$8&gt;=$G40,FQ$8&lt;=$G40+$H40-1),2,IF(AND($C40="Milestone",FQ$8&gt;=$G40,FQ$8&lt;=$G40+$H40-1),1,""))</f>
        <v/>
      </c>
      <c r="FR40" s="69" t="str">
        <f ca="1">IF(AND($C40="Goal",FR$8&gt;=$G40,FR$8&lt;=$G40+$H40-1),2,IF(AND($C40="Milestone",FR$8&gt;=$G40,FR$8&lt;=$G40+$H40-1),1,""))</f>
        <v/>
      </c>
      <c r="FS40" s="69" t="str">
        <f ca="1">IF(AND($C40="Goal",FS$8&gt;=$G40,FS$8&lt;=$G40+$H40-1),2,IF(AND($C40="Milestone",FS$8&gt;=$G40,FS$8&lt;=$G40+$H40-1),1,""))</f>
        <v/>
      </c>
      <c r="FT40" s="69" t="str">
        <f ca="1">IF(AND($C40="Goal",FT$8&gt;=$G40,FT$8&lt;=$G40+$H40-1),2,IF(AND($C40="Milestone",FT$8&gt;=$G40,FT$8&lt;=$G40+$H40-1),1,""))</f>
        <v/>
      </c>
      <c r="FU40" s="69" t="str">
        <f ca="1">IF(AND($C40="Goal",FU$8&gt;=$G40,FU$8&lt;=$G40+$H40-1),2,IF(AND($C40="Milestone",FU$8&gt;=$G40,FU$8&lt;=$G40+$H40-1),1,""))</f>
        <v/>
      </c>
      <c r="FV40" s="69" t="str">
        <f ca="1">IF(AND($C40="Goal",FV$8&gt;=$G40,FV$8&lt;=$G40+$H40-1),2,IF(AND($C40="Milestone",FV$8&gt;=$G40,FV$8&lt;=$G40+$H40-1),1,""))</f>
        <v/>
      </c>
      <c r="FW40" s="69" t="str">
        <f ca="1">IF(AND($C40="Goal",FW$8&gt;=$G40,FW$8&lt;=$G40+$H40-1),2,IF(AND($C40="Milestone",FW$8&gt;=$G40,FW$8&lt;=$G40+$H40-1),1,""))</f>
        <v/>
      </c>
      <c r="FX40" s="69" t="str">
        <f ca="1">IF(AND($C40="Goal",FX$8&gt;=$G40,FX$8&lt;=$G40+$H40-1),2,IF(AND($C40="Milestone",FX$8&gt;=$G40,FX$8&lt;=$G40+$H40-1),1,""))</f>
        <v/>
      </c>
      <c r="FY40" s="69" t="str">
        <f ca="1">IF(AND($C40="Goal",FY$8&gt;=$G40,FY$8&lt;=$G40+$H40-1),2,IF(AND($C40="Milestone",FY$8&gt;=$G40,FY$8&lt;=$G40+$H40-1),1,""))</f>
        <v/>
      </c>
      <c r="FZ40" s="69" t="str">
        <f ca="1">IF(AND($C40="Goal",FZ$8&gt;=$G40,FZ$8&lt;=$G40+$H40-1),2,IF(AND($C40="Milestone",FZ$8&gt;=$G40,FZ$8&lt;=$G40+$H40-1),1,""))</f>
        <v/>
      </c>
      <c r="GA40" s="69" t="str">
        <f ca="1">IF(AND($C40="Goal",GA$8&gt;=$G40,GA$8&lt;=$G40+$H40-1),2,IF(AND($C40="Milestone",GA$8&gt;=$G40,GA$8&lt;=$G40+$H40-1),1,""))</f>
        <v/>
      </c>
      <c r="GB40" s="69" t="str">
        <f ca="1">IF(AND($C40="Goal",GB$8&gt;=$G40,GB$8&lt;=$G40+$H40-1),2,IF(AND($C40="Milestone",GB$8&gt;=$G40,GB$8&lt;=$G40+$H40-1),1,""))</f>
        <v/>
      </c>
      <c r="GC40" s="69" t="str">
        <f ca="1">IF(AND($C40="Goal",GC$8&gt;=$G40,GC$8&lt;=$G40+$H40-1),2,IF(AND($C40="Milestone",GC$8&gt;=$G40,GC$8&lt;=$G40+$H40-1),1,""))</f>
        <v/>
      </c>
      <c r="GD40" s="69" t="str">
        <f ca="1">IF(AND($C40="Goal",GD$8&gt;=$G40,GD$8&lt;=$G40+$H40-1),2,IF(AND($C40="Milestone",GD$8&gt;=$G40,GD$8&lt;=$G40+$H40-1),1,""))</f>
        <v/>
      </c>
      <c r="GE40" s="69" t="str">
        <f ca="1">IF(AND($C40="Goal",GE$8&gt;=$G40,GE$8&lt;=$G40+$H40-1),2,IF(AND($C40="Milestone",GE$8&gt;=$G40,GE$8&lt;=$G40+$H40-1),1,""))</f>
        <v/>
      </c>
      <c r="GF40" s="69" t="str">
        <f ca="1">IF(AND($C40="Goal",GF$8&gt;=$G40,GF$8&lt;=$G40+$H40-1),2,IF(AND($C40="Milestone",GF$8&gt;=$G40,GF$8&lt;=$G40+$H40-1),1,""))</f>
        <v/>
      </c>
      <c r="GG40" s="69" t="str">
        <f ca="1">IF(AND($C40="Goal",GG$8&gt;=$G40,GG$8&lt;=$G40+$H40-1),2,IF(AND($C40="Milestone",GG$8&gt;=$G40,GG$8&lt;=$G40+$H40-1),1,""))</f>
        <v/>
      </c>
      <c r="GH40" s="69" t="str">
        <f ca="1">IF(AND($C40="Goal",GH$8&gt;=$G40,GH$8&lt;=$G40+$H40-1),2,IF(AND($C40="Milestone",GH$8&gt;=$G40,GH$8&lt;=$G40+$H40-1),1,""))</f>
        <v/>
      </c>
      <c r="GI40" s="69" t="str">
        <f ca="1">IF(AND($C40="Goal",GI$8&gt;=$G40,GI$8&lt;=$G40+$H40-1),2,IF(AND($C40="Milestone",GI$8&gt;=$G40,GI$8&lt;=$G40+$H40-1),1,""))</f>
        <v/>
      </c>
      <c r="GJ40" s="69" t="str">
        <f ca="1">IF(AND($C40="Goal",GJ$8&gt;=$G40,GJ$8&lt;=$G40+$H40-1),2,IF(AND($C40="Milestone",GJ$8&gt;=$G40,GJ$8&lt;=$G40+$H40-1),1,""))</f>
        <v/>
      </c>
      <c r="GK40" s="69" t="str">
        <f ca="1">IF(AND($C40="Goal",GK$8&gt;=$G40,GK$8&lt;=$G40+$H40-1),2,IF(AND($C40="Milestone",GK$8&gt;=$G40,GK$8&lt;=$G40+$H40-1),1,""))</f>
        <v/>
      </c>
      <c r="GL40" s="69" t="str">
        <f ca="1">IF(AND($C40="Goal",GL$8&gt;=$G40,GL$8&lt;=$G40+$H40-1),2,IF(AND($C40="Milestone",GL$8&gt;=$G40,GL$8&lt;=$G40+$H40-1),1,""))</f>
        <v/>
      </c>
      <c r="GM40" s="69" t="str">
        <f ca="1">IF(AND($C40="Goal",GM$8&gt;=$G40,GM$8&lt;=$G40+$H40-1),2,IF(AND($C40="Milestone",GM$8&gt;=$G40,GM$8&lt;=$G40+$H40-1),1,""))</f>
        <v/>
      </c>
      <c r="GN40" s="69" t="str">
        <f ca="1">IF(AND($C40="Goal",GN$8&gt;=$G40,GN$8&lt;=$G40+$H40-1),2,IF(AND($C40="Milestone",GN$8&gt;=$G40,GN$8&lt;=$G40+$H40-1),1,""))</f>
        <v/>
      </c>
      <c r="GO40" s="69" t="str">
        <f ca="1">IF(AND($C40="Goal",GO$8&gt;=$G40,GO$8&lt;=$G40+$H40-1),2,IF(AND($C40="Milestone",GO$8&gt;=$G40,GO$8&lt;=$G40+$H40-1),1,""))</f>
        <v/>
      </c>
      <c r="GP40" s="69" t="str">
        <f ca="1">IF(AND($C40="Goal",GP$8&gt;=$G40,GP$8&lt;=$G40+$H40-1),2,IF(AND($C40="Milestone",GP$8&gt;=$G40,GP$8&lt;=$G40+$H40-1),1,""))</f>
        <v/>
      </c>
      <c r="GQ40" s="69" t="str">
        <f ca="1">IF(AND($C40="Goal",GQ$8&gt;=$G40,GQ$8&lt;=$G40+$H40-1),2,IF(AND($C40="Milestone",GQ$8&gt;=$G40,GQ$8&lt;=$G40+$H40-1),1,""))</f>
        <v/>
      </c>
      <c r="GR40" s="69" t="str">
        <f ca="1">IF(AND($C40="Goal",GR$8&gt;=$G40,GR$8&lt;=$G40+$H40-1),2,IF(AND($C40="Milestone",GR$8&gt;=$G40,GR$8&lt;=$G40+$H40-1),1,""))</f>
        <v/>
      </c>
      <c r="GS40" s="69" t="str">
        <f ca="1">IF(AND($C40="Goal",GS$8&gt;=$G40,GS$8&lt;=$G40+$H40-1),2,IF(AND($C40="Milestone",GS$8&gt;=$G40,GS$8&lt;=$G40+$H40-1),1,""))</f>
        <v/>
      </c>
      <c r="GT40" s="69" t="str">
        <f ca="1">IF(AND($C40="Goal",GT$8&gt;=$G40,GT$8&lt;=$G40+$H40-1),2,IF(AND($C40="Milestone",GT$8&gt;=$G40,GT$8&lt;=$G40+$H40-1),1,""))</f>
        <v/>
      </c>
      <c r="GU40" s="69" t="str">
        <f ca="1">IF(AND($C40="Goal",GU$8&gt;=$G40,GU$8&lt;=$G40+$H40-1),2,IF(AND($C40="Milestone",GU$8&gt;=$G40,GU$8&lt;=$G40+$H40-1),1,""))</f>
        <v/>
      </c>
      <c r="GV40" s="69" t="str">
        <f ca="1">IF(AND($C40="Goal",GV$8&gt;=$G40,GV$8&lt;=$G40+$H40-1),2,IF(AND($C40="Milestone",GV$8&gt;=$G40,GV$8&lt;=$G40+$H40-1),1,""))</f>
        <v/>
      </c>
      <c r="GW40" s="69" t="str">
        <f ca="1">IF(AND($C40="Goal",GW$8&gt;=$G40,GW$8&lt;=$G40+$H40-1),2,IF(AND($C40="Milestone",GW$8&gt;=$G40,GW$8&lt;=$G40+$H40-1),1,""))</f>
        <v/>
      </c>
      <c r="GX40" s="69" t="str">
        <f ca="1">IF(AND($C40="Goal",GX$8&gt;=$G40,GX$8&lt;=$G40+$H40-1),2,IF(AND($C40="Milestone",GX$8&gt;=$G40,GX$8&lt;=$G40+$H40-1),1,""))</f>
        <v/>
      </c>
      <c r="GY40" s="69" t="str">
        <f ca="1">IF(AND($C40="Goal",GY$8&gt;=$G40,GY$8&lt;=$G40+$H40-1),2,IF(AND($C40="Milestone",GY$8&gt;=$G40,GY$8&lt;=$G40+$H40-1),1,""))</f>
        <v/>
      </c>
      <c r="GZ40" s="69" t="str">
        <f ca="1">IF(AND($C40="Goal",GZ$8&gt;=$G40,GZ$8&lt;=$G40+$H40-1),2,IF(AND($C40="Milestone",GZ$8&gt;=$G40,GZ$8&lt;=$G40+$H40-1),1,""))</f>
        <v/>
      </c>
      <c r="HA40" s="69" t="str">
        <f ca="1">IF(AND($C40="Goal",HA$8&gt;=$G40,HA$8&lt;=$G40+$H40-1),2,IF(AND($C40="Milestone",HA$8&gt;=$G40,HA$8&lt;=$G40+$H40-1),1,""))</f>
        <v/>
      </c>
      <c r="HB40" s="69" t="str">
        <f ca="1">IF(AND($C40="Goal",HB$8&gt;=$G40,HB$8&lt;=$G40+$H40-1),2,IF(AND($C40="Milestone",HB$8&gt;=$G40,HB$8&lt;=$G40+$H40-1),1,""))</f>
        <v/>
      </c>
      <c r="HC40" s="69" t="str">
        <f ca="1">IF(AND($C40="Goal",HC$8&gt;=$G40,HC$8&lt;=$G40+$H40-1),2,IF(AND($C40="Milestone",HC$8&gt;=$G40,HC$8&lt;=$G40+$H40-1),1,""))</f>
        <v/>
      </c>
      <c r="HD40" s="69" t="str">
        <f ca="1">IF(AND($C40="Goal",HD$8&gt;=$G40,HD$8&lt;=$G40+$H40-1),2,IF(AND($C40="Milestone",HD$8&gt;=$G40,HD$8&lt;=$G40+$H40-1),1,""))</f>
        <v/>
      </c>
      <c r="HE40" s="69" t="str">
        <f ca="1">IF(AND($C40="Goal",HE$8&gt;=$G40,HE$8&lt;=$G40+$H40-1),2,IF(AND($C40="Milestone",HE$8&gt;=$G40,HE$8&lt;=$G40+$H40-1),1,""))</f>
        <v/>
      </c>
      <c r="HF40" s="69" t="str">
        <f ca="1">IF(AND($C40="Goal",HF$8&gt;=$G40,HF$8&lt;=$G40+$H40-1),2,IF(AND($C40="Milestone",HF$8&gt;=$G40,HF$8&lt;=$G40+$H40-1),1,""))</f>
        <v/>
      </c>
      <c r="HG40" s="69" t="str">
        <f ca="1">IF(AND($C40="Goal",HG$8&gt;=$G40,HG$8&lt;=$G40+$H40-1),2,IF(AND($C40="Milestone",HG$8&gt;=$G40,HG$8&lt;=$G40+$H40-1),1,""))</f>
        <v/>
      </c>
      <c r="HH40" s="69" t="str">
        <f ca="1">IF(AND($C40="Goal",HH$8&gt;=$G40,HH$8&lt;=$G40+$H40-1),2,IF(AND($C40="Milestone",HH$8&gt;=$G40,HH$8&lt;=$G40+$H40-1),1,""))</f>
        <v/>
      </c>
      <c r="HI40" s="69" t="str">
        <f ca="1">IF(AND($C40="Goal",HI$8&gt;=$G40,HI$8&lt;=$G40+$H40-1),2,IF(AND($C40="Milestone",HI$8&gt;=$G40,HI$8&lt;=$G40+$H40-1),1,""))</f>
        <v/>
      </c>
      <c r="HJ40" s="69" t="str">
        <f ca="1">IF(AND($C40="Goal",HJ$8&gt;=$G40,HJ$8&lt;=$G40+$H40-1),2,IF(AND($C40="Milestone",HJ$8&gt;=$G40,HJ$8&lt;=$G40+$H40-1),1,""))</f>
        <v/>
      </c>
      <c r="HK40" s="69" t="str">
        <f ca="1">IF(AND($C40="Goal",HK$8&gt;=$G40,HK$8&lt;=$G40+$H40-1),2,IF(AND($C40="Milestone",HK$8&gt;=$G40,HK$8&lt;=$G40+$H40-1),1,""))</f>
        <v/>
      </c>
      <c r="HL40" s="69" t="str">
        <f ca="1">IF(AND($C40="Goal",HL$8&gt;=$G40,HL$8&lt;=$G40+$H40-1),2,IF(AND($C40="Milestone",HL$8&gt;=$G40,HL$8&lt;=$G40+$H40-1),1,""))</f>
        <v/>
      </c>
      <c r="HM40" s="69" t="str">
        <f ca="1">IF(AND($C40="Goal",HM$8&gt;=$G40,HM$8&lt;=$G40+$H40-1),2,IF(AND($C40="Milestone",HM$8&gt;=$G40,HM$8&lt;=$G40+$H40-1),1,""))</f>
        <v/>
      </c>
      <c r="HN40" s="69" t="str">
        <f ca="1">IF(AND($C40="Goal",HN$8&gt;=$G40,HN$8&lt;=$G40+$H40-1),2,IF(AND($C40="Milestone",HN$8&gt;=$G40,HN$8&lt;=$G40+$H40-1),1,""))</f>
        <v/>
      </c>
      <c r="HO40" s="69" t="str">
        <f ca="1">IF(AND($C40="Goal",HO$8&gt;=$G40,HO$8&lt;=$G40+$H40-1),2,IF(AND($C40="Milestone",HO$8&gt;=$G40,HO$8&lt;=$G40+$H40-1),1,""))</f>
        <v/>
      </c>
      <c r="HP40" s="69" t="str">
        <f ca="1">IF(AND($C40="Goal",HP$8&gt;=$G40,HP$8&lt;=$G40+$H40-1),2,IF(AND($C40="Milestone",HP$8&gt;=$G40,HP$8&lt;=$G40+$H40-1),1,""))</f>
        <v/>
      </c>
      <c r="HQ40" s="69" t="str">
        <f ca="1">IF(AND($C40="Goal",HQ$8&gt;=$G40,HQ$8&lt;=$G40+$H40-1),2,IF(AND($C40="Milestone",HQ$8&gt;=$G40,HQ$8&lt;=$G40+$H40-1),1,""))</f>
        <v/>
      </c>
      <c r="HR40" s="69" t="str">
        <f ca="1">IF(AND($C40="Goal",HR$8&gt;=$G40,HR$8&lt;=$G40+$H40-1),2,IF(AND($C40="Milestone",HR$8&gt;=$G40,HR$8&lt;=$G40+$H40-1),1,""))</f>
        <v/>
      </c>
      <c r="HS40" s="69" t="str">
        <f ca="1">IF(AND($C40="Goal",HS$8&gt;=$G40,HS$8&lt;=$G40+$H40-1),2,IF(AND($C40="Milestone",HS$8&gt;=$G40,HS$8&lt;=$G40+$H40-1),1,""))</f>
        <v/>
      </c>
      <c r="HT40" s="69" t="str">
        <f ca="1">IF(AND($C40="Goal",HT$8&gt;=$G40,HT$8&lt;=$G40+$H40-1),2,IF(AND($C40="Milestone",HT$8&gt;=$G40,HT$8&lt;=$G40+$H40-1),1,""))</f>
        <v/>
      </c>
      <c r="HU40" s="69" t="str">
        <f ca="1">IF(AND($C40="Goal",HU$8&gt;=$G40,HU$8&lt;=$G40+$H40-1),2,IF(AND($C40="Milestone",HU$8&gt;=$G40,HU$8&lt;=$G40+$H40-1),1,""))</f>
        <v/>
      </c>
      <c r="HV40" s="69" t="str">
        <f ca="1">IF(AND($C40="Goal",HV$8&gt;=$G40,HV$8&lt;=$G40+$H40-1),2,IF(AND($C40="Milestone",HV$8&gt;=$G40,HV$8&lt;=$G40+$H40-1),1,""))</f>
        <v/>
      </c>
      <c r="HW40" s="69" t="str">
        <f ca="1">IF(AND($C40="Goal",HW$8&gt;=$G40,HW$8&lt;=$G40+$H40-1),2,IF(AND($C40="Milestone",HW$8&gt;=$G40,HW$8&lt;=$G40+$H40-1),1,""))</f>
        <v/>
      </c>
      <c r="HX40" s="69" t="str">
        <f ca="1">IF(AND($C40="Goal",HX$8&gt;=$G40,HX$8&lt;=$G40+$H40-1),2,IF(AND($C40="Milestone",HX$8&gt;=$G40,HX$8&lt;=$G40+$H40-1),1,""))</f>
        <v/>
      </c>
      <c r="HY40" s="69" t="str">
        <f ca="1">IF(AND($C40="Goal",HY$8&gt;=$G40,HY$8&lt;=$G40+$H40-1),2,IF(AND($C40="Milestone",HY$8&gt;=$G40,HY$8&lt;=$G40+$H40-1),1,""))</f>
        <v/>
      </c>
      <c r="HZ40" s="69" t="str">
        <f ca="1">IF(AND($C40="Goal",HZ$8&gt;=$G40,HZ$8&lt;=$G40+$H40-1),2,IF(AND($C40="Milestone",HZ$8&gt;=$G40,HZ$8&lt;=$G40+$H40-1),1,""))</f>
        <v/>
      </c>
      <c r="IA40" s="69" t="str">
        <f ca="1">IF(AND($C40="Goal",IA$8&gt;=$G40,IA$8&lt;=$G40+$H40-1),2,IF(AND($C40="Milestone",IA$8&gt;=$G40,IA$8&lt;=$G40+$H40-1),1,""))</f>
        <v/>
      </c>
      <c r="IB40" s="69" t="str">
        <f ca="1">IF(AND($C40="Goal",IB$8&gt;=$G40,IB$8&lt;=$G40+$H40-1),2,IF(AND($C40="Milestone",IB$8&gt;=$G40,IB$8&lt;=$G40+$H40-1),1,""))</f>
        <v/>
      </c>
      <c r="IC40" s="69" t="str">
        <f ca="1">IF(AND($C40="Goal",IC$8&gt;=$G40,IC$8&lt;=$G40+$H40-1),2,IF(AND($C40="Milestone",IC$8&gt;=$G40,IC$8&lt;=$G40+$H40-1),1,""))</f>
        <v/>
      </c>
      <c r="ID40" s="69" t="str">
        <f ca="1">IF(AND($C40="Goal",ID$8&gt;=$G40,ID$8&lt;=$G40+$H40-1),2,IF(AND($C40="Milestone",ID$8&gt;=$G40,ID$8&lt;=$G40+$H40-1),1,""))</f>
        <v/>
      </c>
      <c r="IE40" s="69" t="str">
        <f ca="1">IF(AND($C40="Goal",IE$8&gt;=$G40,IE$8&lt;=$G40+$H40-1),2,IF(AND($C40="Milestone",IE$8&gt;=$G40,IE$8&lt;=$G40+$H40-1),1,""))</f>
        <v/>
      </c>
      <c r="IF40" s="69" t="str">
        <f ca="1">IF(AND($C40="Goal",IF$8&gt;=$G40,IF$8&lt;=$G40+$H40-1),2,IF(AND($C40="Milestone",IF$8&gt;=$G40,IF$8&lt;=$G40+$H40-1),1,""))</f>
        <v/>
      </c>
      <c r="IG40" s="69" t="str">
        <f ca="1">IF(AND($C40="Goal",IG$8&gt;=$G40,IG$8&lt;=$G40+$H40-1),2,IF(AND($C40="Milestone",IG$8&gt;=$G40,IG$8&lt;=$G40+$H40-1),1,""))</f>
        <v/>
      </c>
      <c r="IH40" s="69" t="str">
        <f ca="1">IF(AND($C40="Goal",IH$8&gt;=$G40,IH$8&lt;=$G40+$H40-1),2,IF(AND($C40="Milestone",IH$8&gt;=$G40,IH$8&lt;=$G40+$H40-1),1,""))</f>
        <v/>
      </c>
      <c r="II40" s="69" t="str">
        <f ca="1">IF(AND($C40="Goal",II$8&gt;=$G40,II$8&lt;=$G40+$H40-1),2,IF(AND($C40="Milestone",II$8&gt;=$G40,II$8&lt;=$G40+$H40-1),1,""))</f>
        <v/>
      </c>
      <c r="IJ40" s="69" t="str">
        <f ca="1">IF(AND($C40="Goal",IJ$8&gt;=$G40,IJ$8&lt;=$G40+$H40-1),2,IF(AND($C40="Milestone",IJ$8&gt;=$G40,IJ$8&lt;=$G40+$H40-1),1,""))</f>
        <v/>
      </c>
      <c r="IK40" s="69" t="str">
        <f ca="1">IF(AND($C40="Goal",IK$8&gt;=$G40,IK$8&lt;=$G40+$H40-1),2,IF(AND($C40="Milestone",IK$8&gt;=$G40,IK$8&lt;=$G40+$H40-1),1,""))</f>
        <v/>
      </c>
      <c r="IL40" s="69" t="str">
        <f ca="1">IF(AND($C40="Goal",IL$8&gt;=$G40,IL$8&lt;=$G40+$H40-1),2,IF(AND($C40="Milestone",IL$8&gt;=$G40,IL$8&lt;=$G40+$H40-1),1,""))</f>
        <v/>
      </c>
      <c r="IM40" s="69" t="str">
        <f ca="1">IF(AND($C40="Goal",IM$8&gt;=$G40,IM$8&lt;=$G40+$H40-1),2,IF(AND($C40="Milestone",IM$8&gt;=$G40,IM$8&lt;=$G40+$H40-1),1,""))</f>
        <v/>
      </c>
      <c r="IN40" s="69" t="str">
        <f ca="1">IF(AND($C40="Goal",IN$8&gt;=$G40,IN$8&lt;=$G40+$H40-1),2,IF(AND($C40="Milestone",IN$8&gt;=$G40,IN$8&lt;=$G40+$H40-1),1,""))</f>
        <v/>
      </c>
      <c r="IO40" s="69" t="str">
        <f ca="1">IF(AND($C40="Goal",IO$8&gt;=$G40,IO$8&lt;=$G40+$H40-1),2,IF(AND($C40="Milestone",IO$8&gt;=$G40,IO$8&lt;=$G40+$H40-1),1,""))</f>
        <v/>
      </c>
      <c r="IP40" s="69" t="str">
        <f ca="1">IF(AND($C40="Goal",IP$8&gt;=$G40,IP$8&lt;=$G40+$H40-1),2,IF(AND($C40="Milestone",IP$8&gt;=$G40,IP$8&lt;=$G40+$H40-1),1,""))</f>
        <v/>
      </c>
      <c r="IQ40" s="69" t="str">
        <f ca="1">IF(AND($C40="Goal",IQ$8&gt;=$G40,IQ$8&lt;=$G40+$H40-1),2,IF(AND($C40="Milestone",IQ$8&gt;=$G40,IQ$8&lt;=$G40+$H40-1),1,""))</f>
        <v/>
      </c>
      <c r="IR40" s="69" t="str">
        <f ca="1">IF(AND($C40="Goal",IR$8&gt;=$G40,IR$8&lt;=$G40+$H40-1),2,IF(AND($C40="Milestone",IR$8&gt;=$G40,IR$8&lt;=$G40+$H40-1),1,""))</f>
        <v/>
      </c>
      <c r="IS40" s="69" t="str">
        <f ca="1">IF(AND($C40="Goal",IS$8&gt;=$G40,IS$8&lt;=$G40+$H40-1),2,IF(AND($C40="Milestone",IS$8&gt;=$G40,IS$8&lt;=$G40+$H40-1),1,""))</f>
        <v/>
      </c>
      <c r="IT40" s="69" t="str">
        <f ca="1">IF(AND($C40="Goal",IT$8&gt;=$G40,IT$8&lt;=$G40+$H40-1),2,IF(AND($C40="Milestone",IT$8&gt;=$G40,IT$8&lt;=$G40+$H40-1),1,""))</f>
        <v/>
      </c>
      <c r="IU40" s="69" t="str">
        <f ca="1">IF(AND($C40="Goal",IU$8&gt;=$G40,IU$8&lt;=$G40+$H40-1),2,IF(AND($C40="Milestone",IU$8&gt;=$G40,IU$8&lt;=$G40+$H40-1),1,""))</f>
        <v/>
      </c>
      <c r="IV40" s="69" t="str">
        <f ca="1">IF(AND($C40="Goal",IV$8&gt;=$G40,IV$8&lt;=$G40+$H40-1),2,IF(AND($C40="Milestone",IV$8&gt;=$G40,IV$8&lt;=$G40+$H40-1),1,""))</f>
        <v/>
      </c>
      <c r="IW40" s="69" t="str">
        <f ca="1">IF(AND($C40="Goal",IW$8&gt;=$G40,IW$8&lt;=$G40+$H40-1),2,IF(AND($C40="Milestone",IW$8&gt;=$G40,IW$8&lt;=$G40+$H40-1),1,""))</f>
        <v/>
      </c>
      <c r="IX40" s="69" t="str">
        <f ca="1">IF(AND($C40="Goal",IX$8&gt;=$G40,IX$8&lt;=$G40+$H40-1),2,IF(AND($C40="Milestone",IX$8&gt;=$G40,IX$8&lt;=$G40+$H40-1),1,""))</f>
        <v/>
      </c>
      <c r="IY40" s="69" t="str">
        <f ca="1">IF(AND($C40="Goal",IY$8&gt;=$G40,IY$8&lt;=$G40+$H40-1),2,IF(AND($C40="Milestone",IY$8&gt;=$G40,IY$8&lt;=$G40+$H40-1),1,""))</f>
        <v/>
      </c>
      <c r="IZ40" s="69" t="str">
        <f ca="1">IF(AND($C40="Goal",IZ$8&gt;=$G40,IZ$8&lt;=$G40+$H40-1),2,IF(AND($C40="Milestone",IZ$8&gt;=$G40,IZ$8&lt;=$G40+$H40-1),1,""))</f>
        <v/>
      </c>
      <c r="JA40" s="69" t="str">
        <f ca="1">IF(AND($C40="Goal",JA$8&gt;=$G40,JA$8&lt;=$G40+$H40-1),2,IF(AND($C40="Milestone",JA$8&gt;=$G40,JA$8&lt;=$G40+$H40-1),1,""))</f>
        <v/>
      </c>
      <c r="JB40" s="69" t="str">
        <f ca="1">IF(AND($C40="Goal",JB$8&gt;=$G40,JB$8&lt;=$G40+$H40-1),2,IF(AND($C40="Milestone",JB$8&gt;=$G40,JB$8&lt;=$G40+$H40-1),1,""))</f>
        <v/>
      </c>
      <c r="JC40" s="69" t="str">
        <f ca="1">IF(AND($C40="Goal",JC$8&gt;=$G40,JC$8&lt;=$G40+$H40-1),2,IF(AND($C40="Milestone",JC$8&gt;=$G40,JC$8&lt;=$G40+$H40-1),1,""))</f>
        <v/>
      </c>
      <c r="JD40" s="69" t="str">
        <f ca="1">IF(AND($C40="Goal",JD$8&gt;=$G40,JD$8&lt;=$G40+$H40-1),2,IF(AND($C40="Milestone",JD$8&gt;=$G40,JD$8&lt;=$G40+$H40-1),1,""))</f>
        <v/>
      </c>
      <c r="JE40" s="69" t="str">
        <f ca="1">IF(AND($C40="Goal",JE$8&gt;=$G40,JE$8&lt;=$G40+$H40-1),2,IF(AND($C40="Milestone",JE$8&gt;=$G40,JE$8&lt;=$G40+$H40-1),1,""))</f>
        <v/>
      </c>
      <c r="JF40" s="69" t="str">
        <f ca="1">IF(AND($C40="Goal",JF$8&gt;=$G40,JF$8&lt;=$G40+$H40-1),2,IF(AND($C40="Milestone",JF$8&gt;=$G40,JF$8&lt;=$G40+$H40-1),1,""))</f>
        <v/>
      </c>
      <c r="JG40" s="69" t="str">
        <f ca="1">IF(AND($C40="Goal",JG$8&gt;=$G40,JG$8&lt;=$G40+$H40-1),2,IF(AND($C40="Milestone",JG$8&gt;=$G40,JG$8&lt;=$G40+$H40-1),1,""))</f>
        <v/>
      </c>
      <c r="JH40" s="69" t="str">
        <f ca="1">IF(AND($C40="Goal",JH$8&gt;=$G40,JH$8&lt;=$G40+$H40-1),2,IF(AND($C40="Milestone",JH$8&gt;=$G40,JH$8&lt;=$G40+$H40-1),1,""))</f>
        <v/>
      </c>
      <c r="JI40" s="69" t="str">
        <f ca="1">IF(AND($C40="Goal",JI$8&gt;=$G40,JI$8&lt;=$G40+$H40-1),2,IF(AND($C40="Milestone",JI$8&gt;=$G40,JI$8&lt;=$G40+$H40-1),1,""))</f>
        <v/>
      </c>
      <c r="JJ40" s="69" t="str">
        <f ca="1">IF(AND($C40="Goal",JJ$8&gt;=$G40,JJ$8&lt;=$G40+$H40-1),2,IF(AND($C40="Milestone",JJ$8&gt;=$G40,JJ$8&lt;=$G40+$H40-1),1,""))</f>
        <v/>
      </c>
      <c r="JK40" s="69" t="str">
        <f ca="1">IF(AND($C40="Goal",JK$8&gt;=$G40,JK$8&lt;=$G40+$H40-1),2,IF(AND($C40="Milestone",JK$8&gt;=$G40,JK$8&lt;=$G40+$H40-1),1,""))</f>
        <v/>
      </c>
      <c r="JL40" s="69" t="str">
        <f ca="1">IF(AND($C40="Goal",JL$8&gt;=$G40,JL$8&lt;=$G40+$H40-1),2,IF(AND($C40="Milestone",JL$8&gt;=$G40,JL$8&lt;=$G40+$H40-1),1,""))</f>
        <v/>
      </c>
      <c r="JM40" s="69" t="str">
        <f ca="1">IF(AND($C40="Goal",JM$8&gt;=$G40,JM$8&lt;=$G40+$H40-1),2,IF(AND($C40="Milestone",JM$8&gt;=$G40,JM$8&lt;=$G40+$H40-1),1,""))</f>
        <v/>
      </c>
      <c r="JN40" s="69" t="str">
        <f ca="1">IF(AND($C40="Goal",JN$8&gt;=$G40,JN$8&lt;=$G40+$H40-1),2,IF(AND($C40="Milestone",JN$8&gt;=$G40,JN$8&lt;=$G40+$H40-1),1,""))</f>
        <v/>
      </c>
      <c r="JO40" s="69" t="str">
        <f ca="1">IF(AND($C40="Goal",JO$8&gt;=$G40,JO$8&lt;=$G40+$H40-1),2,IF(AND($C40="Milestone",JO$8&gt;=$G40,JO$8&lt;=$G40+$H40-1),1,""))</f>
        <v/>
      </c>
      <c r="JP40" s="69" t="str">
        <f ca="1">IF(AND($C40="Goal",JP$8&gt;=$G40,JP$8&lt;=$G40+$H40-1),2,IF(AND($C40="Milestone",JP$8&gt;=$G40,JP$8&lt;=$G40+$H40-1),1,""))</f>
        <v/>
      </c>
      <c r="JQ40" s="69" t="str">
        <f ca="1">IF(AND($C40="Goal",JQ$8&gt;=$G40,JQ$8&lt;=$G40+$H40-1),2,IF(AND($C40="Milestone",JQ$8&gt;=$G40,JQ$8&lt;=$G40+$H40-1),1,""))</f>
        <v/>
      </c>
      <c r="JR40" s="69" t="str">
        <f ca="1">IF(AND($C40="Goal",JR$8&gt;=$G40,JR$8&lt;=$G40+$H40-1),2,IF(AND($C40="Milestone",JR$8&gt;=$G40,JR$8&lt;=$G40+$H40-1),1,""))</f>
        <v/>
      </c>
      <c r="JS40" s="69" t="str">
        <f ca="1">IF(AND($C40="Goal",JS$8&gt;=$G40,JS$8&lt;=$G40+$H40-1),2,IF(AND($C40="Milestone",JS$8&gt;=$G40,JS$8&lt;=$G40+$H40-1),1,""))</f>
        <v/>
      </c>
      <c r="JT40" s="69" t="str">
        <f ca="1">IF(AND($C40="Goal",JT$8&gt;=$G40,JT$8&lt;=$G40+$H40-1),2,IF(AND($C40="Milestone",JT$8&gt;=$G40,JT$8&lt;=$G40+$H40-1),1,""))</f>
        <v/>
      </c>
      <c r="JU40" s="69" t="str">
        <f ca="1">IF(AND($C40="Goal",JU$8&gt;=$G40,JU$8&lt;=$G40+$H40-1),2,IF(AND($C40="Milestone",JU$8&gt;=$G40,JU$8&lt;=$G40+$H40-1),1,""))</f>
        <v/>
      </c>
      <c r="JV40" s="69" t="str">
        <f ca="1">IF(AND($C40="Goal",JV$8&gt;=$G40,JV$8&lt;=$G40+$H40-1),2,IF(AND($C40="Milestone",JV$8&gt;=$G40,JV$8&lt;=$G40+$H40-1),1,""))</f>
        <v/>
      </c>
      <c r="JW40" s="69" t="str">
        <f ca="1">IF(AND($C40="Goal",JW$8&gt;=$G40,JW$8&lt;=$G40+$H40-1),2,IF(AND($C40="Milestone",JW$8&gt;=$G40,JW$8&lt;=$G40+$H40-1),1,""))</f>
        <v/>
      </c>
      <c r="JX40" s="69" t="str">
        <f ca="1">IF(AND($C40="Goal",JX$8&gt;=$G40,JX$8&lt;=$G40+$H40-1),2,IF(AND($C40="Milestone",JX$8&gt;=$G40,JX$8&lt;=$G40+$H40-1),1,""))</f>
        <v/>
      </c>
      <c r="JY40" s="69" t="str">
        <f ca="1">IF(AND($C40="Goal",JY$8&gt;=$G40,JY$8&lt;=$G40+$H40-1),2,IF(AND($C40="Milestone",JY$8&gt;=$G40,JY$8&lt;=$G40+$H40-1),1,""))</f>
        <v/>
      </c>
      <c r="JZ40" s="69" t="str">
        <f ca="1">IF(AND($C40="Goal",JZ$8&gt;=$G40,JZ$8&lt;=$G40+$H40-1),2,IF(AND($C40="Milestone",JZ$8&gt;=$G40,JZ$8&lt;=$G40+$H40-1),1,""))</f>
        <v/>
      </c>
      <c r="KA40" s="69" t="str">
        <f ca="1">IF(AND($C40="Goal",KA$8&gt;=$G40,KA$8&lt;=$G40+$H40-1),2,IF(AND($C40="Milestone",KA$8&gt;=$G40,KA$8&lt;=$G40+$H40-1),1,""))</f>
        <v/>
      </c>
      <c r="KB40" s="69" t="str">
        <f ca="1">IF(AND($C40="Goal",KB$8&gt;=$G40,KB$8&lt;=$G40+$H40-1),2,IF(AND($C40="Milestone",KB$8&gt;=$G40,KB$8&lt;=$G40+$H40-1),1,""))</f>
        <v/>
      </c>
      <c r="KC40" s="69" t="str">
        <f ca="1">IF(AND($C40="Goal",KC$8&gt;=$G40,KC$8&lt;=$G40+$H40-1),2,IF(AND($C40="Milestone",KC$8&gt;=$G40,KC$8&lt;=$G40+$H40-1),1,""))</f>
        <v/>
      </c>
      <c r="KD40" s="69" t="str">
        <f ca="1">IF(AND($C40="Goal",KD$8&gt;=$G40,KD$8&lt;=$G40+$H40-1),2,IF(AND($C40="Milestone",KD$8&gt;=$G40,KD$8&lt;=$G40+$H40-1),1,""))</f>
        <v/>
      </c>
      <c r="KE40" s="69" t="str">
        <f ca="1">IF(AND($C40="Goal",KE$8&gt;=$G40,KE$8&lt;=$G40+$H40-1),2,IF(AND($C40="Milestone",KE$8&gt;=$G40,KE$8&lt;=$G40+$H40-1),1,""))</f>
        <v/>
      </c>
      <c r="KF40" s="69" t="str">
        <f ca="1">IF(AND($C40="Goal",KF$8&gt;=$G40,KF$8&lt;=$G40+$H40-1),2,IF(AND($C40="Milestone",KF$8&gt;=$G40,KF$8&lt;=$G40+$H40-1),1,""))</f>
        <v/>
      </c>
      <c r="KG40" s="69" t="str">
        <f ca="1">IF(AND($C40="Goal",KG$8&gt;=$G40,KG$8&lt;=$G40+$H40-1),2,IF(AND($C40="Milestone",KG$8&gt;=$G40,KG$8&lt;=$G40+$H40-1),1,""))</f>
        <v/>
      </c>
      <c r="KH40" s="69" t="str">
        <f ca="1">IF(AND($C40="Goal",KH$8&gt;=$G40,KH$8&lt;=$G40+$H40-1),2,IF(AND($C40="Milestone",KH$8&gt;=$G40,KH$8&lt;=$G40+$H40-1),1,""))</f>
        <v/>
      </c>
      <c r="KI40" s="69" t="str">
        <f ca="1">IF(AND($C40="Goal",KI$8&gt;=$G40,KI$8&lt;=$G40+$H40-1),2,IF(AND($C40="Milestone",KI$8&gt;=$G40,KI$8&lt;=$G40+$H40-1),1,""))</f>
        <v/>
      </c>
      <c r="KJ40" s="69" t="str">
        <f ca="1">IF(AND($C40="Goal",KJ$8&gt;=$G40,KJ$8&lt;=$G40+$H40-1),2,IF(AND($C40="Milestone",KJ$8&gt;=$G40,KJ$8&lt;=$G40+$H40-1),1,""))</f>
        <v/>
      </c>
      <c r="KK40" s="69" t="str">
        <f ca="1">IF(AND($C40="Goal",KK$8&gt;=$G40,KK$8&lt;=$G40+$H40-1),2,IF(AND($C40="Milestone",KK$8&gt;=$G40,KK$8&lt;=$G40+$H40-1),1,""))</f>
        <v/>
      </c>
      <c r="KL40" s="69" t="str">
        <f ca="1">IF(AND($C40="Goal",KL$8&gt;=$G40,KL$8&lt;=$G40+$H40-1),2,IF(AND($C40="Milestone",KL$8&gt;=$G40,KL$8&lt;=$G40+$H40-1),1,""))</f>
        <v/>
      </c>
      <c r="KM40" s="69" t="str">
        <f ca="1">IF(AND($C40="Goal",KM$8&gt;=$G40,KM$8&lt;=$G40+$H40-1),2,IF(AND($C40="Milestone",KM$8&gt;=$G40,KM$8&lt;=$G40+$H40-1),1,""))</f>
        <v/>
      </c>
      <c r="KN40" s="69" t="str">
        <f ca="1">IF(AND($C40="Goal",KN$8&gt;=$G40,KN$8&lt;=$G40+$H40-1),2,IF(AND($C40="Milestone",KN$8&gt;=$G40,KN$8&lt;=$G40+$H40-1),1,""))</f>
        <v/>
      </c>
      <c r="KO40" s="69" t="str">
        <f ca="1">IF(AND($C40="Goal",KO$8&gt;=$G40,KO$8&lt;=$G40+$H40-1),2,IF(AND($C40="Milestone",KO$8&gt;=$G40,KO$8&lt;=$G40+$H40-1),1,""))</f>
        <v/>
      </c>
      <c r="KP40" s="69" t="str">
        <f ca="1">IF(AND($C40="Goal",KP$8&gt;=$G40,KP$8&lt;=$G40+$H40-1),2,IF(AND($C40="Milestone",KP$8&gt;=$G40,KP$8&lt;=$G40+$H40-1),1,""))</f>
        <v/>
      </c>
      <c r="KQ40" s="69" t="str">
        <f ca="1">IF(AND($C40="Goal",KQ$8&gt;=$G40,KQ$8&lt;=$G40+$H40-1),2,IF(AND($C40="Milestone",KQ$8&gt;=$G40,KQ$8&lt;=$G40+$H40-1),1,""))</f>
        <v/>
      </c>
      <c r="KR40" s="69" t="str">
        <f ca="1">IF(AND($C40="Goal",KR$8&gt;=$G40,KR$8&lt;=$G40+$H40-1),2,IF(AND($C40="Milestone",KR$8&gt;=$G40,KR$8&lt;=$G40+$H40-1),1,""))</f>
        <v/>
      </c>
      <c r="KS40" s="69" t="str">
        <f ca="1">IF(AND($C40="Goal",KS$8&gt;=$G40,KS$8&lt;=$G40+$H40-1),2,IF(AND($C40="Milestone",KS$8&gt;=$G40,KS$8&lt;=$G40+$H40-1),1,""))</f>
        <v/>
      </c>
      <c r="KT40" s="69" t="str">
        <f ca="1">IF(AND($C40="Goal",KT$8&gt;=$G40,KT$8&lt;=$G40+$H40-1),2,IF(AND($C40="Milestone",KT$8&gt;=$G40,KT$8&lt;=$G40+$H40-1),1,""))</f>
        <v/>
      </c>
      <c r="KU40" s="69" t="str">
        <f ca="1">IF(AND($C40="Goal",KU$8&gt;=$G40,KU$8&lt;=$G40+$H40-1),2,IF(AND($C40="Milestone",KU$8&gt;=$G40,KU$8&lt;=$G40+$H40-1),1,""))</f>
        <v/>
      </c>
      <c r="KV40" s="69" t="str">
        <f ca="1">IF(AND($C40="Goal",KV$8&gt;=$G40,KV$8&lt;=$G40+$H40-1),2,IF(AND($C40="Milestone",KV$8&gt;=$G40,KV$8&lt;=$G40+$H40-1),1,""))</f>
        <v/>
      </c>
      <c r="KW40" s="69" t="str">
        <f ca="1">IF(AND($C40="Goal",KW$8&gt;=$G40,KW$8&lt;=$G40+$H40-1),2,IF(AND($C40="Milestone",KW$8&gt;=$G40,KW$8&lt;=$G40+$H40-1),1,""))</f>
        <v/>
      </c>
      <c r="KX40" s="69" t="str">
        <f ca="1">IF(AND($C40="Goal",KX$8&gt;=$G40,KX$8&lt;=$G40+$H40-1),2,IF(AND($C40="Milestone",KX$8&gt;=$G40,KX$8&lt;=$G40+$H40-1),1,""))</f>
        <v/>
      </c>
      <c r="KY40" s="69" t="str">
        <f ca="1">IF(AND($C40="Goal",KY$8&gt;=$G40,KY$8&lt;=$G40+$H40-1),2,IF(AND($C40="Milestone",KY$8&gt;=$G40,KY$8&lt;=$G40+$H40-1),1,""))</f>
        <v/>
      </c>
      <c r="KZ40" s="69" t="str">
        <f ca="1">IF(AND($C40="Goal",KZ$8&gt;=$G40,KZ$8&lt;=$G40+$H40-1),2,IF(AND($C40="Milestone",KZ$8&gt;=$G40,KZ$8&lt;=$G40+$H40-1),1,""))</f>
        <v/>
      </c>
      <c r="LA40" s="69" t="str">
        <f ca="1">IF(AND($C40="Goal",LA$8&gt;=$G40,LA$8&lt;=$G40+$H40-1),2,IF(AND($C40="Milestone",LA$8&gt;=$G40,LA$8&lt;=$G40+$H40-1),1,""))</f>
        <v/>
      </c>
      <c r="LB40" s="69" t="str">
        <f ca="1">IF(AND($C40="Goal",LB$8&gt;=$G40,LB$8&lt;=$G40+$H40-1),2,IF(AND($C40="Milestone",LB$8&gt;=$G40,LB$8&lt;=$G40+$H40-1),1,""))</f>
        <v/>
      </c>
      <c r="LC40" s="69" t="str">
        <f ca="1">IF(AND($C40="Goal",LC$8&gt;=$G40,LC$8&lt;=$G40+$H40-1),2,IF(AND($C40="Milestone",LC$8&gt;=$G40,LC$8&lt;=$G40+$H40-1),1,""))</f>
        <v/>
      </c>
      <c r="LD40" s="69" t="str">
        <f ca="1">IF(AND($C40="Goal",LD$8&gt;=$G40,LD$8&lt;=$G40+$H40-1),2,IF(AND($C40="Milestone",LD$8&gt;=$G40,LD$8&lt;=$G40+$H40-1),1,""))</f>
        <v/>
      </c>
      <c r="LE40" s="69" t="str">
        <f ca="1">IF(AND($C40="Goal",LE$8&gt;=$G40,LE$8&lt;=$G40+$H40-1),2,IF(AND($C40="Milestone",LE$8&gt;=$G40,LE$8&lt;=$G40+$H40-1),1,""))</f>
        <v/>
      </c>
      <c r="LF40" s="69" t="str">
        <f ca="1">IF(AND($C40="Goal",LF$8&gt;=$G40,LF$8&lt;=$G40+$H40-1),2,IF(AND($C40="Milestone",LF$8&gt;=$G40,LF$8&lt;=$G40+$H40-1),1,""))</f>
        <v/>
      </c>
      <c r="LG40" s="69" t="str">
        <f ca="1">IF(AND($C40="Goal",LG$8&gt;=$G40,LG$8&lt;=$G40+$H40-1),2,IF(AND($C40="Milestone",LG$8&gt;=$G40,LG$8&lt;=$G40+$H40-1),1,""))</f>
        <v/>
      </c>
      <c r="LH40" s="69" t="str">
        <f ca="1">IF(AND($C40="Goal",LH$8&gt;=$G40,LH$8&lt;=$G40+$H40-1),2,IF(AND($C40="Milestone",LH$8&gt;=$G40,LH$8&lt;=$G40+$H40-1),1,""))</f>
        <v/>
      </c>
      <c r="LI40" s="69" t="str">
        <f ca="1">IF(AND($C40="Goal",LI$8&gt;=$G40,LI$8&lt;=$G40+$H40-1),2,IF(AND($C40="Milestone",LI$8&gt;=$G40,LI$8&lt;=$G40+$H40-1),1,""))</f>
        <v/>
      </c>
      <c r="LJ40" s="69" t="str">
        <f ca="1">IF(AND($C40="Goal",LJ$8&gt;=$G40,LJ$8&lt;=$G40+$H40-1),2,IF(AND($C40="Milestone",LJ$8&gt;=$G40,LJ$8&lt;=$G40+$H40-1),1,""))</f>
        <v/>
      </c>
      <c r="LK40" s="69" t="str">
        <f ca="1">IF(AND($C40="Goal",LK$8&gt;=$G40,LK$8&lt;=$G40+$H40-1),2,IF(AND($C40="Milestone",LK$8&gt;=$G40,LK$8&lt;=$G40+$H40-1),1,""))</f>
        <v/>
      </c>
      <c r="LL40" s="69" t="str">
        <f ca="1">IF(AND($C40="Goal",LL$8&gt;=$G40,LL$8&lt;=$G40+$H40-1),2,IF(AND($C40="Milestone",LL$8&gt;=$G40,LL$8&lt;=$G40+$H40-1),1,""))</f>
        <v/>
      </c>
      <c r="LM40" s="69" t="str">
        <f ca="1">IF(AND($C40="Goal",LM$8&gt;=$G40,LM$8&lt;=$G40+$H40-1),2,IF(AND($C40="Milestone",LM$8&gt;=$G40,LM$8&lt;=$G40+$H40-1),1,""))</f>
        <v/>
      </c>
      <c r="LN40" s="69" t="str">
        <f ca="1">IF(AND($C40="Goal",LN$8&gt;=$G40,LN$8&lt;=$G40+$H40-1),2,IF(AND($C40="Milestone",LN$8&gt;=$G40,LN$8&lt;=$G40+$H40-1),1,""))</f>
        <v/>
      </c>
      <c r="LO40" s="69" t="str">
        <f ca="1">IF(AND($C40="Goal",LO$8&gt;=$G40,LO$8&lt;=$G40+$H40-1),2,IF(AND($C40="Milestone",LO$8&gt;=$G40,LO$8&lt;=$G40+$H40-1),1,""))</f>
        <v/>
      </c>
      <c r="LP40" s="69" t="str">
        <f ca="1">IF(AND($C40="Goal",LP$8&gt;=$G40,LP$8&lt;=$G40+$H40-1),2,IF(AND($C40="Milestone",LP$8&gt;=$G40,LP$8&lt;=$G40+$H40-1),1,""))</f>
        <v/>
      </c>
      <c r="LQ40" s="69" t="str">
        <f ca="1">IF(AND($C40="Goal",LQ$8&gt;=$G40,LQ$8&lt;=$G40+$H40-1),2,IF(AND($C40="Milestone",LQ$8&gt;=$G40,LQ$8&lt;=$G40+$H40-1),1,""))</f>
        <v/>
      </c>
      <c r="LR40" s="69" t="str">
        <f ca="1">IF(AND($C40="Goal",LR$8&gt;=$G40,LR$8&lt;=$G40+$H40-1),2,IF(AND($C40="Milestone",LR$8&gt;=$G40,LR$8&lt;=$G40+$H40-1),1,""))</f>
        <v/>
      </c>
      <c r="LS40" s="69" t="str">
        <f ca="1">IF(AND($C40="Goal",LS$8&gt;=$G40,LS$8&lt;=$G40+$H40-1),2,IF(AND($C40="Milestone",LS$8&gt;=$G40,LS$8&lt;=$G40+$H40-1),1,""))</f>
        <v/>
      </c>
      <c r="LT40" s="69" t="str">
        <f ca="1">IF(AND($C40="Goal",LT$8&gt;=$G40,LT$8&lt;=$G40+$H40-1),2,IF(AND($C40="Milestone",LT$8&gt;=$G40,LT$8&lt;=$G40+$H40-1),1,""))</f>
        <v/>
      </c>
      <c r="LU40" s="69" t="str">
        <f ca="1">IF(AND($C40="Goal",LU$8&gt;=$G40,LU$8&lt;=$G40+$H40-1),2,IF(AND($C40="Milestone",LU$8&gt;=$G40,LU$8&lt;=$G40+$H40-1),1,""))</f>
        <v/>
      </c>
      <c r="LV40" s="69" t="str">
        <f ca="1">IF(AND($C40="Goal",LV$8&gt;=$G40,LV$8&lt;=$G40+$H40-1),2,IF(AND($C40="Milestone",LV$8&gt;=$G40,LV$8&lt;=$G40+$H40-1),1,""))</f>
        <v/>
      </c>
      <c r="LW40" s="69" t="str">
        <f ca="1">IF(AND($C40="Goal",LW$8&gt;=$G40,LW$8&lt;=$G40+$H40-1),2,IF(AND($C40="Milestone",LW$8&gt;=$G40,LW$8&lt;=$G40+$H40-1),1,""))</f>
        <v/>
      </c>
      <c r="LX40" s="69" t="str">
        <f ca="1">IF(AND($C40="Goal",LX$8&gt;=$G40,LX$8&lt;=$G40+$H40-1),2,IF(AND($C40="Milestone",LX$8&gt;=$G40,LX$8&lt;=$G40+$H40-1),1,""))</f>
        <v/>
      </c>
    </row>
    <row r="41" spans="1:336" s="1" customFormat="1" ht="25.25" customHeight="1" x14ac:dyDescent="0.25">
      <c r="A41" s="6"/>
      <c r="B41" s="47" t="s">
        <v>42</v>
      </c>
      <c r="C41" s="58"/>
      <c r="D41" s="58" t="str">
        <f ca="1">IF(G41="","",
IF(G41+Milestones4352[[#This Row],[Days]]="","",
IF(OR(F41=1,F41=100%),"Complete",
CHOOSE(
  1
  + --(((1-IF(F41&gt;1,F41/100,F41))*POWER(2.718281828,(60-MAX(0,G41+Milestones4352[[#This Row],[Days]]-TODAY()))/12))&gt;=0.6)
  + --(((1-IF(F41&gt;1,F41/100,F41))*POWER(2.718281828,(60-MAX(0,G41+Milestones4352[[#This Row],[Days]]-TODAY()))/12))&gt;=1.2)
  + --(((1-IF(F41&gt;1,F41/100,F41))*POWER(2.718281828,(60-MAX(0,G41+Milestones4352[[#This Row],[Days]]-TODAY()))/12))&gt;=2),
  "On track","Low risk","Medium risk","High risk"
))))</f>
        <v>On track</v>
      </c>
      <c r="E41" s="58"/>
      <c r="F41" s="56">
        <v>0</v>
      </c>
      <c r="G41" s="70">
        <f t="shared" ref="G41" si="213">G40+H40</f>
        <v>46132</v>
      </c>
      <c r="H41" s="57">
        <v>7</v>
      </c>
      <c r="I41" s="57">
        <f t="shared" si="207"/>
        <v>6</v>
      </c>
      <c r="J41" s="12">
        <f ca="1">IF(OR(Milestones4352[[#This Row],[Start]]="",Milestones4352[[#This Row],[Days]]=""),"",(Milestones4352[[#This Row],[Start]]+Milestones4352[[#This Row],[Days]])-TODAY())</f>
        <v>190</v>
      </c>
      <c r="K41" s="9"/>
      <c r="L41" s="69" t="str">
        <f ca="1">IF(AND($C41="Goal",L$8&gt;=$G41,L$8&lt;=$G41+$H41-1),2,IF(AND($C41="Milestone",L$8&gt;=$G41,L$8&lt;=$G41+$H41-1),1,""))</f>
        <v/>
      </c>
      <c r="M41" s="69" t="str">
        <f ca="1">IF(AND($C41="Goal",M$8&gt;=$G41,M$8&lt;=$G41+$H41-1),2,IF(AND($C41="Milestone",M$8&gt;=$G41,M$8&lt;=$G41+$H41-1),1,""))</f>
        <v/>
      </c>
      <c r="N41" s="69" t="str">
        <f ca="1">IF(AND($C41="Goal",N$8&gt;=$G41,N$8&lt;=$G41+$H41-1),2,IF(AND($C41="Milestone",N$8&gt;=$G41,N$8&lt;=$G41+$H41-1),1,""))</f>
        <v/>
      </c>
      <c r="O41" s="69" t="str">
        <f ca="1">IF(AND($C41="Goal",O$8&gt;=$G41,O$8&lt;=$G41+$H41-1),2,IF(AND($C41="Milestone",O$8&gt;=$G41,O$8&lt;=$G41+$H41-1),1,""))</f>
        <v/>
      </c>
      <c r="P41" s="69" t="str">
        <f ca="1">IF(AND($C41="Goal",P$8&gt;=$G41,P$8&lt;=$G41+$H41-1),2,IF(AND($C41="Milestone",P$8&gt;=$G41,P$8&lt;=$G41+$H41-1),1,""))</f>
        <v/>
      </c>
      <c r="Q41" s="69" t="str">
        <f ca="1">IF(AND($C41="Goal",Q$8&gt;=$G41,Q$8&lt;=$G41+$H41-1),2,IF(AND($C41="Milestone",Q$8&gt;=$G41,Q$8&lt;=$G41+$H41-1),1,""))</f>
        <v/>
      </c>
      <c r="R41" s="69" t="str">
        <f ca="1">IF(AND($C41="Goal",R$8&gt;=$G41,R$8&lt;=$G41+$H41-1),2,IF(AND($C41="Milestone",R$8&gt;=$G41,R$8&lt;=$G41+$H41-1),1,""))</f>
        <v/>
      </c>
      <c r="S41" s="69" t="str">
        <f ca="1">IF(AND($C41="Goal",S$8&gt;=$G41,S$8&lt;=$G41+$H41-1),2,IF(AND($C41="Milestone",S$8&gt;=$G41,S$8&lt;=$G41+$H41-1),1,""))</f>
        <v/>
      </c>
      <c r="T41" s="69" t="str">
        <f ca="1">IF(AND($C41="Goal",T$8&gt;=$G41,T$8&lt;=$G41+$H41-1),2,IF(AND($C41="Milestone",T$8&gt;=$G41,T$8&lt;=$G41+$H41-1),1,""))</f>
        <v/>
      </c>
      <c r="U41" s="69" t="str">
        <f ca="1">IF(AND($C41="Goal",U$8&gt;=$G41,U$8&lt;=$G41+$H41-1),2,IF(AND($C41="Milestone",U$8&gt;=$G41,U$8&lt;=$G41+$H41-1),1,""))</f>
        <v/>
      </c>
      <c r="V41" s="69" t="str">
        <f ca="1">IF(AND($C41="Goal",V$8&gt;=$G41,V$8&lt;=$G41+$H41-1),2,IF(AND($C41="Milestone",V$8&gt;=$G41,V$8&lt;=$G41+$H41-1),1,""))</f>
        <v/>
      </c>
      <c r="W41" s="69" t="str">
        <f ca="1">IF(AND($C41="Goal",W$8&gt;=$G41,W$8&lt;=$G41+$H41-1),2,IF(AND($C41="Milestone",W$8&gt;=$G41,W$8&lt;=$G41+$H41-1),1,""))</f>
        <v/>
      </c>
      <c r="X41" s="69" t="str">
        <f ca="1">IF(AND($C41="Goal",X$8&gt;=$G41,X$8&lt;=$G41+$H41-1),2,IF(AND($C41="Milestone",X$8&gt;=$G41,X$8&lt;=$G41+$H41-1),1,""))</f>
        <v/>
      </c>
      <c r="Y41" s="69" t="str">
        <f ca="1">IF(AND($C41="Goal",Y$8&gt;=$G41,Y$8&lt;=$G41+$H41-1),2,IF(AND($C41="Milestone",Y$8&gt;=$G41,Y$8&lt;=$G41+$H41-1),1,""))</f>
        <v/>
      </c>
      <c r="Z41" s="69" t="str">
        <f ca="1">IF(AND($C41="Goal",Z$8&gt;=$G41,Z$8&lt;=$G41+$H41-1),2,IF(AND($C41="Milestone",Z$8&gt;=$G41,Z$8&lt;=$G41+$H41-1),1,""))</f>
        <v/>
      </c>
      <c r="AA41" s="69" t="str">
        <f ca="1">IF(AND($C41="Goal",AA$8&gt;=$G41,AA$8&lt;=$G41+$H41-1),2,IF(AND($C41="Milestone",AA$8&gt;=$G41,AA$8&lt;=$G41+$H41-1),1,""))</f>
        <v/>
      </c>
      <c r="AB41" s="69" t="str">
        <f ca="1">IF(AND($C41="Goal",AB$8&gt;=$G41,AB$8&lt;=$G41+$H41-1),2,IF(AND($C41="Milestone",AB$8&gt;=$G41,AB$8&lt;=$G41+$H41-1),1,""))</f>
        <v/>
      </c>
      <c r="AC41" s="69" t="str">
        <f ca="1">IF(AND($C41="Goal",AC$8&gt;=$G41,AC$8&lt;=$G41+$H41-1),2,IF(AND($C41="Milestone",AC$8&gt;=$G41,AC$8&lt;=$G41+$H41-1),1,""))</f>
        <v/>
      </c>
      <c r="AD41" s="69" t="str">
        <f ca="1">IF(AND($C41="Goal",AD$8&gt;=$G41,AD$8&lt;=$G41+$H41-1),2,IF(AND($C41="Milestone",AD$8&gt;=$G41,AD$8&lt;=$G41+$H41-1),1,""))</f>
        <v/>
      </c>
      <c r="AE41" s="69" t="str">
        <f ca="1">IF(AND($C41="Goal",AE$8&gt;=$G41,AE$8&lt;=$G41+$H41-1),2,IF(AND($C41="Milestone",AE$8&gt;=$G41,AE$8&lt;=$G41+$H41-1),1,""))</f>
        <v/>
      </c>
      <c r="AF41" s="69" t="str">
        <f ca="1">IF(AND($C41="Goal",AF$8&gt;=$G41,AF$8&lt;=$G41+$H41-1),2,IF(AND($C41="Milestone",AF$8&gt;=$G41,AF$8&lt;=$G41+$H41-1),1,""))</f>
        <v/>
      </c>
      <c r="AG41" s="69" t="str">
        <f ca="1">IF(AND($C41="Goal",AG$8&gt;=$G41,AG$8&lt;=$G41+$H41-1),2,IF(AND($C41="Milestone",AG$8&gt;=$G41,AG$8&lt;=$G41+$H41-1),1,""))</f>
        <v/>
      </c>
      <c r="AH41" s="69" t="str">
        <f ca="1">IF(AND($C41="Goal",AH$8&gt;=$G41,AH$8&lt;=$G41+$H41-1),2,IF(AND($C41="Milestone",AH$8&gt;=$G41,AH$8&lt;=$G41+$H41-1),1,""))</f>
        <v/>
      </c>
      <c r="AI41" s="69" t="str">
        <f ca="1">IF(AND($C41="Goal",AI$8&gt;=$G41,AI$8&lt;=$G41+$H41-1),2,IF(AND($C41="Milestone",AI$8&gt;=$G41,AI$8&lt;=$G41+$H41-1),1,""))</f>
        <v/>
      </c>
      <c r="AJ41" s="69" t="str">
        <f ca="1">IF(AND($C41="Goal",AJ$8&gt;=$G41,AJ$8&lt;=$G41+$H41-1),2,IF(AND($C41="Milestone",AJ$8&gt;=$G41,AJ$8&lt;=$G41+$H41-1),1,""))</f>
        <v/>
      </c>
      <c r="AK41" s="69" t="str">
        <f ca="1">IF(AND($C41="Goal",AK$8&gt;=$G41,AK$8&lt;=$G41+$H41-1),2,IF(AND($C41="Milestone",AK$8&gt;=$G41,AK$8&lt;=$G41+$H41-1),1,""))</f>
        <v/>
      </c>
      <c r="AL41" s="69" t="str">
        <f ca="1">IF(AND($C41="Goal",AL$8&gt;=$G41,AL$8&lt;=$G41+$H41-1),2,IF(AND($C41="Milestone",AL$8&gt;=$G41,AL$8&lt;=$G41+$H41-1),1,""))</f>
        <v/>
      </c>
      <c r="AM41" s="69" t="str">
        <f ca="1">IF(AND($C41="Goal",AM$8&gt;=$G41,AM$8&lt;=$G41+$H41-1),2,IF(AND($C41="Milestone",AM$8&gt;=$G41,AM$8&lt;=$G41+$H41-1),1,""))</f>
        <v/>
      </c>
      <c r="AN41" s="69" t="str">
        <f ca="1">IF(AND($C41="Goal",AN$8&gt;=$G41,AN$8&lt;=$G41+$H41-1),2,IF(AND($C41="Milestone",AN$8&gt;=$G41,AN$8&lt;=$G41+$H41-1),1,""))</f>
        <v/>
      </c>
      <c r="AO41" s="69" t="str">
        <f ca="1">IF(AND($C41="Goal",AO$8&gt;=$G41,AO$8&lt;=$G41+$H41-1),2,IF(AND($C41="Milestone",AO$8&gt;=$G41,AO$8&lt;=$G41+$H41-1),1,""))</f>
        <v/>
      </c>
      <c r="AP41" s="69" t="str">
        <f ca="1">IF(AND($C41="Goal",AP$8&gt;=$G41,AP$8&lt;=$G41+$H41-1),2,IF(AND($C41="Milestone",AP$8&gt;=$G41,AP$8&lt;=$G41+$H41-1),1,""))</f>
        <v/>
      </c>
      <c r="AQ41" s="69" t="str">
        <f ca="1">IF(AND($C41="Goal",AQ$8&gt;=$G41,AQ$8&lt;=$G41+$H41-1),2,IF(AND($C41="Milestone",AQ$8&gt;=$G41,AQ$8&lt;=$G41+$H41-1),1,""))</f>
        <v/>
      </c>
      <c r="AR41" s="69" t="str">
        <f ca="1">IF(AND($C41="Goal",AR$8&gt;=$G41,AR$8&lt;=$G41+$H41-1),2,IF(AND($C41="Milestone",AR$8&gt;=$G41,AR$8&lt;=$G41+$H41-1),1,""))</f>
        <v/>
      </c>
      <c r="AS41" s="69" t="str">
        <f ca="1">IF(AND($C41="Goal",AS$8&gt;=$G41,AS$8&lt;=$G41+$H41-1),2,IF(AND($C41="Milestone",AS$8&gt;=$G41,AS$8&lt;=$G41+$H41-1),1,""))</f>
        <v/>
      </c>
      <c r="AT41" s="69" t="str">
        <f ca="1">IF(AND($C41="Goal",AT$8&gt;=$G41,AT$8&lt;=$G41+$H41-1),2,IF(AND($C41="Milestone",AT$8&gt;=$G41,AT$8&lt;=$G41+$H41-1),1,""))</f>
        <v/>
      </c>
      <c r="AU41" s="69" t="str">
        <f ca="1">IF(AND($C41="Goal",AU$8&gt;=$G41,AU$8&lt;=$G41+$H41-1),2,IF(AND($C41="Milestone",AU$8&gt;=$G41,AU$8&lt;=$G41+$H41-1),1,""))</f>
        <v/>
      </c>
      <c r="AV41" s="69" t="str">
        <f ca="1">IF(AND($C41="Goal",AV$8&gt;=$G41,AV$8&lt;=$G41+$H41-1),2,IF(AND($C41="Milestone",AV$8&gt;=$G41,AV$8&lt;=$G41+$H41-1),1,""))</f>
        <v/>
      </c>
      <c r="AW41" s="69" t="str">
        <f ca="1">IF(AND($C41="Goal",AW$8&gt;=$G41,AW$8&lt;=$G41+$H41-1),2,IF(AND($C41="Milestone",AW$8&gt;=$G41,AW$8&lt;=$G41+$H41-1),1,""))</f>
        <v/>
      </c>
      <c r="AX41" s="69" t="str">
        <f ca="1">IF(AND($C41="Goal",AX$8&gt;=$G41,AX$8&lt;=$G41+$H41-1),2,IF(AND($C41="Milestone",AX$8&gt;=$G41,AX$8&lt;=$G41+$H41-1),1,""))</f>
        <v/>
      </c>
      <c r="AY41" s="69" t="str">
        <f ca="1">IF(AND($C41="Goal",AY$8&gt;=$G41,AY$8&lt;=$G41+$H41-1),2,IF(AND($C41="Milestone",AY$8&gt;=$G41,AY$8&lt;=$G41+$H41-1),1,""))</f>
        <v/>
      </c>
      <c r="AZ41" s="69" t="str">
        <f ca="1">IF(AND($C41="Goal",AZ$8&gt;=$G41,AZ$8&lt;=$G41+$H41-1),2,IF(AND($C41="Milestone",AZ$8&gt;=$G41,AZ$8&lt;=$G41+$H41-1),1,""))</f>
        <v/>
      </c>
      <c r="BA41" s="69" t="str">
        <f ca="1">IF(AND($C41="Goal",BA$8&gt;=$G41,BA$8&lt;=$G41+$H41-1),2,IF(AND($C41="Milestone",BA$8&gt;=$G41,BA$8&lt;=$G41+$H41-1),1,""))</f>
        <v/>
      </c>
      <c r="BB41" s="69" t="str">
        <f ca="1">IF(AND($C41="Goal",BB$8&gt;=$G41,BB$8&lt;=$G41+$H41-1),2,IF(AND($C41="Milestone",BB$8&gt;=$G41,BB$8&lt;=$G41+$H41-1),1,""))</f>
        <v/>
      </c>
      <c r="BC41" s="69" t="str">
        <f ca="1">IF(AND($C41="Goal",BC$8&gt;=$G41,BC$8&lt;=$G41+$H41-1),2,IF(AND($C41="Milestone",BC$8&gt;=$G41,BC$8&lt;=$G41+$H41-1),1,""))</f>
        <v/>
      </c>
      <c r="BD41" s="69" t="str">
        <f ca="1">IF(AND($C41="Goal",BD$8&gt;=$G41,BD$8&lt;=$G41+$H41-1),2,IF(AND($C41="Milestone",BD$8&gt;=$G41,BD$8&lt;=$G41+$H41-1),1,""))</f>
        <v/>
      </c>
      <c r="BE41" s="69" t="str">
        <f ca="1">IF(AND($C41="Goal",BE$8&gt;=$G41,BE$8&lt;=$G41+$H41-1),2,IF(AND($C41="Milestone",BE$8&gt;=$G41,BE$8&lt;=$G41+$H41-1),1,""))</f>
        <v/>
      </c>
      <c r="BF41" s="69" t="str">
        <f ca="1">IF(AND($C41="Goal",BF$8&gt;=$G41,BF$8&lt;=$G41+$H41-1),2,IF(AND($C41="Milestone",BF$8&gt;=$G41,BF$8&lt;=$G41+$H41-1),1,""))</f>
        <v/>
      </c>
      <c r="BG41" s="69" t="str">
        <f ca="1">IF(AND($C41="Goal",BG$8&gt;=$G41,BG$8&lt;=$G41+$H41-1),2,IF(AND($C41="Milestone",BG$8&gt;=$G41,BG$8&lt;=$G41+$H41-1),1,""))</f>
        <v/>
      </c>
      <c r="BH41" s="69" t="str">
        <f ca="1">IF(AND($C41="Goal",BH$8&gt;=$G41,BH$8&lt;=$G41+$H41-1),2,IF(AND($C41="Milestone",BH$8&gt;=$G41,BH$8&lt;=$G41+$H41-1),1,""))</f>
        <v/>
      </c>
      <c r="BI41" s="69" t="str">
        <f ca="1">IF(AND($C41="Goal",BI$8&gt;=$G41,BI$8&lt;=$G41+$H41-1),2,IF(AND($C41="Milestone",BI$8&gt;=$G41,BI$8&lt;=$G41+$H41-1),1,""))</f>
        <v/>
      </c>
      <c r="BJ41" s="69" t="str">
        <f ca="1">IF(AND($C41="Goal",BJ$8&gt;=$G41,BJ$8&lt;=$G41+$H41-1),2,IF(AND($C41="Milestone",BJ$8&gt;=$G41,BJ$8&lt;=$G41+$H41-1),1,""))</f>
        <v/>
      </c>
      <c r="BK41" s="69" t="str">
        <f ca="1">IF(AND($C41="Goal",BK$8&gt;=$G41,BK$8&lt;=$G41+$H41-1),2,IF(AND($C41="Milestone",BK$8&gt;=$G41,BK$8&lt;=$G41+$H41-1),1,""))</f>
        <v/>
      </c>
      <c r="BL41" s="69" t="str">
        <f ca="1">IF(AND($C41="Goal",BL$8&gt;=$G41,BL$8&lt;=$G41+$H41-1),2,IF(AND($C41="Milestone",BL$8&gt;=$G41,BL$8&lt;=$G41+$H41-1),1,""))</f>
        <v/>
      </c>
      <c r="BM41" s="69" t="str">
        <f ca="1">IF(AND($C41="Goal",BM$8&gt;=$G41,BM$8&lt;=$G41+$H41-1),2,IF(AND($C41="Milestone",BM$8&gt;=$G41,BM$8&lt;=$G41+$H41-1),1,""))</f>
        <v/>
      </c>
      <c r="BN41" s="69" t="str">
        <f ca="1">IF(AND($C41="Goal",BN$8&gt;=$G41,BN$8&lt;=$G41+$H41-1),2,IF(AND($C41="Milestone",BN$8&gt;=$G41,BN$8&lt;=$G41+$H41-1),1,""))</f>
        <v/>
      </c>
      <c r="BO41" s="69" t="str">
        <f ca="1">IF(AND($C41="Goal",BO$8&gt;=$G41,BO$8&lt;=$G41+$H41-1),2,IF(AND($C41="Milestone",BO$8&gt;=$G41,BO$8&lt;=$G41+$H41-1),1,""))</f>
        <v/>
      </c>
      <c r="BP41" s="69" t="str">
        <f ca="1">IF(AND($C41="Goal",BP$8&gt;=$G41,BP$8&lt;=$G41+$H41-1),2,IF(AND($C41="Milestone",BP$8&gt;=$G41,BP$8&lt;=$G41+$H41-1),1,""))</f>
        <v/>
      </c>
      <c r="BQ41" s="69" t="str">
        <f ca="1">IF(AND($C41="Goal",BQ$8&gt;=$G41,BQ$8&lt;=$G41+$H41-1),2,IF(AND($C41="Milestone",BQ$8&gt;=$G41,BQ$8&lt;=$G41+$H41-1),1,""))</f>
        <v/>
      </c>
      <c r="BR41" s="69" t="str">
        <f ca="1">IF(AND($C41="Goal",BR$8&gt;=$G41,BR$8&lt;=$G41+$H41-1),2,IF(AND($C41="Milestone",BR$8&gt;=$G41,BR$8&lt;=$G41+$H41-1),1,""))</f>
        <v/>
      </c>
      <c r="BS41" s="69" t="str">
        <f ca="1">IF(AND($C41="Goal",BS$8&gt;=$G41,BS$8&lt;=$G41+$H41-1),2,IF(AND($C41="Milestone",BS$8&gt;=$G41,BS$8&lt;=$G41+$H41-1),1,""))</f>
        <v/>
      </c>
      <c r="BT41" s="69" t="str">
        <f ca="1">IF(AND($C41="Goal",BT$8&gt;=$G41,BT$8&lt;=$G41+$H41-1),2,IF(AND($C41="Milestone",BT$8&gt;=$G41,BT$8&lt;=$G41+$H41-1),1,""))</f>
        <v/>
      </c>
      <c r="BU41" s="69" t="str">
        <f ca="1">IF(AND($C41="Goal",BU$8&gt;=$G41,BU$8&lt;=$G41+$H41-1),2,IF(AND($C41="Milestone",BU$8&gt;=$G41,BU$8&lt;=$G41+$H41-1),1,""))</f>
        <v/>
      </c>
      <c r="BV41" s="69" t="str">
        <f ca="1">IF(AND($C41="Goal",BV$8&gt;=$G41,BV$8&lt;=$G41+$H41-1),2,IF(AND($C41="Milestone",BV$8&gt;=$G41,BV$8&lt;=$G41+$H41-1),1,""))</f>
        <v/>
      </c>
      <c r="BW41" s="69" t="str">
        <f ca="1">IF(AND($C41="Goal",BW$8&gt;=$G41,BW$8&lt;=$G41+$H41-1),2,IF(AND($C41="Milestone",BW$8&gt;=$G41,BW$8&lt;=$G41+$H41-1),1,""))</f>
        <v/>
      </c>
      <c r="BX41" s="69" t="str">
        <f ca="1">IF(AND($C41="Goal",BX$8&gt;=$G41,BX$8&lt;=$G41+$H41-1),2,IF(AND($C41="Milestone",BX$8&gt;=$G41,BX$8&lt;=$G41+$H41-1),1,""))</f>
        <v/>
      </c>
      <c r="BY41" s="69" t="str">
        <f ca="1">IF(AND($C41="Goal",BY$8&gt;=$G41,BY$8&lt;=$G41+$H41-1),2,IF(AND($C41="Milestone",BY$8&gt;=$G41,BY$8&lt;=$G41+$H41-1),1,""))</f>
        <v/>
      </c>
      <c r="BZ41" s="69" t="str">
        <f ca="1">IF(AND($C41="Goal",BZ$8&gt;=$G41,BZ$8&lt;=$G41+$H41-1),2,IF(AND($C41="Milestone",BZ$8&gt;=$G41,BZ$8&lt;=$G41+$H41-1),1,""))</f>
        <v/>
      </c>
      <c r="CA41" s="69" t="str">
        <f ca="1">IF(AND($C41="Goal",CA$8&gt;=$G41,CA$8&lt;=$G41+$H41-1),2,IF(AND($C41="Milestone",CA$8&gt;=$G41,CA$8&lt;=$G41+$H41-1),1,""))</f>
        <v/>
      </c>
      <c r="CB41" s="69" t="str">
        <f ca="1">IF(AND($C41="Goal",CB$8&gt;=$G41,CB$8&lt;=$G41+$H41-1),2,IF(AND($C41="Milestone",CB$8&gt;=$G41,CB$8&lt;=$G41+$H41-1),1,""))</f>
        <v/>
      </c>
      <c r="CC41" s="69" t="str">
        <f ca="1">IF(AND($C41="Goal",CC$8&gt;=$G41,CC$8&lt;=$G41+$H41-1),2,IF(AND($C41="Milestone",CC$8&gt;=$G41,CC$8&lt;=$G41+$H41-1),1,""))</f>
        <v/>
      </c>
      <c r="CD41" s="69" t="str">
        <f ca="1">IF(AND($C41="Goal",CD$8&gt;=$G41,CD$8&lt;=$G41+$H41-1),2,IF(AND($C41="Milestone",CD$8&gt;=$G41,CD$8&lt;=$G41+$H41-1),1,""))</f>
        <v/>
      </c>
      <c r="CE41" s="69" t="str">
        <f ca="1">IF(AND($C41="Goal",CE$8&gt;=$G41,CE$8&lt;=$G41+$H41-1),2,IF(AND($C41="Milestone",CE$8&gt;=$G41,CE$8&lt;=$G41+$H41-1),1,""))</f>
        <v/>
      </c>
      <c r="CF41" s="69" t="str">
        <f ca="1">IF(AND($C41="Goal",CF$8&gt;=$G41,CF$8&lt;=$G41+$H41-1),2,IF(AND($C41="Milestone",CF$8&gt;=$G41,CF$8&lt;=$G41+$H41-1),1,""))</f>
        <v/>
      </c>
      <c r="CG41" s="69" t="str">
        <f ca="1">IF(AND($C41="Goal",CG$8&gt;=$G41,CG$8&lt;=$G41+$H41-1),2,IF(AND($C41="Milestone",CG$8&gt;=$G41,CG$8&lt;=$G41+$H41-1),1,""))</f>
        <v/>
      </c>
      <c r="CH41" s="69" t="str">
        <f ca="1">IF(AND($C41="Goal",CH$8&gt;=$G41,CH$8&lt;=$G41+$H41-1),2,IF(AND($C41="Milestone",CH$8&gt;=$G41,CH$8&lt;=$G41+$H41-1),1,""))</f>
        <v/>
      </c>
      <c r="CI41" s="69" t="str">
        <f ca="1">IF(AND($C41="Goal",CI$8&gt;=$G41,CI$8&lt;=$G41+$H41-1),2,IF(AND($C41="Milestone",CI$8&gt;=$G41,CI$8&lt;=$G41+$H41-1),1,""))</f>
        <v/>
      </c>
      <c r="CJ41" s="69" t="str">
        <f ca="1">IF(AND($C41="Goal",CJ$8&gt;=$G41,CJ$8&lt;=$G41+$H41-1),2,IF(AND($C41="Milestone",CJ$8&gt;=$G41,CJ$8&lt;=$G41+$H41-1),1,""))</f>
        <v/>
      </c>
      <c r="CK41" s="69" t="str">
        <f ca="1">IF(AND($C41="Goal",CK$8&gt;=$G41,CK$8&lt;=$G41+$H41-1),2,IF(AND($C41="Milestone",CK$8&gt;=$G41,CK$8&lt;=$G41+$H41-1),1,""))</f>
        <v/>
      </c>
      <c r="CL41" s="69" t="str">
        <f ca="1">IF(AND($C41="Goal",CL$8&gt;=$G41,CL$8&lt;=$G41+$H41-1),2,IF(AND($C41="Milestone",CL$8&gt;=$G41,CL$8&lt;=$G41+$H41-1),1,""))</f>
        <v/>
      </c>
      <c r="CM41" s="69" t="str">
        <f ca="1">IF(AND($C41="Goal",CM$8&gt;=$G41,CM$8&lt;=$G41+$H41-1),2,IF(AND($C41="Milestone",CM$8&gt;=$G41,CM$8&lt;=$G41+$H41-1),1,""))</f>
        <v/>
      </c>
      <c r="CN41" s="69" t="str">
        <f ca="1">IF(AND($C41="Goal",CN$8&gt;=$G41,CN$8&lt;=$G41+$H41-1),2,IF(AND($C41="Milestone",CN$8&gt;=$G41,CN$8&lt;=$G41+$H41-1),1,""))</f>
        <v/>
      </c>
      <c r="CO41" s="69" t="str">
        <f ca="1">IF(AND($C41="Goal",CO$8&gt;=$G41,CO$8&lt;=$G41+$H41-1),2,IF(AND($C41="Milestone",CO$8&gt;=$G41,CO$8&lt;=$G41+$H41-1),1,""))</f>
        <v/>
      </c>
      <c r="CP41" s="69" t="str">
        <f ca="1">IF(AND($C41="Goal",CP$8&gt;=$G41,CP$8&lt;=$G41+$H41-1),2,IF(AND($C41="Milestone",CP$8&gt;=$G41,CP$8&lt;=$G41+$H41-1),1,""))</f>
        <v/>
      </c>
      <c r="CQ41" s="69" t="str">
        <f ca="1">IF(AND($C41="Goal",CQ$8&gt;=$G41,CQ$8&lt;=$G41+$H41-1),2,IF(AND($C41="Milestone",CQ$8&gt;=$G41,CQ$8&lt;=$G41+$H41-1),1,""))</f>
        <v/>
      </c>
      <c r="CR41" s="69" t="str">
        <f ca="1">IF(AND($C41="Goal",CR$8&gt;=$G41,CR$8&lt;=$G41+$H41-1),2,IF(AND($C41="Milestone",CR$8&gt;=$G41,CR$8&lt;=$G41+$H41-1),1,""))</f>
        <v/>
      </c>
      <c r="CS41" s="69" t="str">
        <f ca="1">IF(AND($C41="Goal",CS$8&gt;=$G41,CS$8&lt;=$G41+$H41-1),2,IF(AND($C41="Milestone",CS$8&gt;=$G41,CS$8&lt;=$G41+$H41-1),1,""))</f>
        <v/>
      </c>
      <c r="CT41" s="69" t="str">
        <f ca="1">IF(AND($C41="Goal",CT$8&gt;=$G41,CT$8&lt;=$G41+$H41-1),2,IF(AND($C41="Milestone",CT$8&gt;=$G41,CT$8&lt;=$G41+$H41-1),1,""))</f>
        <v/>
      </c>
      <c r="CU41" s="69" t="str">
        <f ca="1">IF(AND($C41="Goal",CU$8&gt;=$G41,CU$8&lt;=$G41+$H41-1),2,IF(AND($C41="Milestone",CU$8&gt;=$G41,CU$8&lt;=$G41+$H41-1),1,""))</f>
        <v/>
      </c>
      <c r="CV41" s="69" t="str">
        <f ca="1">IF(AND($C41="Goal",CV$8&gt;=$G41,CV$8&lt;=$G41+$H41-1),2,IF(AND($C41="Milestone",CV$8&gt;=$G41,CV$8&lt;=$G41+$H41-1),1,""))</f>
        <v/>
      </c>
      <c r="CW41" s="69" t="str">
        <f ca="1">IF(AND($C41="Goal",CW$8&gt;=$G41,CW$8&lt;=$G41+$H41-1),2,IF(AND($C41="Milestone",CW$8&gt;=$G41,CW$8&lt;=$G41+$H41-1),1,""))</f>
        <v/>
      </c>
      <c r="CX41" s="69" t="str">
        <f ca="1">IF(AND($C41="Goal",CX$8&gt;=$G41,CX$8&lt;=$G41+$H41-1),2,IF(AND($C41="Milestone",CX$8&gt;=$G41,CX$8&lt;=$G41+$H41-1),1,""))</f>
        <v/>
      </c>
      <c r="CY41" s="69" t="str">
        <f ca="1">IF(AND($C41="Goal",CY$8&gt;=$G41,CY$8&lt;=$G41+$H41-1),2,IF(AND($C41="Milestone",CY$8&gt;=$G41,CY$8&lt;=$G41+$H41-1),1,""))</f>
        <v/>
      </c>
      <c r="CZ41" s="69" t="str">
        <f ca="1">IF(AND($C41="Goal",CZ$8&gt;=$G41,CZ$8&lt;=$G41+$H41-1),2,IF(AND($C41="Milestone",CZ$8&gt;=$G41,CZ$8&lt;=$G41+$H41-1),1,""))</f>
        <v/>
      </c>
      <c r="DA41" s="69" t="str">
        <f ca="1">IF(AND($C41="Goal",DA$8&gt;=$G41,DA$8&lt;=$G41+$H41-1),2,IF(AND($C41="Milestone",DA$8&gt;=$G41,DA$8&lt;=$G41+$H41-1),1,""))</f>
        <v/>
      </c>
      <c r="DB41" s="69" t="str">
        <f ca="1">IF(AND($C41="Goal",DB$8&gt;=$G41,DB$8&lt;=$G41+$H41-1),2,IF(AND($C41="Milestone",DB$8&gt;=$G41,DB$8&lt;=$G41+$H41-1),1,""))</f>
        <v/>
      </c>
      <c r="DC41" s="69" t="str">
        <f ca="1">IF(AND($C41="Goal",DC$8&gt;=$G41,DC$8&lt;=$G41+$H41-1),2,IF(AND($C41="Milestone",DC$8&gt;=$G41,DC$8&lt;=$G41+$H41-1),1,""))</f>
        <v/>
      </c>
      <c r="DD41" s="69" t="str">
        <f ca="1">IF(AND($C41="Goal",DD$8&gt;=$G41,DD$8&lt;=$G41+$H41-1),2,IF(AND($C41="Milestone",DD$8&gt;=$G41,DD$8&lt;=$G41+$H41-1),1,""))</f>
        <v/>
      </c>
      <c r="DE41" s="69" t="str">
        <f ca="1">IF(AND($C41="Goal",DE$8&gt;=$G41,DE$8&lt;=$G41+$H41-1),2,IF(AND($C41="Milestone",DE$8&gt;=$G41,DE$8&lt;=$G41+$H41-1),1,""))</f>
        <v/>
      </c>
      <c r="DF41" s="69" t="str">
        <f ca="1">IF(AND($C41="Goal",DF$8&gt;=$G41,DF$8&lt;=$G41+$H41-1),2,IF(AND($C41="Milestone",DF$8&gt;=$G41,DF$8&lt;=$G41+$H41-1),1,""))</f>
        <v/>
      </c>
      <c r="DG41" s="69" t="str">
        <f ca="1">IF(AND($C41="Goal",DG$8&gt;=$G41,DG$8&lt;=$G41+$H41-1),2,IF(AND($C41="Milestone",DG$8&gt;=$G41,DG$8&lt;=$G41+$H41-1),1,""))</f>
        <v/>
      </c>
      <c r="DH41" s="69" t="str">
        <f ca="1">IF(AND($C41="Goal",DH$8&gt;=$G41,DH$8&lt;=$G41+$H41-1),2,IF(AND($C41="Milestone",DH$8&gt;=$G41,DH$8&lt;=$G41+$H41-1),1,""))</f>
        <v/>
      </c>
      <c r="DI41" s="69" t="str">
        <f ca="1">IF(AND($C41="Goal",DI$8&gt;=$G41,DI$8&lt;=$G41+$H41-1),2,IF(AND($C41="Milestone",DI$8&gt;=$G41,DI$8&lt;=$G41+$H41-1),1,""))</f>
        <v/>
      </c>
      <c r="DJ41" s="69" t="str">
        <f ca="1">IF(AND($C41="Goal",DJ$8&gt;=$G41,DJ$8&lt;=$G41+$H41-1),2,IF(AND($C41="Milestone",DJ$8&gt;=$G41,DJ$8&lt;=$G41+$H41-1),1,""))</f>
        <v/>
      </c>
      <c r="DK41" s="69" t="str">
        <f ca="1">IF(AND($C41="Goal",DK$8&gt;=$G41,DK$8&lt;=$G41+$H41-1),2,IF(AND($C41="Milestone",DK$8&gt;=$G41,DK$8&lt;=$G41+$H41-1),1,""))</f>
        <v/>
      </c>
      <c r="DL41" s="69" t="str">
        <f ca="1">IF(AND($C41="Goal",DL$8&gt;=$G41,DL$8&lt;=$G41+$H41-1),2,IF(AND($C41="Milestone",DL$8&gt;=$G41,DL$8&lt;=$G41+$H41-1),1,""))</f>
        <v/>
      </c>
      <c r="DM41" s="69" t="str">
        <f ca="1">IF(AND($C41="Goal",DM$8&gt;=$G41,DM$8&lt;=$G41+$H41-1),2,IF(AND($C41="Milestone",DM$8&gt;=$G41,DM$8&lt;=$G41+$H41-1),1,""))</f>
        <v/>
      </c>
      <c r="DN41" s="69" t="str">
        <f ca="1">IF(AND($C41="Goal",DN$8&gt;=$G41,DN$8&lt;=$G41+$H41-1),2,IF(AND($C41="Milestone",DN$8&gt;=$G41,DN$8&lt;=$G41+$H41-1),1,""))</f>
        <v/>
      </c>
      <c r="DO41" s="69" t="str">
        <f ca="1">IF(AND($C41="Goal",DO$8&gt;=$G41,DO$8&lt;=$G41+$H41-1),2,IF(AND($C41="Milestone",DO$8&gt;=$G41,DO$8&lt;=$G41+$H41-1),1,""))</f>
        <v/>
      </c>
      <c r="DP41" s="69" t="str">
        <f ca="1">IF(AND($C41="Goal",DP$8&gt;=$G41,DP$8&lt;=$G41+$H41-1),2,IF(AND($C41="Milestone",DP$8&gt;=$G41,DP$8&lt;=$G41+$H41-1),1,""))</f>
        <v/>
      </c>
      <c r="DQ41" s="69" t="str">
        <f ca="1">IF(AND($C41="Goal",DQ$8&gt;=$G41,DQ$8&lt;=$G41+$H41-1),2,IF(AND($C41="Milestone",DQ$8&gt;=$G41,DQ$8&lt;=$G41+$H41-1),1,""))</f>
        <v/>
      </c>
      <c r="DR41" s="69" t="str">
        <f ca="1">IF(AND($C41="Goal",DR$8&gt;=$G41,DR$8&lt;=$G41+$H41-1),2,IF(AND($C41="Milestone",DR$8&gt;=$G41,DR$8&lt;=$G41+$H41-1),1,""))</f>
        <v/>
      </c>
      <c r="DS41" s="69" t="str">
        <f ca="1">IF(AND($C41="Goal",DS$8&gt;=$G41,DS$8&lt;=$G41+$H41-1),2,IF(AND($C41="Milestone",DS$8&gt;=$G41,DS$8&lt;=$G41+$H41-1),1,""))</f>
        <v/>
      </c>
      <c r="DT41" s="69" t="str">
        <f ca="1">IF(AND($C41="Goal",DT$8&gt;=$G41,DT$8&lt;=$G41+$H41-1),2,IF(AND($C41="Milestone",DT$8&gt;=$G41,DT$8&lt;=$G41+$H41-1),1,""))</f>
        <v/>
      </c>
      <c r="DU41" s="69" t="str">
        <f ca="1">IF(AND($C41="Goal",DU$8&gt;=$G41,DU$8&lt;=$G41+$H41-1),2,IF(AND($C41="Milestone",DU$8&gt;=$G41,DU$8&lt;=$G41+$H41-1),1,""))</f>
        <v/>
      </c>
      <c r="DV41" s="69" t="str">
        <f ca="1">IF(AND($C41="Goal",DV$8&gt;=$G41,DV$8&lt;=$G41+$H41-1),2,IF(AND($C41="Milestone",DV$8&gt;=$G41,DV$8&lt;=$G41+$H41-1),1,""))</f>
        <v/>
      </c>
      <c r="DW41" s="69" t="str">
        <f ca="1">IF(AND($C41="Goal",DW$8&gt;=$G41,DW$8&lt;=$G41+$H41-1),2,IF(AND($C41="Milestone",DW$8&gt;=$G41,DW$8&lt;=$G41+$H41-1),1,""))</f>
        <v/>
      </c>
      <c r="DX41" s="69" t="str">
        <f ca="1">IF(AND($C41="Goal",DX$8&gt;=$G41,DX$8&lt;=$G41+$H41-1),2,IF(AND($C41="Milestone",DX$8&gt;=$G41,DX$8&lt;=$G41+$H41-1),1,""))</f>
        <v/>
      </c>
      <c r="DY41" s="69" t="str">
        <f ca="1">IF(AND($C41="Goal",DY$8&gt;=$G41,DY$8&lt;=$G41+$H41-1),2,IF(AND($C41="Milestone",DY$8&gt;=$G41,DY$8&lt;=$G41+$H41-1),1,""))</f>
        <v/>
      </c>
      <c r="DZ41" s="69" t="str">
        <f ca="1">IF(AND($C41="Goal",DZ$8&gt;=$G41,DZ$8&lt;=$G41+$H41-1),2,IF(AND($C41="Milestone",DZ$8&gt;=$G41,DZ$8&lt;=$G41+$H41-1),1,""))</f>
        <v/>
      </c>
      <c r="EA41" s="69" t="str">
        <f ca="1">IF(AND($C41="Goal",EA$8&gt;=$G41,EA$8&lt;=$G41+$H41-1),2,IF(AND($C41="Milestone",EA$8&gt;=$G41,EA$8&lt;=$G41+$H41-1),1,""))</f>
        <v/>
      </c>
      <c r="EB41" s="69" t="str">
        <f ca="1">IF(AND($C41="Goal",EB$8&gt;=$G41,EB$8&lt;=$G41+$H41-1),2,IF(AND($C41="Milestone",EB$8&gt;=$G41,EB$8&lt;=$G41+$H41-1),1,""))</f>
        <v/>
      </c>
      <c r="EC41" s="69" t="str">
        <f ca="1">IF(AND($C41="Goal",EC$8&gt;=$G41,EC$8&lt;=$G41+$H41-1),2,IF(AND($C41="Milestone",EC$8&gt;=$G41,EC$8&lt;=$G41+$H41-1),1,""))</f>
        <v/>
      </c>
      <c r="ED41" s="69" t="str">
        <f ca="1">IF(AND($C41="Goal",ED$8&gt;=$G41,ED$8&lt;=$G41+$H41-1),2,IF(AND($C41="Milestone",ED$8&gt;=$G41,ED$8&lt;=$G41+$H41-1),1,""))</f>
        <v/>
      </c>
      <c r="EE41" s="69" t="str">
        <f ca="1">IF(AND($C41="Goal",EE$8&gt;=$G41,EE$8&lt;=$G41+$H41-1),2,IF(AND($C41="Milestone",EE$8&gt;=$G41,EE$8&lt;=$G41+$H41-1),1,""))</f>
        <v/>
      </c>
      <c r="EF41" s="69" t="str">
        <f ca="1">IF(AND($C41="Goal",EF$8&gt;=$G41,EF$8&lt;=$G41+$H41-1),2,IF(AND($C41="Milestone",EF$8&gt;=$G41,EF$8&lt;=$G41+$H41-1),1,""))</f>
        <v/>
      </c>
      <c r="EG41" s="69" t="str">
        <f ca="1">IF(AND($C41="Goal",EG$8&gt;=$G41,EG$8&lt;=$G41+$H41-1),2,IF(AND($C41="Milestone",EG$8&gt;=$G41,EG$8&lt;=$G41+$H41-1),1,""))</f>
        <v/>
      </c>
      <c r="EH41" s="69" t="str">
        <f ca="1">IF(AND($C41="Goal",EH$8&gt;=$G41,EH$8&lt;=$G41+$H41-1),2,IF(AND($C41="Milestone",EH$8&gt;=$G41,EH$8&lt;=$G41+$H41-1),1,""))</f>
        <v/>
      </c>
      <c r="EI41" s="69" t="str">
        <f ca="1">IF(AND($C41="Goal",EI$8&gt;=$G41,EI$8&lt;=$G41+$H41-1),2,IF(AND($C41="Milestone",EI$8&gt;=$G41,EI$8&lt;=$G41+$H41-1),1,""))</f>
        <v/>
      </c>
      <c r="EJ41" s="69" t="str">
        <f ca="1">IF(AND($C41="Goal",EJ$8&gt;=$G41,EJ$8&lt;=$G41+$H41-1),2,IF(AND($C41="Milestone",EJ$8&gt;=$G41,EJ$8&lt;=$G41+$H41-1),1,""))</f>
        <v/>
      </c>
      <c r="EK41" s="69" t="str">
        <f ca="1">IF(AND($C41="Goal",EK$8&gt;=$G41,EK$8&lt;=$G41+$H41-1),2,IF(AND($C41="Milestone",EK$8&gt;=$G41,EK$8&lt;=$G41+$H41-1),1,""))</f>
        <v/>
      </c>
      <c r="EL41" s="69" t="str">
        <f ca="1">IF(AND($C41="Goal",EL$8&gt;=$G41,EL$8&lt;=$G41+$H41-1),2,IF(AND($C41="Milestone",EL$8&gt;=$G41,EL$8&lt;=$G41+$H41-1),1,""))</f>
        <v/>
      </c>
      <c r="EM41" s="69" t="str">
        <f ca="1">IF(AND($C41="Goal",EM$8&gt;=$G41,EM$8&lt;=$G41+$H41-1),2,IF(AND($C41="Milestone",EM$8&gt;=$G41,EM$8&lt;=$G41+$H41-1),1,""))</f>
        <v/>
      </c>
      <c r="EN41" s="69" t="str">
        <f ca="1">IF(AND($C41="Goal",EN$8&gt;=$G41,EN$8&lt;=$G41+$H41-1),2,IF(AND($C41="Milestone",EN$8&gt;=$G41,EN$8&lt;=$G41+$H41-1),1,""))</f>
        <v/>
      </c>
      <c r="EO41" s="69" t="str">
        <f ca="1">IF(AND($C41="Goal",EO$8&gt;=$G41,EO$8&lt;=$G41+$H41-1),2,IF(AND($C41="Milestone",EO$8&gt;=$G41,EO$8&lt;=$G41+$H41-1),1,""))</f>
        <v/>
      </c>
      <c r="EP41" s="69" t="str">
        <f ca="1">IF(AND($C41="Goal",EP$8&gt;=$G41,EP$8&lt;=$G41+$H41-1),2,IF(AND($C41="Milestone",EP$8&gt;=$G41,EP$8&lt;=$G41+$H41-1),1,""))</f>
        <v/>
      </c>
      <c r="EQ41" s="69" t="str">
        <f ca="1">IF(AND($C41="Goal",EQ$8&gt;=$G41,EQ$8&lt;=$G41+$H41-1),2,IF(AND($C41="Milestone",EQ$8&gt;=$G41,EQ$8&lt;=$G41+$H41-1),1,""))</f>
        <v/>
      </c>
      <c r="ER41" s="69" t="str">
        <f ca="1">IF(AND($C41="Goal",ER$8&gt;=$G41,ER$8&lt;=$G41+$H41-1),2,IF(AND($C41="Milestone",ER$8&gt;=$G41,ER$8&lt;=$G41+$H41-1),1,""))</f>
        <v/>
      </c>
      <c r="ES41" s="69" t="str">
        <f ca="1">IF(AND($C41="Goal",ES$8&gt;=$G41,ES$8&lt;=$G41+$H41-1),2,IF(AND($C41="Milestone",ES$8&gt;=$G41,ES$8&lt;=$G41+$H41-1),1,""))</f>
        <v/>
      </c>
      <c r="ET41" s="69" t="str">
        <f ca="1">IF(AND($C41="Goal",ET$8&gt;=$G41,ET$8&lt;=$G41+$H41-1),2,IF(AND($C41="Milestone",ET$8&gt;=$G41,ET$8&lt;=$G41+$H41-1),1,""))</f>
        <v/>
      </c>
      <c r="EU41" s="69" t="str">
        <f ca="1">IF(AND($C41="Goal",EU$8&gt;=$G41,EU$8&lt;=$G41+$H41-1),2,IF(AND($C41="Milestone",EU$8&gt;=$G41,EU$8&lt;=$G41+$H41-1),1,""))</f>
        <v/>
      </c>
      <c r="EV41" s="69" t="str">
        <f ca="1">IF(AND($C41="Goal",EV$8&gt;=$G41,EV$8&lt;=$G41+$H41-1),2,IF(AND($C41="Milestone",EV$8&gt;=$G41,EV$8&lt;=$G41+$H41-1),1,""))</f>
        <v/>
      </c>
      <c r="EW41" s="69" t="str">
        <f ca="1">IF(AND($C41="Goal",EW$8&gt;=$G41,EW$8&lt;=$G41+$H41-1),2,IF(AND($C41="Milestone",EW$8&gt;=$G41,EW$8&lt;=$G41+$H41-1),1,""))</f>
        <v/>
      </c>
      <c r="EX41" s="69" t="str">
        <f ca="1">IF(AND($C41="Goal",EX$8&gt;=$G41,EX$8&lt;=$G41+$H41-1),2,IF(AND($C41="Milestone",EX$8&gt;=$G41,EX$8&lt;=$G41+$H41-1),1,""))</f>
        <v/>
      </c>
      <c r="EY41" s="69" t="str">
        <f ca="1">IF(AND($C41="Goal",EY$8&gt;=$G41,EY$8&lt;=$G41+$H41-1),2,IF(AND($C41="Milestone",EY$8&gt;=$G41,EY$8&lt;=$G41+$H41-1),1,""))</f>
        <v/>
      </c>
      <c r="EZ41" s="69" t="str">
        <f ca="1">IF(AND($C41="Goal",EZ$8&gt;=$G41,EZ$8&lt;=$G41+$H41-1),2,IF(AND($C41="Milestone",EZ$8&gt;=$G41,EZ$8&lt;=$G41+$H41-1),1,""))</f>
        <v/>
      </c>
      <c r="FA41" s="69" t="str">
        <f ca="1">IF(AND($C41="Goal",FA$8&gt;=$G41,FA$8&lt;=$G41+$H41-1),2,IF(AND($C41="Milestone",FA$8&gt;=$G41,FA$8&lt;=$G41+$H41-1),1,""))</f>
        <v/>
      </c>
      <c r="FB41" s="69" t="str">
        <f ca="1">IF(AND($C41="Goal",FB$8&gt;=$G41,FB$8&lt;=$G41+$H41-1),2,IF(AND($C41="Milestone",FB$8&gt;=$G41,FB$8&lt;=$G41+$H41-1),1,""))</f>
        <v/>
      </c>
      <c r="FC41" s="69" t="str">
        <f ca="1">IF(AND($C41="Goal",FC$8&gt;=$G41,FC$8&lt;=$G41+$H41-1),2,IF(AND($C41="Milestone",FC$8&gt;=$G41,FC$8&lt;=$G41+$H41-1),1,""))</f>
        <v/>
      </c>
      <c r="FD41" s="69" t="str">
        <f ca="1">IF(AND($C41="Goal",FD$8&gt;=$G41,FD$8&lt;=$G41+$H41-1),2,IF(AND($C41="Milestone",FD$8&gt;=$G41,FD$8&lt;=$G41+$H41-1),1,""))</f>
        <v/>
      </c>
      <c r="FE41" s="69" t="str">
        <f ca="1">IF(AND($C41="Goal",FE$8&gt;=$G41,FE$8&lt;=$G41+$H41-1),2,IF(AND($C41="Milestone",FE$8&gt;=$G41,FE$8&lt;=$G41+$H41-1),1,""))</f>
        <v/>
      </c>
      <c r="FF41" s="69" t="str">
        <f ca="1">IF(AND($C41="Goal",FF$8&gt;=$G41,FF$8&lt;=$G41+$H41-1),2,IF(AND($C41="Milestone",FF$8&gt;=$G41,FF$8&lt;=$G41+$H41-1),1,""))</f>
        <v/>
      </c>
      <c r="FG41" s="69" t="str">
        <f ca="1">IF(AND($C41="Goal",FG$8&gt;=$G41,FG$8&lt;=$G41+$H41-1),2,IF(AND($C41="Milestone",FG$8&gt;=$G41,FG$8&lt;=$G41+$H41-1),1,""))</f>
        <v/>
      </c>
      <c r="FH41" s="69" t="str">
        <f ca="1">IF(AND($C41="Goal",FH$8&gt;=$G41,FH$8&lt;=$G41+$H41-1),2,IF(AND($C41="Milestone",FH$8&gt;=$G41,FH$8&lt;=$G41+$H41-1),1,""))</f>
        <v/>
      </c>
      <c r="FI41" s="69" t="str">
        <f ca="1">IF(AND($C41="Goal",FI$8&gt;=$G41,FI$8&lt;=$G41+$H41-1),2,IF(AND($C41="Milestone",FI$8&gt;=$G41,FI$8&lt;=$G41+$H41-1),1,""))</f>
        <v/>
      </c>
      <c r="FJ41" s="69" t="str">
        <f ca="1">IF(AND($C41="Goal",FJ$8&gt;=$G41,FJ$8&lt;=$G41+$H41-1),2,IF(AND($C41="Milestone",FJ$8&gt;=$G41,FJ$8&lt;=$G41+$H41-1),1,""))</f>
        <v/>
      </c>
      <c r="FK41" s="69" t="str">
        <f ca="1">IF(AND($C41="Goal",FK$8&gt;=$G41,FK$8&lt;=$G41+$H41-1),2,IF(AND($C41="Milestone",FK$8&gt;=$G41,FK$8&lt;=$G41+$H41-1),1,""))</f>
        <v/>
      </c>
      <c r="FL41" s="69" t="str">
        <f ca="1">IF(AND($C41="Goal",FL$8&gt;=$G41,FL$8&lt;=$G41+$H41-1),2,IF(AND($C41="Milestone",FL$8&gt;=$G41,FL$8&lt;=$G41+$H41-1),1,""))</f>
        <v/>
      </c>
      <c r="FM41" s="69" t="str">
        <f ca="1">IF(AND($C41="Goal",FM$8&gt;=$G41,FM$8&lt;=$G41+$H41-1),2,IF(AND($C41="Milestone",FM$8&gt;=$G41,FM$8&lt;=$G41+$H41-1),1,""))</f>
        <v/>
      </c>
      <c r="FN41" s="69" t="str">
        <f ca="1">IF(AND($C41="Goal",FN$8&gt;=$G41,FN$8&lt;=$G41+$H41-1),2,IF(AND($C41="Milestone",FN$8&gt;=$G41,FN$8&lt;=$G41+$H41-1),1,""))</f>
        <v/>
      </c>
      <c r="FO41" s="69" t="str">
        <f ca="1">IF(AND($C41="Goal",FO$8&gt;=$G41,FO$8&lt;=$G41+$H41-1),2,IF(AND($C41="Milestone",FO$8&gt;=$G41,FO$8&lt;=$G41+$H41-1),1,""))</f>
        <v/>
      </c>
      <c r="FP41" s="69" t="str">
        <f ca="1">IF(AND($C41="Goal",FP$8&gt;=$G41,FP$8&lt;=$G41+$H41-1),2,IF(AND($C41="Milestone",FP$8&gt;=$G41,FP$8&lt;=$G41+$H41-1),1,""))</f>
        <v/>
      </c>
      <c r="FQ41" s="69" t="str">
        <f ca="1">IF(AND($C41="Goal",FQ$8&gt;=$G41,FQ$8&lt;=$G41+$H41-1),2,IF(AND($C41="Milestone",FQ$8&gt;=$G41,FQ$8&lt;=$G41+$H41-1),1,""))</f>
        <v/>
      </c>
      <c r="FR41" s="69" t="str">
        <f ca="1">IF(AND($C41="Goal",FR$8&gt;=$G41,FR$8&lt;=$G41+$H41-1),2,IF(AND($C41="Milestone",FR$8&gt;=$G41,FR$8&lt;=$G41+$H41-1),1,""))</f>
        <v/>
      </c>
      <c r="FS41" s="69" t="str">
        <f ca="1">IF(AND($C41="Goal",FS$8&gt;=$G41,FS$8&lt;=$G41+$H41-1),2,IF(AND($C41="Milestone",FS$8&gt;=$G41,FS$8&lt;=$G41+$H41-1),1,""))</f>
        <v/>
      </c>
      <c r="FT41" s="69" t="str">
        <f ca="1">IF(AND($C41="Goal",FT$8&gt;=$G41,FT$8&lt;=$G41+$H41-1),2,IF(AND($C41="Milestone",FT$8&gt;=$G41,FT$8&lt;=$G41+$H41-1),1,""))</f>
        <v/>
      </c>
      <c r="FU41" s="69" t="str">
        <f ca="1">IF(AND($C41="Goal",FU$8&gt;=$G41,FU$8&lt;=$G41+$H41-1),2,IF(AND($C41="Milestone",FU$8&gt;=$G41,FU$8&lt;=$G41+$H41-1),1,""))</f>
        <v/>
      </c>
      <c r="FV41" s="69" t="str">
        <f ca="1">IF(AND($C41="Goal",FV$8&gt;=$G41,FV$8&lt;=$G41+$H41-1),2,IF(AND($C41="Milestone",FV$8&gt;=$G41,FV$8&lt;=$G41+$H41-1),1,""))</f>
        <v/>
      </c>
      <c r="FW41" s="69" t="str">
        <f ca="1">IF(AND($C41="Goal",FW$8&gt;=$G41,FW$8&lt;=$G41+$H41-1),2,IF(AND($C41="Milestone",FW$8&gt;=$G41,FW$8&lt;=$G41+$H41-1),1,""))</f>
        <v/>
      </c>
      <c r="FX41" s="69" t="str">
        <f ca="1">IF(AND($C41="Goal",FX$8&gt;=$G41,FX$8&lt;=$G41+$H41-1),2,IF(AND($C41="Milestone",FX$8&gt;=$G41,FX$8&lt;=$G41+$H41-1),1,""))</f>
        <v/>
      </c>
      <c r="FY41" s="69" t="str">
        <f ca="1">IF(AND($C41="Goal",FY$8&gt;=$G41,FY$8&lt;=$G41+$H41-1),2,IF(AND($C41="Milestone",FY$8&gt;=$G41,FY$8&lt;=$G41+$H41-1),1,""))</f>
        <v/>
      </c>
      <c r="FZ41" s="69" t="str">
        <f ca="1">IF(AND($C41="Goal",FZ$8&gt;=$G41,FZ$8&lt;=$G41+$H41-1),2,IF(AND($C41="Milestone",FZ$8&gt;=$G41,FZ$8&lt;=$G41+$H41-1),1,""))</f>
        <v/>
      </c>
      <c r="GA41" s="69" t="str">
        <f ca="1">IF(AND($C41="Goal",GA$8&gt;=$G41,GA$8&lt;=$G41+$H41-1),2,IF(AND($C41="Milestone",GA$8&gt;=$G41,GA$8&lt;=$G41+$H41-1),1,""))</f>
        <v/>
      </c>
      <c r="GB41" s="69" t="str">
        <f ca="1">IF(AND($C41="Goal",GB$8&gt;=$G41,GB$8&lt;=$G41+$H41-1),2,IF(AND($C41="Milestone",GB$8&gt;=$G41,GB$8&lt;=$G41+$H41-1),1,""))</f>
        <v/>
      </c>
      <c r="GC41" s="69" t="str">
        <f ca="1">IF(AND($C41="Goal",GC$8&gt;=$G41,GC$8&lt;=$G41+$H41-1),2,IF(AND($C41="Milestone",GC$8&gt;=$G41,GC$8&lt;=$G41+$H41-1),1,""))</f>
        <v/>
      </c>
      <c r="GD41" s="69" t="str">
        <f ca="1">IF(AND($C41="Goal",GD$8&gt;=$G41,GD$8&lt;=$G41+$H41-1),2,IF(AND($C41="Milestone",GD$8&gt;=$G41,GD$8&lt;=$G41+$H41-1),1,""))</f>
        <v/>
      </c>
      <c r="GE41" s="69" t="str">
        <f ca="1">IF(AND($C41="Goal",GE$8&gt;=$G41,GE$8&lt;=$G41+$H41-1),2,IF(AND($C41="Milestone",GE$8&gt;=$G41,GE$8&lt;=$G41+$H41-1),1,""))</f>
        <v/>
      </c>
      <c r="GF41" s="69" t="str">
        <f ca="1">IF(AND($C41="Goal",GF$8&gt;=$G41,GF$8&lt;=$G41+$H41-1),2,IF(AND($C41="Milestone",GF$8&gt;=$G41,GF$8&lt;=$G41+$H41-1),1,""))</f>
        <v/>
      </c>
      <c r="GG41" s="69" t="str">
        <f ca="1">IF(AND($C41="Goal",GG$8&gt;=$G41,GG$8&lt;=$G41+$H41-1),2,IF(AND($C41="Milestone",GG$8&gt;=$G41,GG$8&lt;=$G41+$H41-1),1,""))</f>
        <v/>
      </c>
      <c r="GH41" s="69" t="str">
        <f ca="1">IF(AND($C41="Goal",GH$8&gt;=$G41,GH$8&lt;=$G41+$H41-1),2,IF(AND($C41="Milestone",GH$8&gt;=$G41,GH$8&lt;=$G41+$H41-1),1,""))</f>
        <v/>
      </c>
      <c r="GI41" s="69" t="str">
        <f ca="1">IF(AND($C41="Goal",GI$8&gt;=$G41,GI$8&lt;=$G41+$H41-1),2,IF(AND($C41="Milestone",GI$8&gt;=$G41,GI$8&lt;=$G41+$H41-1),1,""))</f>
        <v/>
      </c>
      <c r="GJ41" s="69" t="str">
        <f ca="1">IF(AND($C41="Goal",GJ$8&gt;=$G41,GJ$8&lt;=$G41+$H41-1),2,IF(AND($C41="Milestone",GJ$8&gt;=$G41,GJ$8&lt;=$G41+$H41-1),1,""))</f>
        <v/>
      </c>
      <c r="GK41" s="69" t="str">
        <f ca="1">IF(AND($C41="Goal",GK$8&gt;=$G41,GK$8&lt;=$G41+$H41-1),2,IF(AND($C41="Milestone",GK$8&gt;=$G41,GK$8&lt;=$G41+$H41-1),1,""))</f>
        <v/>
      </c>
      <c r="GL41" s="69" t="str">
        <f ca="1">IF(AND($C41="Goal",GL$8&gt;=$G41,GL$8&lt;=$G41+$H41-1),2,IF(AND($C41="Milestone",GL$8&gt;=$G41,GL$8&lt;=$G41+$H41-1),1,""))</f>
        <v/>
      </c>
      <c r="GM41" s="69" t="str">
        <f ca="1">IF(AND($C41="Goal",GM$8&gt;=$G41,GM$8&lt;=$G41+$H41-1),2,IF(AND($C41="Milestone",GM$8&gt;=$G41,GM$8&lt;=$G41+$H41-1),1,""))</f>
        <v/>
      </c>
      <c r="GN41" s="69" t="str">
        <f ca="1">IF(AND($C41="Goal",GN$8&gt;=$G41,GN$8&lt;=$G41+$H41-1),2,IF(AND($C41="Milestone",GN$8&gt;=$G41,GN$8&lt;=$G41+$H41-1),1,""))</f>
        <v/>
      </c>
      <c r="GO41" s="69" t="str">
        <f ca="1">IF(AND($C41="Goal",GO$8&gt;=$G41,GO$8&lt;=$G41+$H41-1),2,IF(AND($C41="Milestone",GO$8&gt;=$G41,GO$8&lt;=$G41+$H41-1),1,""))</f>
        <v/>
      </c>
      <c r="GP41" s="69" t="str">
        <f ca="1">IF(AND($C41="Goal",GP$8&gt;=$G41,GP$8&lt;=$G41+$H41-1),2,IF(AND($C41="Milestone",GP$8&gt;=$G41,GP$8&lt;=$G41+$H41-1),1,""))</f>
        <v/>
      </c>
      <c r="GQ41" s="69" t="str">
        <f ca="1">IF(AND($C41="Goal",GQ$8&gt;=$G41,GQ$8&lt;=$G41+$H41-1),2,IF(AND($C41="Milestone",GQ$8&gt;=$G41,GQ$8&lt;=$G41+$H41-1),1,""))</f>
        <v/>
      </c>
      <c r="GR41" s="69" t="str">
        <f ca="1">IF(AND($C41="Goal",GR$8&gt;=$G41,GR$8&lt;=$G41+$H41-1),2,IF(AND($C41="Milestone",GR$8&gt;=$G41,GR$8&lt;=$G41+$H41-1),1,""))</f>
        <v/>
      </c>
      <c r="GS41" s="69" t="str">
        <f ca="1">IF(AND($C41="Goal",GS$8&gt;=$G41,GS$8&lt;=$G41+$H41-1),2,IF(AND($C41="Milestone",GS$8&gt;=$G41,GS$8&lt;=$G41+$H41-1),1,""))</f>
        <v/>
      </c>
      <c r="GT41" s="69" t="str">
        <f ca="1">IF(AND($C41="Goal",GT$8&gt;=$G41,GT$8&lt;=$G41+$H41-1),2,IF(AND($C41="Milestone",GT$8&gt;=$G41,GT$8&lt;=$G41+$H41-1),1,""))</f>
        <v/>
      </c>
      <c r="GU41" s="69" t="str">
        <f ca="1">IF(AND($C41="Goal",GU$8&gt;=$G41,GU$8&lt;=$G41+$H41-1),2,IF(AND($C41="Milestone",GU$8&gt;=$G41,GU$8&lt;=$G41+$H41-1),1,""))</f>
        <v/>
      </c>
      <c r="GV41" s="69" t="str">
        <f ca="1">IF(AND($C41="Goal",GV$8&gt;=$G41,GV$8&lt;=$G41+$H41-1),2,IF(AND($C41="Milestone",GV$8&gt;=$G41,GV$8&lt;=$G41+$H41-1),1,""))</f>
        <v/>
      </c>
      <c r="GW41" s="69" t="str">
        <f ca="1">IF(AND($C41="Goal",GW$8&gt;=$G41,GW$8&lt;=$G41+$H41-1),2,IF(AND($C41="Milestone",GW$8&gt;=$G41,GW$8&lt;=$G41+$H41-1),1,""))</f>
        <v/>
      </c>
      <c r="GX41" s="69" t="str">
        <f ca="1">IF(AND($C41="Goal",GX$8&gt;=$G41,GX$8&lt;=$G41+$H41-1),2,IF(AND($C41="Milestone",GX$8&gt;=$G41,GX$8&lt;=$G41+$H41-1),1,""))</f>
        <v/>
      </c>
      <c r="GY41" s="69" t="str">
        <f ca="1">IF(AND($C41="Goal",GY$8&gt;=$G41,GY$8&lt;=$G41+$H41-1),2,IF(AND($C41="Milestone",GY$8&gt;=$G41,GY$8&lt;=$G41+$H41-1),1,""))</f>
        <v/>
      </c>
      <c r="GZ41" s="69" t="str">
        <f ca="1">IF(AND($C41="Goal",GZ$8&gt;=$G41,GZ$8&lt;=$G41+$H41-1),2,IF(AND($C41="Milestone",GZ$8&gt;=$G41,GZ$8&lt;=$G41+$H41-1),1,""))</f>
        <v/>
      </c>
      <c r="HA41" s="69" t="str">
        <f ca="1">IF(AND($C41="Goal",HA$8&gt;=$G41,HA$8&lt;=$G41+$H41-1),2,IF(AND($C41="Milestone",HA$8&gt;=$G41,HA$8&lt;=$G41+$H41-1),1,""))</f>
        <v/>
      </c>
      <c r="HB41" s="69" t="str">
        <f ca="1">IF(AND($C41="Goal",HB$8&gt;=$G41,HB$8&lt;=$G41+$H41-1),2,IF(AND($C41="Milestone",HB$8&gt;=$G41,HB$8&lt;=$G41+$H41-1),1,""))</f>
        <v/>
      </c>
      <c r="HC41" s="69" t="str">
        <f ca="1">IF(AND($C41="Goal",HC$8&gt;=$G41,HC$8&lt;=$G41+$H41-1),2,IF(AND($C41="Milestone",HC$8&gt;=$G41,HC$8&lt;=$G41+$H41-1),1,""))</f>
        <v/>
      </c>
      <c r="HD41" s="69" t="str">
        <f ca="1">IF(AND($C41="Goal",HD$8&gt;=$G41,HD$8&lt;=$G41+$H41-1),2,IF(AND($C41="Milestone",HD$8&gt;=$G41,HD$8&lt;=$G41+$H41-1),1,""))</f>
        <v/>
      </c>
      <c r="HE41" s="69" t="str">
        <f ca="1">IF(AND($C41="Goal",HE$8&gt;=$G41,HE$8&lt;=$G41+$H41-1),2,IF(AND($C41="Milestone",HE$8&gt;=$G41,HE$8&lt;=$G41+$H41-1),1,""))</f>
        <v/>
      </c>
      <c r="HF41" s="69" t="str">
        <f ca="1">IF(AND($C41="Goal",HF$8&gt;=$G41,HF$8&lt;=$G41+$H41-1),2,IF(AND($C41="Milestone",HF$8&gt;=$G41,HF$8&lt;=$G41+$H41-1),1,""))</f>
        <v/>
      </c>
      <c r="HG41" s="69" t="str">
        <f ca="1">IF(AND($C41="Goal",HG$8&gt;=$G41,HG$8&lt;=$G41+$H41-1),2,IF(AND($C41="Milestone",HG$8&gt;=$G41,HG$8&lt;=$G41+$H41-1),1,""))</f>
        <v/>
      </c>
      <c r="HH41" s="69" t="str">
        <f ca="1">IF(AND($C41="Goal",HH$8&gt;=$G41,HH$8&lt;=$G41+$H41-1),2,IF(AND($C41="Milestone",HH$8&gt;=$G41,HH$8&lt;=$G41+$H41-1),1,""))</f>
        <v/>
      </c>
      <c r="HI41" s="69" t="str">
        <f ca="1">IF(AND($C41="Goal",HI$8&gt;=$G41,HI$8&lt;=$G41+$H41-1),2,IF(AND($C41="Milestone",HI$8&gt;=$G41,HI$8&lt;=$G41+$H41-1),1,""))</f>
        <v/>
      </c>
      <c r="HJ41" s="69" t="str">
        <f ca="1">IF(AND($C41="Goal",HJ$8&gt;=$G41,HJ$8&lt;=$G41+$H41-1),2,IF(AND($C41="Milestone",HJ$8&gt;=$G41,HJ$8&lt;=$G41+$H41-1),1,""))</f>
        <v/>
      </c>
      <c r="HK41" s="69" t="str">
        <f ca="1">IF(AND($C41="Goal",HK$8&gt;=$G41,HK$8&lt;=$G41+$H41-1),2,IF(AND($C41="Milestone",HK$8&gt;=$G41,HK$8&lt;=$G41+$H41-1),1,""))</f>
        <v/>
      </c>
      <c r="HL41" s="69" t="str">
        <f ca="1">IF(AND($C41="Goal",HL$8&gt;=$G41,HL$8&lt;=$G41+$H41-1),2,IF(AND($C41="Milestone",HL$8&gt;=$G41,HL$8&lt;=$G41+$H41-1),1,""))</f>
        <v/>
      </c>
      <c r="HM41" s="69" t="str">
        <f ca="1">IF(AND($C41="Goal",HM$8&gt;=$G41,HM$8&lt;=$G41+$H41-1),2,IF(AND($C41="Milestone",HM$8&gt;=$G41,HM$8&lt;=$G41+$H41-1),1,""))</f>
        <v/>
      </c>
      <c r="HN41" s="69" t="str">
        <f ca="1">IF(AND($C41="Goal",HN$8&gt;=$G41,HN$8&lt;=$G41+$H41-1),2,IF(AND($C41="Milestone",HN$8&gt;=$G41,HN$8&lt;=$G41+$H41-1),1,""))</f>
        <v/>
      </c>
      <c r="HO41" s="69" t="str">
        <f ca="1">IF(AND($C41="Goal",HO$8&gt;=$G41,HO$8&lt;=$G41+$H41-1),2,IF(AND($C41="Milestone",HO$8&gt;=$G41,HO$8&lt;=$G41+$H41-1),1,""))</f>
        <v/>
      </c>
      <c r="HP41" s="69" t="str">
        <f ca="1">IF(AND($C41="Goal",HP$8&gt;=$G41,HP$8&lt;=$G41+$H41-1),2,IF(AND($C41="Milestone",HP$8&gt;=$G41,HP$8&lt;=$G41+$H41-1),1,""))</f>
        <v/>
      </c>
      <c r="HQ41" s="69" t="str">
        <f ca="1">IF(AND($C41="Goal",HQ$8&gt;=$G41,HQ$8&lt;=$G41+$H41-1),2,IF(AND($C41="Milestone",HQ$8&gt;=$G41,HQ$8&lt;=$G41+$H41-1),1,""))</f>
        <v/>
      </c>
      <c r="HR41" s="69" t="str">
        <f ca="1">IF(AND($C41="Goal",HR$8&gt;=$G41,HR$8&lt;=$G41+$H41-1),2,IF(AND($C41="Milestone",HR$8&gt;=$G41,HR$8&lt;=$G41+$H41-1),1,""))</f>
        <v/>
      </c>
      <c r="HS41" s="69" t="str">
        <f ca="1">IF(AND($C41="Goal",HS$8&gt;=$G41,HS$8&lt;=$G41+$H41-1),2,IF(AND($C41="Milestone",HS$8&gt;=$G41,HS$8&lt;=$G41+$H41-1),1,""))</f>
        <v/>
      </c>
      <c r="HT41" s="69" t="str">
        <f ca="1">IF(AND($C41="Goal",HT$8&gt;=$G41,HT$8&lt;=$G41+$H41-1),2,IF(AND($C41="Milestone",HT$8&gt;=$G41,HT$8&lt;=$G41+$H41-1),1,""))</f>
        <v/>
      </c>
      <c r="HU41" s="69" t="str">
        <f ca="1">IF(AND($C41="Goal",HU$8&gt;=$G41,HU$8&lt;=$G41+$H41-1),2,IF(AND($C41="Milestone",HU$8&gt;=$G41,HU$8&lt;=$G41+$H41-1),1,""))</f>
        <v/>
      </c>
      <c r="HV41" s="69" t="str">
        <f ca="1">IF(AND($C41="Goal",HV$8&gt;=$G41,HV$8&lt;=$G41+$H41-1),2,IF(AND($C41="Milestone",HV$8&gt;=$G41,HV$8&lt;=$G41+$H41-1),1,""))</f>
        <v/>
      </c>
      <c r="HW41" s="69" t="str">
        <f ca="1">IF(AND($C41="Goal",HW$8&gt;=$G41,HW$8&lt;=$G41+$H41-1),2,IF(AND($C41="Milestone",HW$8&gt;=$G41,HW$8&lt;=$G41+$H41-1),1,""))</f>
        <v/>
      </c>
      <c r="HX41" s="69" t="str">
        <f ca="1">IF(AND($C41="Goal",HX$8&gt;=$G41,HX$8&lt;=$G41+$H41-1),2,IF(AND($C41="Milestone",HX$8&gt;=$G41,HX$8&lt;=$G41+$H41-1),1,""))</f>
        <v/>
      </c>
      <c r="HY41" s="69" t="str">
        <f ca="1">IF(AND($C41="Goal",HY$8&gt;=$G41,HY$8&lt;=$G41+$H41-1),2,IF(AND($C41="Milestone",HY$8&gt;=$G41,HY$8&lt;=$G41+$H41-1),1,""))</f>
        <v/>
      </c>
      <c r="HZ41" s="69" t="str">
        <f ca="1">IF(AND($C41="Goal",HZ$8&gt;=$G41,HZ$8&lt;=$G41+$H41-1),2,IF(AND($C41="Milestone",HZ$8&gt;=$G41,HZ$8&lt;=$G41+$H41-1),1,""))</f>
        <v/>
      </c>
      <c r="IA41" s="69" t="str">
        <f ca="1">IF(AND($C41="Goal",IA$8&gt;=$G41,IA$8&lt;=$G41+$H41-1),2,IF(AND($C41="Milestone",IA$8&gt;=$G41,IA$8&lt;=$G41+$H41-1),1,""))</f>
        <v/>
      </c>
      <c r="IB41" s="69" t="str">
        <f ca="1">IF(AND($C41="Goal",IB$8&gt;=$G41,IB$8&lt;=$G41+$H41-1),2,IF(AND($C41="Milestone",IB$8&gt;=$G41,IB$8&lt;=$G41+$H41-1),1,""))</f>
        <v/>
      </c>
      <c r="IC41" s="69" t="str">
        <f ca="1">IF(AND($C41="Goal",IC$8&gt;=$G41,IC$8&lt;=$G41+$H41-1),2,IF(AND($C41="Milestone",IC$8&gt;=$G41,IC$8&lt;=$G41+$H41-1),1,""))</f>
        <v/>
      </c>
      <c r="ID41" s="69" t="str">
        <f ca="1">IF(AND($C41="Goal",ID$8&gt;=$G41,ID$8&lt;=$G41+$H41-1),2,IF(AND($C41="Milestone",ID$8&gt;=$G41,ID$8&lt;=$G41+$H41-1),1,""))</f>
        <v/>
      </c>
      <c r="IE41" s="69" t="str">
        <f ca="1">IF(AND($C41="Goal",IE$8&gt;=$G41,IE$8&lt;=$G41+$H41-1),2,IF(AND($C41="Milestone",IE$8&gt;=$G41,IE$8&lt;=$G41+$H41-1),1,""))</f>
        <v/>
      </c>
      <c r="IF41" s="69" t="str">
        <f ca="1">IF(AND($C41="Goal",IF$8&gt;=$G41,IF$8&lt;=$G41+$H41-1),2,IF(AND($C41="Milestone",IF$8&gt;=$G41,IF$8&lt;=$G41+$H41-1),1,""))</f>
        <v/>
      </c>
      <c r="IG41" s="69" t="str">
        <f ca="1">IF(AND($C41="Goal",IG$8&gt;=$G41,IG$8&lt;=$G41+$H41-1),2,IF(AND($C41="Milestone",IG$8&gt;=$G41,IG$8&lt;=$G41+$H41-1),1,""))</f>
        <v/>
      </c>
      <c r="IH41" s="69" t="str">
        <f ca="1">IF(AND($C41="Goal",IH$8&gt;=$G41,IH$8&lt;=$G41+$H41-1),2,IF(AND($C41="Milestone",IH$8&gt;=$G41,IH$8&lt;=$G41+$H41-1),1,""))</f>
        <v/>
      </c>
      <c r="II41" s="69" t="str">
        <f ca="1">IF(AND($C41="Goal",II$8&gt;=$G41,II$8&lt;=$G41+$H41-1),2,IF(AND($C41="Milestone",II$8&gt;=$G41,II$8&lt;=$G41+$H41-1),1,""))</f>
        <v/>
      </c>
      <c r="IJ41" s="69" t="str">
        <f ca="1">IF(AND($C41="Goal",IJ$8&gt;=$G41,IJ$8&lt;=$G41+$H41-1),2,IF(AND($C41="Milestone",IJ$8&gt;=$G41,IJ$8&lt;=$G41+$H41-1),1,""))</f>
        <v/>
      </c>
      <c r="IK41" s="69" t="str">
        <f ca="1">IF(AND($C41="Goal",IK$8&gt;=$G41,IK$8&lt;=$G41+$H41-1),2,IF(AND($C41="Milestone",IK$8&gt;=$G41,IK$8&lt;=$G41+$H41-1),1,""))</f>
        <v/>
      </c>
      <c r="IL41" s="69" t="str">
        <f ca="1">IF(AND($C41="Goal",IL$8&gt;=$G41,IL$8&lt;=$G41+$H41-1),2,IF(AND($C41="Milestone",IL$8&gt;=$G41,IL$8&lt;=$G41+$H41-1),1,""))</f>
        <v/>
      </c>
      <c r="IM41" s="69" t="str">
        <f ca="1">IF(AND($C41="Goal",IM$8&gt;=$G41,IM$8&lt;=$G41+$H41-1),2,IF(AND($C41="Milestone",IM$8&gt;=$G41,IM$8&lt;=$G41+$H41-1),1,""))</f>
        <v/>
      </c>
      <c r="IN41" s="69" t="str">
        <f ca="1">IF(AND($C41="Goal",IN$8&gt;=$G41,IN$8&lt;=$G41+$H41-1),2,IF(AND($C41="Milestone",IN$8&gt;=$G41,IN$8&lt;=$G41+$H41-1),1,""))</f>
        <v/>
      </c>
      <c r="IO41" s="69" t="str">
        <f ca="1">IF(AND($C41="Goal",IO$8&gt;=$G41,IO$8&lt;=$G41+$H41-1),2,IF(AND($C41="Milestone",IO$8&gt;=$G41,IO$8&lt;=$G41+$H41-1),1,""))</f>
        <v/>
      </c>
      <c r="IP41" s="69" t="str">
        <f ca="1">IF(AND($C41="Goal",IP$8&gt;=$G41,IP$8&lt;=$G41+$H41-1),2,IF(AND($C41="Milestone",IP$8&gt;=$G41,IP$8&lt;=$G41+$H41-1),1,""))</f>
        <v/>
      </c>
      <c r="IQ41" s="69" t="str">
        <f ca="1">IF(AND($C41="Goal",IQ$8&gt;=$G41,IQ$8&lt;=$G41+$H41-1),2,IF(AND($C41="Milestone",IQ$8&gt;=$G41,IQ$8&lt;=$G41+$H41-1),1,""))</f>
        <v/>
      </c>
      <c r="IR41" s="69" t="str">
        <f ca="1">IF(AND($C41="Goal",IR$8&gt;=$G41,IR$8&lt;=$G41+$H41-1),2,IF(AND($C41="Milestone",IR$8&gt;=$G41,IR$8&lt;=$G41+$H41-1),1,""))</f>
        <v/>
      </c>
      <c r="IS41" s="69" t="str">
        <f ca="1">IF(AND($C41="Goal",IS$8&gt;=$G41,IS$8&lt;=$G41+$H41-1),2,IF(AND($C41="Milestone",IS$8&gt;=$G41,IS$8&lt;=$G41+$H41-1),1,""))</f>
        <v/>
      </c>
      <c r="IT41" s="69" t="str">
        <f ca="1">IF(AND($C41="Goal",IT$8&gt;=$G41,IT$8&lt;=$G41+$H41-1),2,IF(AND($C41="Milestone",IT$8&gt;=$G41,IT$8&lt;=$G41+$H41-1),1,""))</f>
        <v/>
      </c>
      <c r="IU41" s="69" t="str">
        <f ca="1">IF(AND($C41="Goal",IU$8&gt;=$G41,IU$8&lt;=$G41+$H41-1),2,IF(AND($C41="Milestone",IU$8&gt;=$G41,IU$8&lt;=$G41+$H41-1),1,""))</f>
        <v/>
      </c>
      <c r="IV41" s="69" t="str">
        <f ca="1">IF(AND($C41="Goal",IV$8&gt;=$G41,IV$8&lt;=$G41+$H41-1),2,IF(AND($C41="Milestone",IV$8&gt;=$G41,IV$8&lt;=$G41+$H41-1),1,""))</f>
        <v/>
      </c>
      <c r="IW41" s="69" t="str">
        <f ca="1">IF(AND($C41="Goal",IW$8&gt;=$G41,IW$8&lt;=$G41+$H41-1),2,IF(AND($C41="Milestone",IW$8&gt;=$G41,IW$8&lt;=$G41+$H41-1),1,""))</f>
        <v/>
      </c>
      <c r="IX41" s="69" t="str">
        <f ca="1">IF(AND($C41="Goal",IX$8&gt;=$G41,IX$8&lt;=$G41+$H41-1),2,IF(AND($C41="Milestone",IX$8&gt;=$G41,IX$8&lt;=$G41+$H41-1),1,""))</f>
        <v/>
      </c>
      <c r="IY41" s="69" t="str">
        <f ca="1">IF(AND($C41="Goal",IY$8&gt;=$G41,IY$8&lt;=$G41+$H41-1),2,IF(AND($C41="Milestone",IY$8&gt;=$G41,IY$8&lt;=$G41+$H41-1),1,""))</f>
        <v/>
      </c>
      <c r="IZ41" s="69" t="str">
        <f ca="1">IF(AND($C41="Goal",IZ$8&gt;=$G41,IZ$8&lt;=$G41+$H41-1),2,IF(AND($C41="Milestone",IZ$8&gt;=$G41,IZ$8&lt;=$G41+$H41-1),1,""))</f>
        <v/>
      </c>
      <c r="JA41" s="69" t="str">
        <f ca="1">IF(AND($C41="Goal",JA$8&gt;=$G41,JA$8&lt;=$G41+$H41-1),2,IF(AND($C41="Milestone",JA$8&gt;=$G41,JA$8&lt;=$G41+$H41-1),1,""))</f>
        <v/>
      </c>
      <c r="JB41" s="69" t="str">
        <f ca="1">IF(AND($C41="Goal",JB$8&gt;=$G41,JB$8&lt;=$G41+$H41-1),2,IF(AND($C41="Milestone",JB$8&gt;=$G41,JB$8&lt;=$G41+$H41-1),1,""))</f>
        <v/>
      </c>
      <c r="JC41" s="69" t="str">
        <f ca="1">IF(AND($C41="Goal",JC$8&gt;=$G41,JC$8&lt;=$G41+$H41-1),2,IF(AND($C41="Milestone",JC$8&gt;=$G41,JC$8&lt;=$G41+$H41-1),1,""))</f>
        <v/>
      </c>
      <c r="JD41" s="69" t="str">
        <f ca="1">IF(AND($C41="Goal",JD$8&gt;=$G41,JD$8&lt;=$G41+$H41-1),2,IF(AND($C41="Milestone",JD$8&gt;=$G41,JD$8&lt;=$G41+$H41-1),1,""))</f>
        <v/>
      </c>
      <c r="JE41" s="69" t="str">
        <f ca="1">IF(AND($C41="Goal",JE$8&gt;=$G41,JE$8&lt;=$G41+$H41-1),2,IF(AND($C41="Milestone",JE$8&gt;=$G41,JE$8&lt;=$G41+$H41-1),1,""))</f>
        <v/>
      </c>
      <c r="JF41" s="69" t="str">
        <f ca="1">IF(AND($C41="Goal",JF$8&gt;=$G41,JF$8&lt;=$G41+$H41-1),2,IF(AND($C41="Milestone",JF$8&gt;=$G41,JF$8&lt;=$G41+$H41-1),1,""))</f>
        <v/>
      </c>
      <c r="JG41" s="69" t="str">
        <f ca="1">IF(AND($C41="Goal",JG$8&gt;=$G41,JG$8&lt;=$G41+$H41-1),2,IF(AND($C41="Milestone",JG$8&gt;=$G41,JG$8&lt;=$G41+$H41-1),1,""))</f>
        <v/>
      </c>
      <c r="JH41" s="69" t="str">
        <f ca="1">IF(AND($C41="Goal",JH$8&gt;=$G41,JH$8&lt;=$G41+$H41-1),2,IF(AND($C41="Milestone",JH$8&gt;=$G41,JH$8&lt;=$G41+$H41-1),1,""))</f>
        <v/>
      </c>
      <c r="JI41" s="69" t="str">
        <f ca="1">IF(AND($C41="Goal",JI$8&gt;=$G41,JI$8&lt;=$G41+$H41-1),2,IF(AND($C41="Milestone",JI$8&gt;=$G41,JI$8&lt;=$G41+$H41-1),1,""))</f>
        <v/>
      </c>
      <c r="JJ41" s="69" t="str">
        <f ca="1">IF(AND($C41="Goal",JJ$8&gt;=$G41,JJ$8&lt;=$G41+$H41-1),2,IF(AND($C41="Milestone",JJ$8&gt;=$G41,JJ$8&lt;=$G41+$H41-1),1,""))</f>
        <v/>
      </c>
      <c r="JK41" s="69" t="str">
        <f ca="1">IF(AND($C41="Goal",JK$8&gt;=$G41,JK$8&lt;=$G41+$H41-1),2,IF(AND($C41="Milestone",JK$8&gt;=$G41,JK$8&lt;=$G41+$H41-1),1,""))</f>
        <v/>
      </c>
      <c r="JL41" s="69" t="str">
        <f ca="1">IF(AND($C41="Goal",JL$8&gt;=$G41,JL$8&lt;=$G41+$H41-1),2,IF(AND($C41="Milestone",JL$8&gt;=$G41,JL$8&lt;=$G41+$H41-1),1,""))</f>
        <v/>
      </c>
      <c r="JM41" s="69" t="str">
        <f ca="1">IF(AND($C41="Goal",JM$8&gt;=$G41,JM$8&lt;=$G41+$H41-1),2,IF(AND($C41="Milestone",JM$8&gt;=$G41,JM$8&lt;=$G41+$H41-1),1,""))</f>
        <v/>
      </c>
      <c r="JN41" s="69" t="str">
        <f ca="1">IF(AND($C41="Goal",JN$8&gt;=$G41,JN$8&lt;=$G41+$H41-1),2,IF(AND($C41="Milestone",JN$8&gt;=$G41,JN$8&lt;=$G41+$H41-1),1,""))</f>
        <v/>
      </c>
      <c r="JO41" s="69" t="str">
        <f ca="1">IF(AND($C41="Goal",JO$8&gt;=$G41,JO$8&lt;=$G41+$H41-1),2,IF(AND($C41="Milestone",JO$8&gt;=$G41,JO$8&lt;=$G41+$H41-1),1,""))</f>
        <v/>
      </c>
      <c r="JP41" s="69" t="str">
        <f ca="1">IF(AND($C41="Goal",JP$8&gt;=$G41,JP$8&lt;=$G41+$H41-1),2,IF(AND($C41="Milestone",JP$8&gt;=$G41,JP$8&lt;=$G41+$H41-1),1,""))</f>
        <v/>
      </c>
      <c r="JQ41" s="69" t="str">
        <f ca="1">IF(AND($C41="Goal",JQ$8&gt;=$G41,JQ$8&lt;=$G41+$H41-1),2,IF(AND($C41="Milestone",JQ$8&gt;=$G41,JQ$8&lt;=$G41+$H41-1),1,""))</f>
        <v/>
      </c>
      <c r="JR41" s="69" t="str">
        <f ca="1">IF(AND($C41="Goal",JR$8&gt;=$G41,JR$8&lt;=$G41+$H41-1),2,IF(AND($C41="Milestone",JR$8&gt;=$G41,JR$8&lt;=$G41+$H41-1),1,""))</f>
        <v/>
      </c>
      <c r="JS41" s="69" t="str">
        <f ca="1">IF(AND($C41="Goal",JS$8&gt;=$G41,JS$8&lt;=$G41+$H41-1),2,IF(AND($C41="Milestone",JS$8&gt;=$G41,JS$8&lt;=$G41+$H41-1),1,""))</f>
        <v/>
      </c>
      <c r="JT41" s="69" t="str">
        <f ca="1">IF(AND($C41="Goal",JT$8&gt;=$G41,JT$8&lt;=$G41+$H41-1),2,IF(AND($C41="Milestone",JT$8&gt;=$G41,JT$8&lt;=$G41+$H41-1),1,""))</f>
        <v/>
      </c>
      <c r="JU41" s="69" t="str">
        <f ca="1">IF(AND($C41="Goal",JU$8&gt;=$G41,JU$8&lt;=$G41+$H41-1),2,IF(AND($C41="Milestone",JU$8&gt;=$G41,JU$8&lt;=$G41+$H41-1),1,""))</f>
        <v/>
      </c>
      <c r="JV41" s="69" t="str">
        <f ca="1">IF(AND($C41="Goal",JV$8&gt;=$G41,JV$8&lt;=$G41+$H41-1),2,IF(AND($C41="Milestone",JV$8&gt;=$G41,JV$8&lt;=$G41+$H41-1),1,""))</f>
        <v/>
      </c>
      <c r="JW41" s="69" t="str">
        <f ca="1">IF(AND($C41="Goal",JW$8&gt;=$G41,JW$8&lt;=$G41+$H41-1),2,IF(AND($C41="Milestone",JW$8&gt;=$G41,JW$8&lt;=$G41+$H41-1),1,""))</f>
        <v/>
      </c>
      <c r="JX41" s="69" t="str">
        <f ca="1">IF(AND($C41="Goal",JX$8&gt;=$G41,JX$8&lt;=$G41+$H41-1),2,IF(AND($C41="Milestone",JX$8&gt;=$G41,JX$8&lt;=$G41+$H41-1),1,""))</f>
        <v/>
      </c>
      <c r="JY41" s="69" t="str">
        <f ca="1">IF(AND($C41="Goal",JY$8&gt;=$G41,JY$8&lt;=$G41+$H41-1),2,IF(AND($C41="Milestone",JY$8&gt;=$G41,JY$8&lt;=$G41+$H41-1),1,""))</f>
        <v/>
      </c>
      <c r="JZ41" s="69" t="str">
        <f ca="1">IF(AND($C41="Goal",JZ$8&gt;=$G41,JZ$8&lt;=$G41+$H41-1),2,IF(AND($C41="Milestone",JZ$8&gt;=$G41,JZ$8&lt;=$G41+$H41-1),1,""))</f>
        <v/>
      </c>
      <c r="KA41" s="69" t="str">
        <f ca="1">IF(AND($C41="Goal",KA$8&gt;=$G41,KA$8&lt;=$G41+$H41-1),2,IF(AND($C41="Milestone",KA$8&gt;=$G41,KA$8&lt;=$G41+$H41-1),1,""))</f>
        <v/>
      </c>
      <c r="KB41" s="69" t="str">
        <f ca="1">IF(AND($C41="Goal",KB$8&gt;=$G41,KB$8&lt;=$G41+$H41-1),2,IF(AND($C41="Milestone",KB$8&gt;=$G41,KB$8&lt;=$G41+$H41-1),1,""))</f>
        <v/>
      </c>
      <c r="KC41" s="69" t="str">
        <f ca="1">IF(AND($C41="Goal",KC$8&gt;=$G41,KC$8&lt;=$G41+$H41-1),2,IF(AND($C41="Milestone",KC$8&gt;=$G41,KC$8&lt;=$G41+$H41-1),1,""))</f>
        <v/>
      </c>
      <c r="KD41" s="69" t="str">
        <f ca="1">IF(AND($C41="Goal",KD$8&gt;=$G41,KD$8&lt;=$G41+$H41-1),2,IF(AND($C41="Milestone",KD$8&gt;=$G41,KD$8&lt;=$G41+$H41-1),1,""))</f>
        <v/>
      </c>
      <c r="KE41" s="69" t="str">
        <f ca="1">IF(AND($C41="Goal",KE$8&gt;=$G41,KE$8&lt;=$G41+$H41-1),2,IF(AND($C41="Milestone",KE$8&gt;=$G41,KE$8&lt;=$G41+$H41-1),1,""))</f>
        <v/>
      </c>
      <c r="KF41" s="69" t="str">
        <f ca="1">IF(AND($C41="Goal",KF$8&gt;=$G41,KF$8&lt;=$G41+$H41-1),2,IF(AND($C41="Milestone",KF$8&gt;=$G41,KF$8&lt;=$G41+$H41-1),1,""))</f>
        <v/>
      </c>
      <c r="KG41" s="69" t="str">
        <f ca="1">IF(AND($C41="Goal",KG$8&gt;=$G41,KG$8&lt;=$G41+$H41-1),2,IF(AND($C41="Milestone",KG$8&gt;=$G41,KG$8&lt;=$G41+$H41-1),1,""))</f>
        <v/>
      </c>
      <c r="KH41" s="69" t="str">
        <f ca="1">IF(AND($C41="Goal",KH$8&gt;=$G41,KH$8&lt;=$G41+$H41-1),2,IF(AND($C41="Milestone",KH$8&gt;=$G41,KH$8&lt;=$G41+$H41-1),1,""))</f>
        <v/>
      </c>
      <c r="KI41" s="69" t="str">
        <f ca="1">IF(AND($C41="Goal",KI$8&gt;=$G41,KI$8&lt;=$G41+$H41-1),2,IF(AND($C41="Milestone",KI$8&gt;=$G41,KI$8&lt;=$G41+$H41-1),1,""))</f>
        <v/>
      </c>
      <c r="KJ41" s="69" t="str">
        <f ca="1">IF(AND($C41="Goal",KJ$8&gt;=$G41,KJ$8&lt;=$G41+$H41-1),2,IF(AND($C41="Milestone",KJ$8&gt;=$G41,KJ$8&lt;=$G41+$H41-1),1,""))</f>
        <v/>
      </c>
      <c r="KK41" s="69" t="str">
        <f ca="1">IF(AND($C41="Goal",KK$8&gt;=$G41,KK$8&lt;=$G41+$H41-1),2,IF(AND($C41="Milestone",KK$8&gt;=$G41,KK$8&lt;=$G41+$H41-1),1,""))</f>
        <v/>
      </c>
      <c r="KL41" s="69" t="str">
        <f ca="1">IF(AND($C41="Goal",KL$8&gt;=$G41,KL$8&lt;=$G41+$H41-1),2,IF(AND($C41="Milestone",KL$8&gt;=$G41,KL$8&lt;=$G41+$H41-1),1,""))</f>
        <v/>
      </c>
      <c r="KM41" s="69" t="str">
        <f ca="1">IF(AND($C41="Goal",KM$8&gt;=$G41,KM$8&lt;=$G41+$H41-1),2,IF(AND($C41="Milestone",KM$8&gt;=$G41,KM$8&lt;=$G41+$H41-1),1,""))</f>
        <v/>
      </c>
      <c r="KN41" s="69" t="str">
        <f ca="1">IF(AND($C41="Goal",KN$8&gt;=$G41,KN$8&lt;=$G41+$H41-1),2,IF(AND($C41="Milestone",KN$8&gt;=$G41,KN$8&lt;=$G41+$H41-1),1,""))</f>
        <v/>
      </c>
      <c r="KO41" s="69" t="str">
        <f ca="1">IF(AND($C41="Goal",KO$8&gt;=$G41,KO$8&lt;=$G41+$H41-1),2,IF(AND($C41="Milestone",KO$8&gt;=$G41,KO$8&lt;=$G41+$H41-1),1,""))</f>
        <v/>
      </c>
      <c r="KP41" s="69" t="str">
        <f ca="1">IF(AND($C41="Goal",KP$8&gt;=$G41,KP$8&lt;=$G41+$H41-1),2,IF(AND($C41="Milestone",KP$8&gt;=$G41,KP$8&lt;=$G41+$H41-1),1,""))</f>
        <v/>
      </c>
      <c r="KQ41" s="69" t="str">
        <f ca="1">IF(AND($C41="Goal",KQ$8&gt;=$G41,KQ$8&lt;=$G41+$H41-1),2,IF(AND($C41="Milestone",KQ$8&gt;=$G41,KQ$8&lt;=$G41+$H41-1),1,""))</f>
        <v/>
      </c>
      <c r="KR41" s="69" t="str">
        <f ca="1">IF(AND($C41="Goal",KR$8&gt;=$G41,KR$8&lt;=$G41+$H41-1),2,IF(AND($C41="Milestone",KR$8&gt;=$G41,KR$8&lt;=$G41+$H41-1),1,""))</f>
        <v/>
      </c>
      <c r="KS41" s="69" t="str">
        <f ca="1">IF(AND($C41="Goal",KS$8&gt;=$G41,KS$8&lt;=$G41+$H41-1),2,IF(AND($C41="Milestone",KS$8&gt;=$G41,KS$8&lt;=$G41+$H41-1),1,""))</f>
        <v/>
      </c>
      <c r="KT41" s="69" t="str">
        <f ca="1">IF(AND($C41="Goal",KT$8&gt;=$G41,KT$8&lt;=$G41+$H41-1),2,IF(AND($C41="Milestone",KT$8&gt;=$G41,KT$8&lt;=$G41+$H41-1),1,""))</f>
        <v/>
      </c>
      <c r="KU41" s="69" t="str">
        <f ca="1">IF(AND($C41="Goal",KU$8&gt;=$G41,KU$8&lt;=$G41+$H41-1),2,IF(AND($C41="Milestone",KU$8&gt;=$G41,KU$8&lt;=$G41+$H41-1),1,""))</f>
        <v/>
      </c>
      <c r="KV41" s="69" t="str">
        <f ca="1">IF(AND($C41="Goal",KV$8&gt;=$G41,KV$8&lt;=$G41+$H41-1),2,IF(AND($C41="Milestone",KV$8&gt;=$G41,KV$8&lt;=$G41+$H41-1),1,""))</f>
        <v/>
      </c>
      <c r="KW41" s="69" t="str">
        <f ca="1">IF(AND($C41="Goal",KW$8&gt;=$G41,KW$8&lt;=$G41+$H41-1),2,IF(AND($C41="Milestone",KW$8&gt;=$G41,KW$8&lt;=$G41+$H41-1),1,""))</f>
        <v/>
      </c>
      <c r="KX41" s="69" t="str">
        <f ca="1">IF(AND($C41="Goal",KX$8&gt;=$G41,KX$8&lt;=$G41+$H41-1),2,IF(AND($C41="Milestone",KX$8&gt;=$G41,KX$8&lt;=$G41+$H41-1),1,""))</f>
        <v/>
      </c>
      <c r="KY41" s="69" t="str">
        <f ca="1">IF(AND($C41="Goal",KY$8&gt;=$G41,KY$8&lt;=$G41+$H41-1),2,IF(AND($C41="Milestone",KY$8&gt;=$G41,KY$8&lt;=$G41+$H41-1),1,""))</f>
        <v/>
      </c>
      <c r="KZ41" s="69" t="str">
        <f ca="1">IF(AND($C41="Goal",KZ$8&gt;=$G41,KZ$8&lt;=$G41+$H41-1),2,IF(AND($C41="Milestone",KZ$8&gt;=$G41,KZ$8&lt;=$G41+$H41-1),1,""))</f>
        <v/>
      </c>
      <c r="LA41" s="69" t="str">
        <f ca="1">IF(AND($C41="Goal",LA$8&gt;=$G41,LA$8&lt;=$G41+$H41-1),2,IF(AND($C41="Milestone",LA$8&gt;=$G41,LA$8&lt;=$G41+$H41-1),1,""))</f>
        <v/>
      </c>
      <c r="LB41" s="69" t="str">
        <f ca="1">IF(AND($C41="Goal",LB$8&gt;=$G41,LB$8&lt;=$G41+$H41-1),2,IF(AND($C41="Milestone",LB$8&gt;=$G41,LB$8&lt;=$G41+$H41-1),1,""))</f>
        <v/>
      </c>
      <c r="LC41" s="69" t="str">
        <f ca="1">IF(AND($C41="Goal",LC$8&gt;=$G41,LC$8&lt;=$G41+$H41-1),2,IF(AND($C41="Milestone",LC$8&gt;=$G41,LC$8&lt;=$G41+$H41-1),1,""))</f>
        <v/>
      </c>
      <c r="LD41" s="69" t="str">
        <f ca="1">IF(AND($C41="Goal",LD$8&gt;=$G41,LD$8&lt;=$G41+$H41-1),2,IF(AND($C41="Milestone",LD$8&gt;=$G41,LD$8&lt;=$G41+$H41-1),1,""))</f>
        <v/>
      </c>
      <c r="LE41" s="69" t="str">
        <f ca="1">IF(AND($C41="Goal",LE$8&gt;=$G41,LE$8&lt;=$G41+$H41-1),2,IF(AND($C41="Milestone",LE$8&gt;=$G41,LE$8&lt;=$G41+$H41-1),1,""))</f>
        <v/>
      </c>
      <c r="LF41" s="69" t="str">
        <f ca="1">IF(AND($C41="Goal",LF$8&gt;=$G41,LF$8&lt;=$G41+$H41-1),2,IF(AND($C41="Milestone",LF$8&gt;=$G41,LF$8&lt;=$G41+$H41-1),1,""))</f>
        <v/>
      </c>
      <c r="LG41" s="69" t="str">
        <f ca="1">IF(AND($C41="Goal",LG$8&gt;=$G41,LG$8&lt;=$G41+$H41-1),2,IF(AND($C41="Milestone",LG$8&gt;=$G41,LG$8&lt;=$G41+$H41-1),1,""))</f>
        <v/>
      </c>
      <c r="LH41" s="69" t="str">
        <f ca="1">IF(AND($C41="Goal",LH$8&gt;=$G41,LH$8&lt;=$G41+$H41-1),2,IF(AND($C41="Milestone",LH$8&gt;=$G41,LH$8&lt;=$G41+$H41-1),1,""))</f>
        <v/>
      </c>
      <c r="LI41" s="69" t="str">
        <f ca="1">IF(AND($C41="Goal",LI$8&gt;=$G41,LI$8&lt;=$G41+$H41-1),2,IF(AND($C41="Milestone",LI$8&gt;=$G41,LI$8&lt;=$G41+$H41-1),1,""))</f>
        <v/>
      </c>
      <c r="LJ41" s="69" t="str">
        <f ca="1">IF(AND($C41="Goal",LJ$8&gt;=$G41,LJ$8&lt;=$G41+$H41-1),2,IF(AND($C41="Milestone",LJ$8&gt;=$G41,LJ$8&lt;=$G41+$H41-1),1,""))</f>
        <v/>
      </c>
      <c r="LK41" s="69" t="str">
        <f ca="1">IF(AND($C41="Goal",LK$8&gt;=$G41,LK$8&lt;=$G41+$H41-1),2,IF(AND($C41="Milestone",LK$8&gt;=$G41,LK$8&lt;=$G41+$H41-1),1,""))</f>
        <v/>
      </c>
      <c r="LL41" s="69" t="str">
        <f ca="1">IF(AND($C41="Goal",LL$8&gt;=$G41,LL$8&lt;=$G41+$H41-1),2,IF(AND($C41="Milestone",LL$8&gt;=$G41,LL$8&lt;=$G41+$H41-1),1,""))</f>
        <v/>
      </c>
      <c r="LM41" s="69" t="str">
        <f ca="1">IF(AND($C41="Goal",LM$8&gt;=$G41,LM$8&lt;=$G41+$H41-1),2,IF(AND($C41="Milestone",LM$8&gt;=$G41,LM$8&lt;=$G41+$H41-1),1,""))</f>
        <v/>
      </c>
      <c r="LN41" s="69" t="str">
        <f ca="1">IF(AND($C41="Goal",LN$8&gt;=$G41,LN$8&lt;=$G41+$H41-1),2,IF(AND($C41="Milestone",LN$8&gt;=$G41,LN$8&lt;=$G41+$H41-1),1,""))</f>
        <v/>
      </c>
      <c r="LO41" s="69" t="str">
        <f ca="1">IF(AND($C41="Goal",LO$8&gt;=$G41,LO$8&lt;=$G41+$H41-1),2,IF(AND($C41="Milestone",LO$8&gt;=$G41,LO$8&lt;=$G41+$H41-1),1,""))</f>
        <v/>
      </c>
      <c r="LP41" s="69" t="str">
        <f ca="1">IF(AND($C41="Goal",LP$8&gt;=$G41,LP$8&lt;=$G41+$H41-1),2,IF(AND($C41="Milestone",LP$8&gt;=$G41,LP$8&lt;=$G41+$H41-1),1,""))</f>
        <v/>
      </c>
      <c r="LQ41" s="69" t="str">
        <f ca="1">IF(AND($C41="Goal",LQ$8&gt;=$G41,LQ$8&lt;=$G41+$H41-1),2,IF(AND($C41="Milestone",LQ$8&gt;=$G41,LQ$8&lt;=$G41+$H41-1),1,""))</f>
        <v/>
      </c>
      <c r="LR41" s="69" t="str">
        <f ca="1">IF(AND($C41="Goal",LR$8&gt;=$G41,LR$8&lt;=$G41+$H41-1),2,IF(AND($C41="Milestone",LR$8&gt;=$G41,LR$8&lt;=$G41+$H41-1),1,""))</f>
        <v/>
      </c>
      <c r="LS41" s="69" t="str">
        <f ca="1">IF(AND($C41="Goal",LS$8&gt;=$G41,LS$8&lt;=$G41+$H41-1),2,IF(AND($C41="Milestone",LS$8&gt;=$G41,LS$8&lt;=$G41+$H41-1),1,""))</f>
        <v/>
      </c>
      <c r="LT41" s="69" t="str">
        <f ca="1">IF(AND($C41="Goal",LT$8&gt;=$G41,LT$8&lt;=$G41+$H41-1),2,IF(AND($C41="Milestone",LT$8&gt;=$G41,LT$8&lt;=$G41+$H41-1),1,""))</f>
        <v/>
      </c>
      <c r="LU41" s="69" t="str">
        <f ca="1">IF(AND($C41="Goal",LU$8&gt;=$G41,LU$8&lt;=$G41+$H41-1),2,IF(AND($C41="Milestone",LU$8&gt;=$G41,LU$8&lt;=$G41+$H41-1),1,""))</f>
        <v/>
      </c>
      <c r="LV41" s="69" t="str">
        <f ca="1">IF(AND($C41="Goal",LV$8&gt;=$G41,LV$8&lt;=$G41+$H41-1),2,IF(AND($C41="Milestone",LV$8&gt;=$G41,LV$8&lt;=$G41+$H41-1),1,""))</f>
        <v/>
      </c>
      <c r="LW41" s="69" t="str">
        <f ca="1">IF(AND($C41="Goal",LW$8&gt;=$G41,LW$8&lt;=$G41+$H41-1),2,IF(AND($C41="Milestone",LW$8&gt;=$G41,LW$8&lt;=$G41+$H41-1),1,""))</f>
        <v/>
      </c>
      <c r="LX41" s="69" t="str">
        <f ca="1">IF(AND($C41="Goal",LX$8&gt;=$G41,LX$8&lt;=$G41+$H41-1),2,IF(AND($C41="Milestone",LX$8&gt;=$G41,LX$8&lt;=$G41+$H41-1),1,""))</f>
        <v/>
      </c>
    </row>
    <row r="42" spans="1:336" s="1" customFormat="1" ht="14.85" hidden="1" x14ac:dyDescent="0.25">
      <c r="A42" s="6"/>
      <c r="B42" s="47"/>
      <c r="C42" s="58"/>
      <c r="D42" s="58" t="str">
        <f ca="1">IF(G42="","",
IF(G42+Milestones4352[[#This Row],[Days]]="","",
IF(OR(F42=1,F42=100%),"Complete",
CHOOSE(
  1
  + --(((1-IF(F42&gt;1,F42/100,F42))*POWER(2.718281828,(60-MAX(0,G42+Milestones4352[[#This Row],[Days]]-TODAY()))/12))&gt;=0.6)
  + --(((1-IF(F42&gt;1,F42/100,F42))*POWER(2.718281828,(60-MAX(0,G42+Milestones4352[[#This Row],[Days]]-TODAY()))/12))&gt;=1.2)
  + --(((1-IF(F42&gt;1,F42/100,F42))*POWER(2.718281828,(60-MAX(0,G42+Milestones4352[[#This Row],[Days]]-TODAY()))/12))&gt;=2),
  "On track","Low risk","Medium risk","High risk"
))))</f>
        <v/>
      </c>
      <c r="E42" s="58"/>
      <c r="F42" s="56"/>
      <c r="G42" s="71"/>
      <c r="H42" s="57"/>
      <c r="I42" s="57" t="str">
        <f t="shared" si="207"/>
        <v/>
      </c>
      <c r="J42" s="12" t="str">
        <f ca="1">IF(OR(Milestones4352[[#This Row],[Start]]="",Milestones4352[[#This Row],[Days]]=""),"",(Milestones4352[[#This Row],[Start]]+Milestones4352[[#This Row],[Days]])-TODAY())</f>
        <v/>
      </c>
      <c r="K42" s="9"/>
      <c r="L42" s="69" t="str">
        <f ca="1">IF(AND($C42="Goal",L$8&gt;=$G42,L$8&lt;=$G42+$H42-1),2,IF(AND($C42="Milestone",L$8&gt;=$G42,L$8&lt;=$G42+$H42-1),1,""))</f>
        <v/>
      </c>
      <c r="M42" s="69" t="str">
        <f ca="1">IF(AND($C42="Goal",M$8&gt;=$G42,M$8&lt;=$G42+$H42-1),2,IF(AND($C42="Milestone",M$8&gt;=$G42,M$8&lt;=$G42+$H42-1),1,""))</f>
        <v/>
      </c>
      <c r="N42" s="69" t="str">
        <f ca="1">IF(AND($C42="Goal",N$8&gt;=$G42,N$8&lt;=$G42+$H42-1),2,IF(AND($C42="Milestone",N$8&gt;=$G42,N$8&lt;=$G42+$H42-1),1,""))</f>
        <v/>
      </c>
      <c r="O42" s="69" t="str">
        <f ca="1">IF(AND($C42="Goal",O$8&gt;=$G42,O$8&lt;=$G42+$H42-1),2,IF(AND($C42="Milestone",O$8&gt;=$G42,O$8&lt;=$G42+$H42-1),1,""))</f>
        <v/>
      </c>
      <c r="P42" s="69" t="str">
        <f ca="1">IF(AND($C42="Goal",P$8&gt;=$G42,P$8&lt;=$G42+$H42-1),2,IF(AND($C42="Milestone",P$8&gt;=$G42,P$8&lt;=$G42+$H42-1),1,""))</f>
        <v/>
      </c>
      <c r="Q42" s="69" t="str">
        <f ca="1">IF(AND($C42="Goal",Q$8&gt;=$G42,Q$8&lt;=$G42+$H42-1),2,IF(AND($C42="Milestone",Q$8&gt;=$G42,Q$8&lt;=$G42+$H42-1),1,""))</f>
        <v/>
      </c>
      <c r="R42" s="69" t="str">
        <f ca="1">IF(AND($C42="Goal",R$8&gt;=$G42,R$8&lt;=$G42+$H42-1),2,IF(AND($C42="Milestone",R$8&gt;=$G42,R$8&lt;=$G42+$H42-1),1,""))</f>
        <v/>
      </c>
      <c r="S42" s="69" t="str">
        <f ca="1">IF(AND($C42="Goal",S$8&gt;=$G42,S$8&lt;=$G42+$H42-1),2,IF(AND($C42="Milestone",S$8&gt;=$G42,S$8&lt;=$G42+$H42-1),1,""))</f>
        <v/>
      </c>
      <c r="T42" s="69" t="str">
        <f ca="1">IF(AND($C42="Goal",T$8&gt;=$G42,T$8&lt;=$G42+$H42-1),2,IF(AND($C42="Milestone",T$8&gt;=$G42,T$8&lt;=$G42+$H42-1),1,""))</f>
        <v/>
      </c>
      <c r="U42" s="69" t="str">
        <f ca="1">IF(AND($C42="Goal",U$8&gt;=$G42,U$8&lt;=$G42+$H42-1),2,IF(AND($C42="Milestone",U$8&gt;=$G42,U$8&lt;=$G42+$H42-1),1,""))</f>
        <v/>
      </c>
      <c r="V42" s="69" t="str">
        <f ca="1">IF(AND($C42="Goal",V$8&gt;=$G42,V$8&lt;=$G42+$H42-1),2,IF(AND($C42="Milestone",V$8&gt;=$G42,V$8&lt;=$G42+$H42-1),1,""))</f>
        <v/>
      </c>
      <c r="W42" s="69" t="str">
        <f ca="1">IF(AND($C42="Goal",W$8&gt;=$G42,W$8&lt;=$G42+$H42-1),2,IF(AND($C42="Milestone",W$8&gt;=$G42,W$8&lt;=$G42+$H42-1),1,""))</f>
        <v/>
      </c>
      <c r="X42" s="69" t="str">
        <f ca="1">IF(AND($C42="Goal",X$8&gt;=$G42,X$8&lt;=$G42+$H42-1),2,IF(AND($C42="Milestone",X$8&gt;=$G42,X$8&lt;=$G42+$H42-1),1,""))</f>
        <v/>
      </c>
      <c r="Y42" s="69" t="str">
        <f ca="1">IF(AND($C42="Goal",Y$8&gt;=$G42,Y$8&lt;=$G42+$H42-1),2,IF(AND($C42="Milestone",Y$8&gt;=$G42,Y$8&lt;=$G42+$H42-1),1,""))</f>
        <v/>
      </c>
      <c r="Z42" s="69" t="str">
        <f ca="1">IF(AND($C42="Goal",Z$8&gt;=$G42,Z$8&lt;=$G42+$H42-1),2,IF(AND($C42="Milestone",Z$8&gt;=$G42,Z$8&lt;=$G42+$H42-1),1,""))</f>
        <v/>
      </c>
      <c r="AA42" s="69" t="str">
        <f ca="1">IF(AND($C42="Goal",AA$8&gt;=$G42,AA$8&lt;=$G42+$H42-1),2,IF(AND($C42="Milestone",AA$8&gt;=$G42,AA$8&lt;=$G42+$H42-1),1,""))</f>
        <v/>
      </c>
      <c r="AB42" s="69" t="str">
        <f ca="1">IF(AND($C42="Goal",AB$8&gt;=$G42,AB$8&lt;=$G42+$H42-1),2,IF(AND($C42="Milestone",AB$8&gt;=$G42,AB$8&lt;=$G42+$H42-1),1,""))</f>
        <v/>
      </c>
      <c r="AC42" s="69" t="str">
        <f ca="1">IF(AND($C42="Goal",AC$8&gt;=$G42,AC$8&lt;=$G42+$H42-1),2,IF(AND($C42="Milestone",AC$8&gt;=$G42,AC$8&lt;=$G42+$H42-1),1,""))</f>
        <v/>
      </c>
      <c r="AD42" s="69" t="str">
        <f ca="1">IF(AND($C42="Goal",AD$8&gt;=$G42,AD$8&lt;=$G42+$H42-1),2,IF(AND($C42="Milestone",AD$8&gt;=$G42,AD$8&lt;=$G42+$H42-1),1,""))</f>
        <v/>
      </c>
      <c r="AE42" s="69" t="str">
        <f ca="1">IF(AND($C42="Goal",AE$8&gt;=$G42,AE$8&lt;=$G42+$H42-1),2,IF(AND($C42="Milestone",AE$8&gt;=$G42,AE$8&lt;=$G42+$H42-1),1,""))</f>
        <v/>
      </c>
      <c r="AF42" s="69" t="str">
        <f ca="1">IF(AND($C42="Goal",AF$8&gt;=$G42,AF$8&lt;=$G42+$H42-1),2,IF(AND($C42="Milestone",AF$8&gt;=$G42,AF$8&lt;=$G42+$H42-1),1,""))</f>
        <v/>
      </c>
      <c r="AG42" s="69" t="str">
        <f ca="1">IF(AND($C42="Goal",AG$8&gt;=$G42,AG$8&lt;=$G42+$H42-1),2,IF(AND($C42="Milestone",AG$8&gt;=$G42,AG$8&lt;=$G42+$H42-1),1,""))</f>
        <v/>
      </c>
      <c r="AH42" s="69" t="str">
        <f ca="1">IF(AND($C42="Goal",AH$8&gt;=$G42,AH$8&lt;=$G42+$H42-1),2,IF(AND($C42="Milestone",AH$8&gt;=$G42,AH$8&lt;=$G42+$H42-1),1,""))</f>
        <v/>
      </c>
      <c r="AI42" s="69" t="str">
        <f ca="1">IF(AND($C42="Goal",AI$8&gt;=$G42,AI$8&lt;=$G42+$H42-1),2,IF(AND($C42="Milestone",AI$8&gt;=$G42,AI$8&lt;=$G42+$H42-1),1,""))</f>
        <v/>
      </c>
      <c r="AJ42" s="69" t="str">
        <f ca="1">IF(AND($C42="Goal",AJ$8&gt;=$G42,AJ$8&lt;=$G42+$H42-1),2,IF(AND($C42="Milestone",AJ$8&gt;=$G42,AJ$8&lt;=$G42+$H42-1),1,""))</f>
        <v/>
      </c>
      <c r="AK42" s="69" t="str">
        <f ca="1">IF(AND($C42="Goal",AK$8&gt;=$G42,AK$8&lt;=$G42+$H42-1),2,IF(AND($C42="Milestone",AK$8&gt;=$G42,AK$8&lt;=$G42+$H42-1),1,""))</f>
        <v/>
      </c>
      <c r="AL42" s="69" t="str">
        <f ca="1">IF(AND($C42="Goal",AL$8&gt;=$G42,AL$8&lt;=$G42+$H42-1),2,IF(AND($C42="Milestone",AL$8&gt;=$G42,AL$8&lt;=$G42+$H42-1),1,""))</f>
        <v/>
      </c>
      <c r="AM42" s="69" t="str">
        <f ca="1">IF(AND($C42="Goal",AM$8&gt;=$G42,AM$8&lt;=$G42+$H42-1),2,IF(AND($C42="Milestone",AM$8&gt;=$G42,AM$8&lt;=$G42+$H42-1),1,""))</f>
        <v/>
      </c>
      <c r="AN42" s="69" t="str">
        <f ca="1">IF(AND($C42="Goal",AN$8&gt;=$G42,AN$8&lt;=$G42+$H42-1),2,IF(AND($C42="Milestone",AN$8&gt;=$G42,AN$8&lt;=$G42+$H42-1),1,""))</f>
        <v/>
      </c>
      <c r="AO42" s="69" t="str">
        <f ca="1">IF(AND($C42="Goal",AO$8&gt;=$G42,AO$8&lt;=$G42+$H42-1),2,IF(AND($C42="Milestone",AO$8&gt;=$G42,AO$8&lt;=$G42+$H42-1),1,""))</f>
        <v/>
      </c>
      <c r="AP42" s="69" t="str">
        <f ca="1">IF(AND($C42="Goal",AP$8&gt;=$G42,AP$8&lt;=$G42+$H42-1),2,IF(AND($C42="Milestone",AP$8&gt;=$G42,AP$8&lt;=$G42+$H42-1),1,""))</f>
        <v/>
      </c>
      <c r="AQ42" s="69" t="str">
        <f ca="1">IF(AND($C42="Goal",AQ$8&gt;=$G42,AQ$8&lt;=$G42+$H42-1),2,IF(AND($C42="Milestone",AQ$8&gt;=$G42,AQ$8&lt;=$G42+$H42-1),1,""))</f>
        <v/>
      </c>
      <c r="AR42" s="69" t="str">
        <f ca="1">IF(AND($C42="Goal",AR$8&gt;=$G42,AR$8&lt;=$G42+$H42-1),2,IF(AND($C42="Milestone",AR$8&gt;=$G42,AR$8&lt;=$G42+$H42-1),1,""))</f>
        <v/>
      </c>
      <c r="AS42" s="69" t="str">
        <f ca="1">IF(AND($C42="Goal",AS$8&gt;=$G42,AS$8&lt;=$G42+$H42-1),2,IF(AND($C42="Milestone",AS$8&gt;=$G42,AS$8&lt;=$G42+$H42-1),1,""))</f>
        <v/>
      </c>
      <c r="AT42" s="69" t="str">
        <f ca="1">IF(AND($C42="Goal",AT$8&gt;=$G42,AT$8&lt;=$G42+$H42-1),2,IF(AND($C42="Milestone",AT$8&gt;=$G42,AT$8&lt;=$G42+$H42-1),1,""))</f>
        <v/>
      </c>
      <c r="AU42" s="69" t="str">
        <f ca="1">IF(AND($C42="Goal",AU$8&gt;=$G42,AU$8&lt;=$G42+$H42-1),2,IF(AND($C42="Milestone",AU$8&gt;=$G42,AU$8&lt;=$G42+$H42-1),1,""))</f>
        <v/>
      </c>
      <c r="AV42" s="69" t="str">
        <f ca="1">IF(AND($C42="Goal",AV$8&gt;=$G42,AV$8&lt;=$G42+$H42-1),2,IF(AND($C42="Milestone",AV$8&gt;=$G42,AV$8&lt;=$G42+$H42-1),1,""))</f>
        <v/>
      </c>
      <c r="AW42" s="69" t="str">
        <f ca="1">IF(AND($C42="Goal",AW$8&gt;=$G42,AW$8&lt;=$G42+$H42-1),2,IF(AND($C42="Milestone",AW$8&gt;=$G42,AW$8&lt;=$G42+$H42-1),1,""))</f>
        <v/>
      </c>
      <c r="AX42" s="69" t="str">
        <f ca="1">IF(AND($C42="Goal",AX$8&gt;=$G42,AX$8&lt;=$G42+$H42-1),2,IF(AND($C42="Milestone",AX$8&gt;=$G42,AX$8&lt;=$G42+$H42-1),1,""))</f>
        <v/>
      </c>
      <c r="AY42" s="69" t="str">
        <f ca="1">IF(AND($C42="Goal",AY$8&gt;=$G42,AY$8&lt;=$G42+$H42-1),2,IF(AND($C42="Milestone",AY$8&gt;=$G42,AY$8&lt;=$G42+$H42-1),1,""))</f>
        <v/>
      </c>
      <c r="AZ42" s="69" t="str">
        <f ca="1">IF(AND($C42="Goal",AZ$8&gt;=$G42,AZ$8&lt;=$G42+$H42-1),2,IF(AND($C42="Milestone",AZ$8&gt;=$G42,AZ$8&lt;=$G42+$H42-1),1,""))</f>
        <v/>
      </c>
      <c r="BA42" s="69" t="str">
        <f ca="1">IF(AND($C42="Goal",BA$8&gt;=$G42,BA$8&lt;=$G42+$H42-1),2,IF(AND($C42="Milestone",BA$8&gt;=$G42,BA$8&lt;=$G42+$H42-1),1,""))</f>
        <v/>
      </c>
      <c r="BB42" s="69" t="str">
        <f ca="1">IF(AND($C42="Goal",BB$8&gt;=$G42,BB$8&lt;=$G42+$H42-1),2,IF(AND($C42="Milestone",BB$8&gt;=$G42,BB$8&lt;=$G42+$H42-1),1,""))</f>
        <v/>
      </c>
      <c r="BC42" s="69" t="str">
        <f ca="1">IF(AND($C42="Goal",BC$8&gt;=$G42,BC$8&lt;=$G42+$H42-1),2,IF(AND($C42="Milestone",BC$8&gt;=$G42,BC$8&lt;=$G42+$H42-1),1,""))</f>
        <v/>
      </c>
      <c r="BD42" s="69" t="str">
        <f ca="1">IF(AND($C42="Goal",BD$8&gt;=$G42,BD$8&lt;=$G42+$H42-1),2,IF(AND($C42="Milestone",BD$8&gt;=$G42,BD$8&lt;=$G42+$H42-1),1,""))</f>
        <v/>
      </c>
      <c r="BE42" s="69" t="str">
        <f ca="1">IF(AND($C42="Goal",BE$8&gt;=$G42,BE$8&lt;=$G42+$H42-1),2,IF(AND($C42="Milestone",BE$8&gt;=$G42,BE$8&lt;=$G42+$H42-1),1,""))</f>
        <v/>
      </c>
      <c r="BF42" s="69" t="str">
        <f ca="1">IF(AND($C42="Goal",BF$8&gt;=$G42,BF$8&lt;=$G42+$H42-1),2,IF(AND($C42="Milestone",BF$8&gt;=$G42,BF$8&lt;=$G42+$H42-1),1,""))</f>
        <v/>
      </c>
      <c r="BG42" s="69" t="str">
        <f ca="1">IF(AND($C42="Goal",BG$8&gt;=$G42,BG$8&lt;=$G42+$H42-1),2,IF(AND($C42="Milestone",BG$8&gt;=$G42,BG$8&lt;=$G42+$H42-1),1,""))</f>
        <v/>
      </c>
      <c r="BH42" s="69" t="str">
        <f ca="1">IF(AND($C42="Goal",BH$8&gt;=$G42,BH$8&lt;=$G42+$H42-1),2,IF(AND($C42="Milestone",BH$8&gt;=$G42,BH$8&lt;=$G42+$H42-1),1,""))</f>
        <v/>
      </c>
      <c r="BI42" s="69" t="str">
        <f ca="1">IF(AND($C42="Goal",BI$8&gt;=$G42,BI$8&lt;=$G42+$H42-1),2,IF(AND($C42="Milestone",BI$8&gt;=$G42,BI$8&lt;=$G42+$H42-1),1,""))</f>
        <v/>
      </c>
      <c r="BJ42" s="69" t="str">
        <f ca="1">IF(AND($C42="Goal",BJ$8&gt;=$G42,BJ$8&lt;=$G42+$H42-1),2,IF(AND($C42="Milestone",BJ$8&gt;=$G42,BJ$8&lt;=$G42+$H42-1),1,""))</f>
        <v/>
      </c>
      <c r="BK42" s="69" t="str">
        <f ca="1">IF(AND($C42="Goal",BK$8&gt;=$G42,BK$8&lt;=$G42+$H42-1),2,IF(AND($C42="Milestone",BK$8&gt;=$G42,BK$8&lt;=$G42+$H42-1),1,""))</f>
        <v/>
      </c>
      <c r="BL42" s="69" t="str">
        <f ca="1">IF(AND($C42="Goal",BL$8&gt;=$G42,BL$8&lt;=$G42+$H42-1),2,IF(AND($C42="Milestone",BL$8&gt;=$G42,BL$8&lt;=$G42+$H42-1),1,""))</f>
        <v/>
      </c>
      <c r="BM42" s="69" t="str">
        <f ca="1">IF(AND($C42="Goal",BM$8&gt;=$G42,BM$8&lt;=$G42+$H42-1),2,IF(AND($C42="Milestone",BM$8&gt;=$G42,BM$8&lt;=$G42+$H42-1),1,""))</f>
        <v/>
      </c>
      <c r="BN42" s="69" t="str">
        <f ca="1">IF(AND($C42="Goal",BN$8&gt;=$G42,BN$8&lt;=$G42+$H42-1),2,IF(AND($C42="Milestone",BN$8&gt;=$G42,BN$8&lt;=$G42+$H42-1),1,""))</f>
        <v/>
      </c>
      <c r="BO42" s="69" t="str">
        <f ca="1">IF(AND($C42="Goal",BO$8&gt;=$G42,BO$8&lt;=$G42+$H42-1),2,IF(AND($C42="Milestone",BO$8&gt;=$G42,BO$8&lt;=$G42+$H42-1),1,""))</f>
        <v/>
      </c>
      <c r="BP42" s="69" t="str">
        <f ca="1">IF(AND($C42="Goal",BP$8&gt;=$G42,BP$8&lt;=$G42+$H42-1),2,IF(AND($C42="Milestone",BP$8&gt;=$G42,BP$8&lt;=$G42+$H42-1),1,""))</f>
        <v/>
      </c>
      <c r="BQ42" s="69" t="str">
        <f ca="1">IF(AND($C42="Goal",BQ$8&gt;=$G42,BQ$8&lt;=$G42+$H42-1),2,IF(AND($C42="Milestone",BQ$8&gt;=$G42,BQ$8&lt;=$G42+$H42-1),1,""))</f>
        <v/>
      </c>
      <c r="BR42" s="69" t="str">
        <f ca="1">IF(AND($C42="Goal",BR$8&gt;=$G42,BR$8&lt;=$G42+$H42-1),2,IF(AND($C42="Milestone",BR$8&gt;=$G42,BR$8&lt;=$G42+$H42-1),1,""))</f>
        <v/>
      </c>
      <c r="BS42" s="69" t="str">
        <f ca="1">IF(AND($C42="Goal",BS$8&gt;=$G42,BS$8&lt;=$G42+$H42-1),2,IF(AND($C42="Milestone",BS$8&gt;=$G42,BS$8&lt;=$G42+$H42-1),1,""))</f>
        <v/>
      </c>
      <c r="BT42" s="69" t="str">
        <f ca="1">IF(AND($C42="Goal",BT$8&gt;=$G42,BT$8&lt;=$G42+$H42-1),2,IF(AND($C42="Milestone",BT$8&gt;=$G42,BT$8&lt;=$G42+$H42-1),1,""))</f>
        <v/>
      </c>
      <c r="BU42" s="69" t="str">
        <f ca="1">IF(AND($C42="Goal",BU$8&gt;=$G42,BU$8&lt;=$G42+$H42-1),2,IF(AND($C42="Milestone",BU$8&gt;=$G42,BU$8&lt;=$G42+$H42-1),1,""))</f>
        <v/>
      </c>
      <c r="BV42" s="69" t="str">
        <f ca="1">IF(AND($C42="Goal",BV$8&gt;=$G42,BV$8&lt;=$G42+$H42-1),2,IF(AND($C42="Milestone",BV$8&gt;=$G42,BV$8&lt;=$G42+$H42-1),1,""))</f>
        <v/>
      </c>
      <c r="BW42" s="69" t="str">
        <f ca="1">IF(AND($C42="Goal",BW$8&gt;=$G42,BW$8&lt;=$G42+$H42-1),2,IF(AND($C42="Milestone",BW$8&gt;=$G42,BW$8&lt;=$G42+$H42-1),1,""))</f>
        <v/>
      </c>
      <c r="BX42" s="69" t="str">
        <f ca="1">IF(AND($C42="Goal",BX$8&gt;=$G42,BX$8&lt;=$G42+$H42-1),2,IF(AND($C42="Milestone",BX$8&gt;=$G42,BX$8&lt;=$G42+$H42-1),1,""))</f>
        <v/>
      </c>
      <c r="BY42" s="69" t="str">
        <f ca="1">IF(AND($C42="Goal",BY$8&gt;=$G42,BY$8&lt;=$G42+$H42-1),2,IF(AND($C42="Milestone",BY$8&gt;=$G42,BY$8&lt;=$G42+$H42-1),1,""))</f>
        <v/>
      </c>
      <c r="BZ42" s="69" t="str">
        <f ca="1">IF(AND($C42="Goal",BZ$8&gt;=$G42,BZ$8&lt;=$G42+$H42-1),2,IF(AND($C42="Milestone",BZ$8&gt;=$G42,BZ$8&lt;=$G42+$H42-1),1,""))</f>
        <v/>
      </c>
      <c r="CA42" s="69" t="str">
        <f ca="1">IF(AND($C42="Goal",CA$8&gt;=$G42,CA$8&lt;=$G42+$H42-1),2,IF(AND($C42="Milestone",CA$8&gt;=$G42,CA$8&lt;=$G42+$H42-1),1,""))</f>
        <v/>
      </c>
      <c r="CB42" s="69" t="str">
        <f ca="1">IF(AND($C42="Goal",CB$8&gt;=$G42,CB$8&lt;=$G42+$H42-1),2,IF(AND($C42="Milestone",CB$8&gt;=$G42,CB$8&lt;=$G42+$H42-1),1,""))</f>
        <v/>
      </c>
      <c r="CC42" s="69" t="str">
        <f ca="1">IF(AND($C42="Goal",CC$8&gt;=$G42,CC$8&lt;=$G42+$H42-1),2,IF(AND($C42="Milestone",CC$8&gt;=$G42,CC$8&lt;=$G42+$H42-1),1,""))</f>
        <v/>
      </c>
      <c r="CD42" s="69" t="str">
        <f ca="1">IF(AND($C42="Goal",CD$8&gt;=$G42,CD$8&lt;=$G42+$H42-1),2,IF(AND($C42="Milestone",CD$8&gt;=$G42,CD$8&lt;=$G42+$H42-1),1,""))</f>
        <v/>
      </c>
      <c r="CE42" s="69" t="str">
        <f ca="1">IF(AND($C42="Goal",CE$8&gt;=$G42,CE$8&lt;=$G42+$H42-1),2,IF(AND($C42="Milestone",CE$8&gt;=$G42,CE$8&lt;=$G42+$H42-1),1,""))</f>
        <v/>
      </c>
      <c r="CF42" s="69" t="str">
        <f ca="1">IF(AND($C42="Goal",CF$8&gt;=$G42,CF$8&lt;=$G42+$H42-1),2,IF(AND($C42="Milestone",CF$8&gt;=$G42,CF$8&lt;=$G42+$H42-1),1,""))</f>
        <v/>
      </c>
      <c r="CG42" s="69" t="str">
        <f ca="1">IF(AND($C42="Goal",CG$8&gt;=$G42,CG$8&lt;=$G42+$H42-1),2,IF(AND($C42="Milestone",CG$8&gt;=$G42,CG$8&lt;=$G42+$H42-1),1,""))</f>
        <v/>
      </c>
      <c r="CH42" s="69" t="str">
        <f ca="1">IF(AND($C42="Goal",CH$8&gt;=$G42,CH$8&lt;=$G42+$H42-1),2,IF(AND($C42="Milestone",CH$8&gt;=$G42,CH$8&lt;=$G42+$H42-1),1,""))</f>
        <v/>
      </c>
      <c r="CI42" s="69" t="str">
        <f ca="1">IF(AND($C42="Goal",CI$8&gt;=$G42,CI$8&lt;=$G42+$H42-1),2,IF(AND($C42="Milestone",CI$8&gt;=$G42,CI$8&lt;=$G42+$H42-1),1,""))</f>
        <v/>
      </c>
      <c r="CJ42" s="69" t="str">
        <f ca="1">IF(AND($C42="Goal",CJ$8&gt;=$G42,CJ$8&lt;=$G42+$H42-1),2,IF(AND($C42="Milestone",CJ$8&gt;=$G42,CJ$8&lt;=$G42+$H42-1),1,""))</f>
        <v/>
      </c>
      <c r="CK42" s="69" t="str">
        <f ca="1">IF(AND($C42="Goal",CK$8&gt;=$G42,CK$8&lt;=$G42+$H42-1),2,IF(AND($C42="Milestone",CK$8&gt;=$G42,CK$8&lt;=$G42+$H42-1),1,""))</f>
        <v/>
      </c>
      <c r="CL42" s="69" t="str">
        <f ca="1">IF(AND($C42="Goal",CL$8&gt;=$G42,CL$8&lt;=$G42+$H42-1),2,IF(AND($C42="Milestone",CL$8&gt;=$G42,CL$8&lt;=$G42+$H42-1),1,""))</f>
        <v/>
      </c>
      <c r="CM42" s="69" t="str">
        <f ca="1">IF(AND($C42="Goal",CM$8&gt;=$G42,CM$8&lt;=$G42+$H42-1),2,IF(AND($C42="Milestone",CM$8&gt;=$G42,CM$8&lt;=$G42+$H42-1),1,""))</f>
        <v/>
      </c>
      <c r="CN42" s="69" t="str">
        <f ca="1">IF(AND($C42="Goal",CN$8&gt;=$G42,CN$8&lt;=$G42+$H42-1),2,IF(AND($C42="Milestone",CN$8&gt;=$G42,CN$8&lt;=$G42+$H42-1),1,""))</f>
        <v/>
      </c>
      <c r="CO42" s="69" t="str">
        <f ca="1">IF(AND($C42="Goal",CO$8&gt;=$G42,CO$8&lt;=$G42+$H42-1),2,IF(AND($C42="Milestone",CO$8&gt;=$G42,CO$8&lt;=$G42+$H42-1),1,""))</f>
        <v/>
      </c>
      <c r="CP42" s="69" t="str">
        <f ca="1">IF(AND($C42="Goal",CP$8&gt;=$G42,CP$8&lt;=$G42+$H42-1),2,IF(AND($C42="Milestone",CP$8&gt;=$G42,CP$8&lt;=$G42+$H42-1),1,""))</f>
        <v/>
      </c>
      <c r="CQ42" s="69" t="str">
        <f ca="1">IF(AND($C42="Goal",CQ$8&gt;=$G42,CQ$8&lt;=$G42+$H42-1),2,IF(AND($C42="Milestone",CQ$8&gt;=$G42,CQ$8&lt;=$G42+$H42-1),1,""))</f>
        <v/>
      </c>
      <c r="CR42" s="69" t="str">
        <f ca="1">IF(AND($C42="Goal",CR$8&gt;=$G42,CR$8&lt;=$G42+$H42-1),2,IF(AND($C42="Milestone",CR$8&gt;=$G42,CR$8&lt;=$G42+$H42-1),1,""))</f>
        <v/>
      </c>
      <c r="CS42" s="69" t="str">
        <f ca="1">IF(AND($C42="Goal",CS$8&gt;=$G42,CS$8&lt;=$G42+$H42-1),2,IF(AND($C42="Milestone",CS$8&gt;=$G42,CS$8&lt;=$G42+$H42-1),1,""))</f>
        <v/>
      </c>
      <c r="CT42" s="69" t="str">
        <f ca="1">IF(AND($C42="Goal",CT$8&gt;=$G42,CT$8&lt;=$G42+$H42-1),2,IF(AND($C42="Milestone",CT$8&gt;=$G42,CT$8&lt;=$G42+$H42-1),1,""))</f>
        <v/>
      </c>
      <c r="CU42" s="69" t="str">
        <f ca="1">IF(AND($C42="Goal",CU$8&gt;=$G42,CU$8&lt;=$G42+$H42-1),2,IF(AND($C42="Milestone",CU$8&gt;=$G42,CU$8&lt;=$G42+$H42-1),1,""))</f>
        <v/>
      </c>
      <c r="CV42" s="69" t="str">
        <f ca="1">IF(AND($C42="Goal",CV$8&gt;=$G42,CV$8&lt;=$G42+$H42-1),2,IF(AND($C42="Milestone",CV$8&gt;=$G42,CV$8&lt;=$G42+$H42-1),1,""))</f>
        <v/>
      </c>
      <c r="CW42" s="69" t="str">
        <f ca="1">IF(AND($C42="Goal",CW$8&gt;=$G42,CW$8&lt;=$G42+$H42-1),2,IF(AND($C42="Milestone",CW$8&gt;=$G42,CW$8&lt;=$G42+$H42-1),1,""))</f>
        <v/>
      </c>
      <c r="CX42" s="69" t="str">
        <f ca="1">IF(AND($C42="Goal",CX$8&gt;=$G42,CX$8&lt;=$G42+$H42-1),2,IF(AND($C42="Milestone",CX$8&gt;=$G42,CX$8&lt;=$G42+$H42-1),1,""))</f>
        <v/>
      </c>
      <c r="CY42" s="69" t="str">
        <f ca="1">IF(AND($C42="Goal",CY$8&gt;=$G42,CY$8&lt;=$G42+$H42-1),2,IF(AND($C42="Milestone",CY$8&gt;=$G42,CY$8&lt;=$G42+$H42-1),1,""))</f>
        <v/>
      </c>
      <c r="CZ42" s="69" t="str">
        <f ca="1">IF(AND($C42="Goal",CZ$8&gt;=$G42,CZ$8&lt;=$G42+$H42-1),2,IF(AND($C42="Milestone",CZ$8&gt;=$G42,CZ$8&lt;=$G42+$H42-1),1,""))</f>
        <v/>
      </c>
      <c r="DA42" s="69" t="str">
        <f ca="1">IF(AND($C42="Goal",DA$8&gt;=$G42,DA$8&lt;=$G42+$H42-1),2,IF(AND($C42="Milestone",DA$8&gt;=$G42,DA$8&lt;=$G42+$H42-1),1,""))</f>
        <v/>
      </c>
      <c r="DB42" s="69" t="str">
        <f ca="1">IF(AND($C42="Goal",DB$8&gt;=$G42,DB$8&lt;=$G42+$H42-1),2,IF(AND($C42="Milestone",DB$8&gt;=$G42,DB$8&lt;=$G42+$H42-1),1,""))</f>
        <v/>
      </c>
      <c r="DC42" s="69" t="str">
        <f ca="1">IF(AND($C42="Goal",DC$8&gt;=$G42,DC$8&lt;=$G42+$H42-1),2,IF(AND($C42="Milestone",DC$8&gt;=$G42,DC$8&lt;=$G42+$H42-1),1,""))</f>
        <v/>
      </c>
      <c r="DD42" s="69" t="str">
        <f ca="1">IF(AND($C42="Goal",DD$8&gt;=$G42,DD$8&lt;=$G42+$H42-1),2,IF(AND($C42="Milestone",DD$8&gt;=$G42,DD$8&lt;=$G42+$H42-1),1,""))</f>
        <v/>
      </c>
      <c r="DE42" s="69" t="str">
        <f ca="1">IF(AND($C42="Goal",DE$8&gt;=$G42,DE$8&lt;=$G42+$H42-1),2,IF(AND($C42="Milestone",DE$8&gt;=$G42,DE$8&lt;=$G42+$H42-1),1,""))</f>
        <v/>
      </c>
      <c r="DF42" s="69" t="str">
        <f ca="1">IF(AND($C42="Goal",DF$8&gt;=$G42,DF$8&lt;=$G42+$H42-1),2,IF(AND($C42="Milestone",DF$8&gt;=$G42,DF$8&lt;=$G42+$H42-1),1,""))</f>
        <v/>
      </c>
      <c r="DG42" s="69" t="str">
        <f ca="1">IF(AND($C42="Goal",DG$8&gt;=$G42,DG$8&lt;=$G42+$H42-1),2,IF(AND($C42="Milestone",DG$8&gt;=$G42,DG$8&lt;=$G42+$H42-1),1,""))</f>
        <v/>
      </c>
      <c r="DH42" s="69" t="str">
        <f ca="1">IF(AND($C42="Goal",DH$8&gt;=$G42,DH$8&lt;=$G42+$H42-1),2,IF(AND($C42="Milestone",DH$8&gt;=$G42,DH$8&lt;=$G42+$H42-1),1,""))</f>
        <v/>
      </c>
      <c r="DI42" s="69" t="str">
        <f ca="1">IF(AND($C42="Goal",DI$8&gt;=$G42,DI$8&lt;=$G42+$H42-1),2,IF(AND($C42="Milestone",DI$8&gt;=$G42,DI$8&lt;=$G42+$H42-1),1,""))</f>
        <v/>
      </c>
      <c r="DJ42" s="69" t="str">
        <f ca="1">IF(AND($C42="Goal",DJ$8&gt;=$G42,DJ$8&lt;=$G42+$H42-1),2,IF(AND($C42="Milestone",DJ$8&gt;=$G42,DJ$8&lt;=$G42+$H42-1),1,""))</f>
        <v/>
      </c>
      <c r="DK42" s="69" t="str">
        <f ca="1">IF(AND($C42="Goal",DK$8&gt;=$G42,DK$8&lt;=$G42+$H42-1),2,IF(AND($C42="Milestone",DK$8&gt;=$G42,DK$8&lt;=$G42+$H42-1),1,""))</f>
        <v/>
      </c>
      <c r="DL42" s="69" t="str">
        <f ca="1">IF(AND($C42="Goal",DL$8&gt;=$G42,DL$8&lt;=$G42+$H42-1),2,IF(AND($C42="Milestone",DL$8&gt;=$G42,DL$8&lt;=$G42+$H42-1),1,""))</f>
        <v/>
      </c>
      <c r="DM42" s="69" t="str">
        <f ca="1">IF(AND($C42="Goal",DM$8&gt;=$G42,DM$8&lt;=$G42+$H42-1),2,IF(AND($C42="Milestone",DM$8&gt;=$G42,DM$8&lt;=$G42+$H42-1),1,""))</f>
        <v/>
      </c>
      <c r="DN42" s="69" t="str">
        <f ca="1">IF(AND($C42="Goal",DN$8&gt;=$G42,DN$8&lt;=$G42+$H42-1),2,IF(AND($C42="Milestone",DN$8&gt;=$G42,DN$8&lt;=$G42+$H42-1),1,""))</f>
        <v/>
      </c>
      <c r="DO42" s="69" t="str">
        <f ca="1">IF(AND($C42="Goal",DO$8&gt;=$G42,DO$8&lt;=$G42+$H42-1),2,IF(AND($C42="Milestone",DO$8&gt;=$G42,DO$8&lt;=$G42+$H42-1),1,""))</f>
        <v/>
      </c>
      <c r="DP42" s="69" t="str">
        <f ca="1">IF(AND($C42="Goal",DP$8&gt;=$G42,DP$8&lt;=$G42+$H42-1),2,IF(AND($C42="Milestone",DP$8&gt;=$G42,DP$8&lt;=$G42+$H42-1),1,""))</f>
        <v/>
      </c>
      <c r="DQ42" s="69" t="str">
        <f ca="1">IF(AND($C42="Goal",DQ$8&gt;=$G42,DQ$8&lt;=$G42+$H42-1),2,IF(AND($C42="Milestone",DQ$8&gt;=$G42,DQ$8&lt;=$G42+$H42-1),1,""))</f>
        <v/>
      </c>
      <c r="DR42" s="69" t="str">
        <f ca="1">IF(AND($C42="Goal",DR$8&gt;=$G42,DR$8&lt;=$G42+$H42-1),2,IF(AND($C42="Milestone",DR$8&gt;=$G42,DR$8&lt;=$G42+$H42-1),1,""))</f>
        <v/>
      </c>
      <c r="DS42" s="69" t="str">
        <f ca="1">IF(AND($C42="Goal",DS$8&gt;=$G42,DS$8&lt;=$G42+$H42-1),2,IF(AND($C42="Milestone",DS$8&gt;=$G42,DS$8&lt;=$G42+$H42-1),1,""))</f>
        <v/>
      </c>
      <c r="DT42" s="69" t="str">
        <f ca="1">IF(AND($C42="Goal",DT$8&gt;=$G42,DT$8&lt;=$G42+$H42-1),2,IF(AND($C42="Milestone",DT$8&gt;=$G42,DT$8&lt;=$G42+$H42-1),1,""))</f>
        <v/>
      </c>
      <c r="DU42" s="69" t="str">
        <f ca="1">IF(AND($C42="Goal",DU$8&gt;=$G42,DU$8&lt;=$G42+$H42-1),2,IF(AND($C42="Milestone",DU$8&gt;=$G42,DU$8&lt;=$G42+$H42-1),1,""))</f>
        <v/>
      </c>
      <c r="DV42" s="69" t="str">
        <f ca="1">IF(AND($C42="Goal",DV$8&gt;=$G42,DV$8&lt;=$G42+$H42-1),2,IF(AND($C42="Milestone",DV$8&gt;=$G42,DV$8&lt;=$G42+$H42-1),1,""))</f>
        <v/>
      </c>
      <c r="DW42" s="69" t="str">
        <f ca="1">IF(AND($C42="Goal",DW$8&gt;=$G42,DW$8&lt;=$G42+$H42-1),2,IF(AND($C42="Milestone",DW$8&gt;=$G42,DW$8&lt;=$G42+$H42-1),1,""))</f>
        <v/>
      </c>
      <c r="DX42" s="69" t="str">
        <f ca="1">IF(AND($C42="Goal",DX$8&gt;=$G42,DX$8&lt;=$G42+$H42-1),2,IF(AND($C42="Milestone",DX$8&gt;=$G42,DX$8&lt;=$G42+$H42-1),1,""))</f>
        <v/>
      </c>
      <c r="DY42" s="69" t="str">
        <f ca="1">IF(AND($C42="Goal",DY$8&gt;=$G42,DY$8&lt;=$G42+$H42-1),2,IF(AND($C42="Milestone",DY$8&gt;=$G42,DY$8&lt;=$G42+$H42-1),1,""))</f>
        <v/>
      </c>
      <c r="DZ42" s="69" t="str">
        <f ca="1">IF(AND($C42="Goal",DZ$8&gt;=$G42,DZ$8&lt;=$G42+$H42-1),2,IF(AND($C42="Milestone",DZ$8&gt;=$G42,DZ$8&lt;=$G42+$H42-1),1,""))</f>
        <v/>
      </c>
      <c r="EA42" s="69" t="str">
        <f ca="1">IF(AND($C42="Goal",EA$8&gt;=$G42,EA$8&lt;=$G42+$H42-1),2,IF(AND($C42="Milestone",EA$8&gt;=$G42,EA$8&lt;=$G42+$H42-1),1,""))</f>
        <v/>
      </c>
      <c r="EB42" s="69" t="str">
        <f ca="1">IF(AND($C42="Goal",EB$8&gt;=$G42,EB$8&lt;=$G42+$H42-1),2,IF(AND($C42="Milestone",EB$8&gt;=$G42,EB$8&lt;=$G42+$H42-1),1,""))</f>
        <v/>
      </c>
      <c r="EC42" s="69" t="str">
        <f ca="1">IF(AND($C42="Goal",EC$8&gt;=$G42,EC$8&lt;=$G42+$H42-1),2,IF(AND($C42="Milestone",EC$8&gt;=$G42,EC$8&lt;=$G42+$H42-1),1,""))</f>
        <v/>
      </c>
      <c r="ED42" s="69" t="str">
        <f ca="1">IF(AND($C42="Goal",ED$8&gt;=$G42,ED$8&lt;=$G42+$H42-1),2,IF(AND($C42="Milestone",ED$8&gt;=$G42,ED$8&lt;=$G42+$H42-1),1,""))</f>
        <v/>
      </c>
      <c r="EE42" s="69" t="str">
        <f ca="1">IF(AND($C42="Goal",EE$8&gt;=$G42,EE$8&lt;=$G42+$H42-1),2,IF(AND($C42="Milestone",EE$8&gt;=$G42,EE$8&lt;=$G42+$H42-1),1,""))</f>
        <v/>
      </c>
      <c r="EF42" s="69" t="str">
        <f ca="1">IF(AND($C42="Goal",EF$8&gt;=$G42,EF$8&lt;=$G42+$H42-1),2,IF(AND($C42="Milestone",EF$8&gt;=$G42,EF$8&lt;=$G42+$H42-1),1,""))</f>
        <v/>
      </c>
      <c r="EG42" s="69" t="str">
        <f ca="1">IF(AND($C42="Goal",EG$8&gt;=$G42,EG$8&lt;=$G42+$H42-1),2,IF(AND($C42="Milestone",EG$8&gt;=$G42,EG$8&lt;=$G42+$H42-1),1,""))</f>
        <v/>
      </c>
      <c r="EH42" s="69" t="str">
        <f ca="1">IF(AND($C42="Goal",EH$8&gt;=$G42,EH$8&lt;=$G42+$H42-1),2,IF(AND($C42="Milestone",EH$8&gt;=$G42,EH$8&lt;=$G42+$H42-1),1,""))</f>
        <v/>
      </c>
      <c r="EI42" s="69" t="str">
        <f ca="1">IF(AND($C42="Goal",EI$8&gt;=$G42,EI$8&lt;=$G42+$H42-1),2,IF(AND($C42="Milestone",EI$8&gt;=$G42,EI$8&lt;=$G42+$H42-1),1,""))</f>
        <v/>
      </c>
      <c r="EJ42" s="69" t="str">
        <f ca="1">IF(AND($C42="Goal",EJ$8&gt;=$G42,EJ$8&lt;=$G42+$H42-1),2,IF(AND($C42="Milestone",EJ$8&gt;=$G42,EJ$8&lt;=$G42+$H42-1),1,""))</f>
        <v/>
      </c>
      <c r="EK42" s="69" t="str">
        <f ca="1">IF(AND($C42="Goal",EK$8&gt;=$G42,EK$8&lt;=$G42+$H42-1),2,IF(AND($C42="Milestone",EK$8&gt;=$G42,EK$8&lt;=$G42+$H42-1),1,""))</f>
        <v/>
      </c>
      <c r="EL42" s="69" t="str">
        <f ca="1">IF(AND($C42="Goal",EL$8&gt;=$G42,EL$8&lt;=$G42+$H42-1),2,IF(AND($C42="Milestone",EL$8&gt;=$G42,EL$8&lt;=$G42+$H42-1),1,""))</f>
        <v/>
      </c>
      <c r="EM42" s="69" t="str">
        <f ca="1">IF(AND($C42="Goal",EM$8&gt;=$G42,EM$8&lt;=$G42+$H42-1),2,IF(AND($C42="Milestone",EM$8&gt;=$G42,EM$8&lt;=$G42+$H42-1),1,""))</f>
        <v/>
      </c>
      <c r="EN42" s="69" t="str">
        <f ca="1">IF(AND($C42="Goal",EN$8&gt;=$G42,EN$8&lt;=$G42+$H42-1),2,IF(AND($C42="Milestone",EN$8&gt;=$G42,EN$8&lt;=$G42+$H42-1),1,""))</f>
        <v/>
      </c>
      <c r="EO42" s="69" t="str">
        <f ca="1">IF(AND($C42="Goal",EO$8&gt;=$G42,EO$8&lt;=$G42+$H42-1),2,IF(AND($C42="Milestone",EO$8&gt;=$G42,EO$8&lt;=$G42+$H42-1),1,""))</f>
        <v/>
      </c>
      <c r="EP42" s="69" t="str">
        <f ca="1">IF(AND($C42="Goal",EP$8&gt;=$G42,EP$8&lt;=$G42+$H42-1),2,IF(AND($C42="Milestone",EP$8&gt;=$G42,EP$8&lt;=$G42+$H42-1),1,""))</f>
        <v/>
      </c>
      <c r="EQ42" s="69" t="str">
        <f ca="1">IF(AND($C42="Goal",EQ$8&gt;=$G42,EQ$8&lt;=$G42+$H42-1),2,IF(AND($C42="Milestone",EQ$8&gt;=$G42,EQ$8&lt;=$G42+$H42-1),1,""))</f>
        <v/>
      </c>
      <c r="ER42" s="69" t="str">
        <f ca="1">IF(AND($C42="Goal",ER$8&gt;=$G42,ER$8&lt;=$G42+$H42-1),2,IF(AND($C42="Milestone",ER$8&gt;=$G42,ER$8&lt;=$G42+$H42-1),1,""))</f>
        <v/>
      </c>
      <c r="ES42" s="69" t="str">
        <f ca="1">IF(AND($C42="Goal",ES$8&gt;=$G42,ES$8&lt;=$G42+$H42-1),2,IF(AND($C42="Milestone",ES$8&gt;=$G42,ES$8&lt;=$G42+$H42-1),1,""))</f>
        <v/>
      </c>
      <c r="ET42" s="69" t="str">
        <f ca="1">IF(AND($C42="Goal",ET$8&gt;=$G42,ET$8&lt;=$G42+$H42-1),2,IF(AND($C42="Milestone",ET$8&gt;=$G42,ET$8&lt;=$G42+$H42-1),1,""))</f>
        <v/>
      </c>
      <c r="EU42" s="69" t="str">
        <f ca="1">IF(AND($C42="Goal",EU$8&gt;=$G42,EU$8&lt;=$G42+$H42-1),2,IF(AND($C42="Milestone",EU$8&gt;=$G42,EU$8&lt;=$G42+$H42-1),1,""))</f>
        <v/>
      </c>
      <c r="EV42" s="69" t="str">
        <f ca="1">IF(AND($C42="Goal",EV$8&gt;=$G42,EV$8&lt;=$G42+$H42-1),2,IF(AND($C42="Milestone",EV$8&gt;=$G42,EV$8&lt;=$G42+$H42-1),1,""))</f>
        <v/>
      </c>
      <c r="EW42" s="69" t="str">
        <f ca="1">IF(AND($C42="Goal",EW$8&gt;=$G42,EW$8&lt;=$G42+$H42-1),2,IF(AND($C42="Milestone",EW$8&gt;=$G42,EW$8&lt;=$G42+$H42-1),1,""))</f>
        <v/>
      </c>
      <c r="EX42" s="69" t="str">
        <f ca="1">IF(AND($C42="Goal",EX$8&gt;=$G42,EX$8&lt;=$G42+$H42-1),2,IF(AND($C42="Milestone",EX$8&gt;=$G42,EX$8&lt;=$G42+$H42-1),1,""))</f>
        <v/>
      </c>
      <c r="EY42" s="69" t="str">
        <f ca="1">IF(AND($C42="Goal",EY$8&gt;=$G42,EY$8&lt;=$G42+$H42-1),2,IF(AND($C42="Milestone",EY$8&gt;=$G42,EY$8&lt;=$G42+$H42-1),1,""))</f>
        <v/>
      </c>
      <c r="EZ42" s="69" t="str">
        <f ca="1">IF(AND($C42="Goal",EZ$8&gt;=$G42,EZ$8&lt;=$G42+$H42-1),2,IF(AND($C42="Milestone",EZ$8&gt;=$G42,EZ$8&lt;=$G42+$H42-1),1,""))</f>
        <v/>
      </c>
      <c r="FA42" s="69" t="str">
        <f ca="1">IF(AND($C42="Goal",FA$8&gt;=$G42,FA$8&lt;=$G42+$H42-1),2,IF(AND($C42="Milestone",FA$8&gt;=$G42,FA$8&lt;=$G42+$H42-1),1,""))</f>
        <v/>
      </c>
      <c r="FB42" s="69" t="str">
        <f ca="1">IF(AND($C42="Goal",FB$8&gt;=$G42,FB$8&lt;=$G42+$H42-1),2,IF(AND($C42="Milestone",FB$8&gt;=$G42,FB$8&lt;=$G42+$H42-1),1,""))</f>
        <v/>
      </c>
      <c r="FC42" s="69" t="str">
        <f ca="1">IF(AND($C42="Goal",FC$8&gt;=$G42,FC$8&lt;=$G42+$H42-1),2,IF(AND($C42="Milestone",FC$8&gt;=$G42,FC$8&lt;=$G42+$H42-1),1,""))</f>
        <v/>
      </c>
      <c r="FD42" s="69" t="str">
        <f ca="1">IF(AND($C42="Goal",FD$8&gt;=$G42,FD$8&lt;=$G42+$H42-1),2,IF(AND($C42="Milestone",FD$8&gt;=$G42,FD$8&lt;=$G42+$H42-1),1,""))</f>
        <v/>
      </c>
      <c r="FE42" s="69" t="str">
        <f ca="1">IF(AND($C42="Goal",FE$8&gt;=$G42,FE$8&lt;=$G42+$H42-1),2,IF(AND($C42="Milestone",FE$8&gt;=$G42,FE$8&lt;=$G42+$H42-1),1,""))</f>
        <v/>
      </c>
      <c r="FF42" s="69" t="str">
        <f ca="1">IF(AND($C42="Goal",FF$8&gt;=$G42,FF$8&lt;=$G42+$H42-1),2,IF(AND($C42="Milestone",FF$8&gt;=$G42,FF$8&lt;=$G42+$H42-1),1,""))</f>
        <v/>
      </c>
      <c r="FG42" s="69" t="str">
        <f ca="1">IF(AND($C42="Goal",FG$8&gt;=$G42,FG$8&lt;=$G42+$H42-1),2,IF(AND($C42="Milestone",FG$8&gt;=$G42,FG$8&lt;=$G42+$H42-1),1,""))</f>
        <v/>
      </c>
      <c r="FH42" s="69" t="str">
        <f ca="1">IF(AND($C42="Goal",FH$8&gt;=$G42,FH$8&lt;=$G42+$H42-1),2,IF(AND($C42="Milestone",FH$8&gt;=$G42,FH$8&lt;=$G42+$H42-1),1,""))</f>
        <v/>
      </c>
      <c r="FI42" s="69" t="str">
        <f ca="1">IF(AND($C42="Goal",FI$8&gt;=$G42,FI$8&lt;=$G42+$H42-1),2,IF(AND($C42="Milestone",FI$8&gt;=$G42,FI$8&lt;=$G42+$H42-1),1,""))</f>
        <v/>
      </c>
      <c r="FJ42" s="69" t="str">
        <f ca="1">IF(AND($C42="Goal",FJ$8&gt;=$G42,FJ$8&lt;=$G42+$H42-1),2,IF(AND($C42="Milestone",FJ$8&gt;=$G42,FJ$8&lt;=$G42+$H42-1),1,""))</f>
        <v/>
      </c>
      <c r="FK42" s="69" t="str">
        <f ca="1">IF(AND($C42="Goal",FK$8&gt;=$G42,FK$8&lt;=$G42+$H42-1),2,IF(AND($C42="Milestone",FK$8&gt;=$G42,FK$8&lt;=$G42+$H42-1),1,""))</f>
        <v/>
      </c>
      <c r="FL42" s="69" t="str">
        <f ca="1">IF(AND($C42="Goal",FL$8&gt;=$G42,FL$8&lt;=$G42+$H42-1),2,IF(AND($C42="Milestone",FL$8&gt;=$G42,FL$8&lt;=$G42+$H42-1),1,""))</f>
        <v/>
      </c>
      <c r="FM42" s="69" t="str">
        <f ca="1">IF(AND($C42="Goal",FM$8&gt;=$G42,FM$8&lt;=$G42+$H42-1),2,IF(AND($C42="Milestone",FM$8&gt;=$G42,FM$8&lt;=$G42+$H42-1),1,""))</f>
        <v/>
      </c>
      <c r="FN42" s="69" t="str">
        <f ca="1">IF(AND($C42="Goal",FN$8&gt;=$G42,FN$8&lt;=$G42+$H42-1),2,IF(AND($C42="Milestone",FN$8&gt;=$G42,FN$8&lt;=$G42+$H42-1),1,""))</f>
        <v/>
      </c>
      <c r="FO42" s="69" t="str">
        <f ca="1">IF(AND($C42="Goal",FO$8&gt;=$G42,FO$8&lt;=$G42+$H42-1),2,IF(AND($C42="Milestone",FO$8&gt;=$G42,FO$8&lt;=$G42+$H42-1),1,""))</f>
        <v/>
      </c>
      <c r="FP42" s="69" t="str">
        <f ca="1">IF(AND($C42="Goal",FP$8&gt;=$G42,FP$8&lt;=$G42+$H42-1),2,IF(AND($C42="Milestone",FP$8&gt;=$G42,FP$8&lt;=$G42+$H42-1),1,""))</f>
        <v/>
      </c>
      <c r="FQ42" s="69" t="str">
        <f ca="1">IF(AND($C42="Goal",FQ$8&gt;=$G42,FQ$8&lt;=$G42+$H42-1),2,IF(AND($C42="Milestone",FQ$8&gt;=$G42,FQ$8&lt;=$G42+$H42-1),1,""))</f>
        <v/>
      </c>
      <c r="FR42" s="69" t="str">
        <f ca="1">IF(AND($C42="Goal",FR$8&gt;=$G42,FR$8&lt;=$G42+$H42-1),2,IF(AND($C42="Milestone",FR$8&gt;=$G42,FR$8&lt;=$G42+$H42-1),1,""))</f>
        <v/>
      </c>
      <c r="FS42" s="69" t="str">
        <f ca="1">IF(AND($C42="Goal",FS$8&gt;=$G42,FS$8&lt;=$G42+$H42-1),2,IF(AND($C42="Milestone",FS$8&gt;=$G42,FS$8&lt;=$G42+$H42-1),1,""))</f>
        <v/>
      </c>
      <c r="FT42" s="69" t="str">
        <f ca="1">IF(AND($C42="Goal",FT$8&gt;=$G42,FT$8&lt;=$G42+$H42-1),2,IF(AND($C42="Milestone",FT$8&gt;=$G42,FT$8&lt;=$G42+$H42-1),1,""))</f>
        <v/>
      </c>
      <c r="FU42" s="69" t="str">
        <f ca="1">IF(AND($C42="Goal",FU$8&gt;=$G42,FU$8&lt;=$G42+$H42-1),2,IF(AND($C42="Milestone",FU$8&gt;=$G42,FU$8&lt;=$G42+$H42-1),1,""))</f>
        <v/>
      </c>
      <c r="FV42" s="69" t="str">
        <f ca="1">IF(AND($C42="Goal",FV$8&gt;=$G42,FV$8&lt;=$G42+$H42-1),2,IF(AND($C42="Milestone",FV$8&gt;=$G42,FV$8&lt;=$G42+$H42-1),1,""))</f>
        <v/>
      </c>
      <c r="FW42" s="69" t="str">
        <f ca="1">IF(AND($C42="Goal",FW$8&gt;=$G42,FW$8&lt;=$G42+$H42-1),2,IF(AND($C42="Milestone",FW$8&gt;=$G42,FW$8&lt;=$G42+$H42-1),1,""))</f>
        <v/>
      </c>
      <c r="FX42" s="69" t="str">
        <f ca="1">IF(AND($C42="Goal",FX$8&gt;=$G42,FX$8&lt;=$G42+$H42-1),2,IF(AND($C42="Milestone",FX$8&gt;=$G42,FX$8&lt;=$G42+$H42-1),1,""))</f>
        <v/>
      </c>
      <c r="FY42" s="69" t="str">
        <f ca="1">IF(AND($C42="Goal",FY$8&gt;=$G42,FY$8&lt;=$G42+$H42-1),2,IF(AND($C42="Milestone",FY$8&gt;=$G42,FY$8&lt;=$G42+$H42-1),1,""))</f>
        <v/>
      </c>
      <c r="FZ42" s="69" t="str">
        <f ca="1">IF(AND($C42="Goal",FZ$8&gt;=$G42,FZ$8&lt;=$G42+$H42-1),2,IF(AND($C42="Milestone",FZ$8&gt;=$G42,FZ$8&lt;=$G42+$H42-1),1,""))</f>
        <v/>
      </c>
      <c r="GA42" s="69" t="str">
        <f ca="1">IF(AND($C42="Goal",GA$8&gt;=$G42,GA$8&lt;=$G42+$H42-1),2,IF(AND($C42="Milestone",GA$8&gt;=$G42,GA$8&lt;=$G42+$H42-1),1,""))</f>
        <v/>
      </c>
      <c r="GB42" s="69" t="str">
        <f ca="1">IF(AND($C42="Goal",GB$8&gt;=$G42,GB$8&lt;=$G42+$H42-1),2,IF(AND($C42="Milestone",GB$8&gt;=$G42,GB$8&lt;=$G42+$H42-1),1,""))</f>
        <v/>
      </c>
      <c r="GC42" s="69" t="str">
        <f ca="1">IF(AND($C42="Goal",GC$8&gt;=$G42,GC$8&lt;=$G42+$H42-1),2,IF(AND($C42="Milestone",GC$8&gt;=$G42,GC$8&lt;=$G42+$H42-1),1,""))</f>
        <v/>
      </c>
      <c r="GD42" s="69" t="str">
        <f ca="1">IF(AND($C42="Goal",GD$8&gt;=$G42,GD$8&lt;=$G42+$H42-1),2,IF(AND($C42="Milestone",GD$8&gt;=$G42,GD$8&lt;=$G42+$H42-1),1,""))</f>
        <v/>
      </c>
      <c r="GE42" s="69" t="str">
        <f ca="1">IF(AND($C42="Goal",GE$8&gt;=$G42,GE$8&lt;=$G42+$H42-1),2,IF(AND($C42="Milestone",GE$8&gt;=$G42,GE$8&lt;=$G42+$H42-1),1,""))</f>
        <v/>
      </c>
      <c r="GF42" s="69" t="str">
        <f ca="1">IF(AND($C42="Goal",GF$8&gt;=$G42,GF$8&lt;=$G42+$H42-1),2,IF(AND($C42="Milestone",GF$8&gt;=$G42,GF$8&lt;=$G42+$H42-1),1,""))</f>
        <v/>
      </c>
      <c r="GG42" s="69" t="str">
        <f ca="1">IF(AND($C42="Goal",GG$8&gt;=$G42,GG$8&lt;=$G42+$H42-1),2,IF(AND($C42="Milestone",GG$8&gt;=$G42,GG$8&lt;=$G42+$H42-1),1,""))</f>
        <v/>
      </c>
      <c r="GH42" s="69" t="str">
        <f ca="1">IF(AND($C42="Goal",GH$8&gt;=$G42,GH$8&lt;=$G42+$H42-1),2,IF(AND($C42="Milestone",GH$8&gt;=$G42,GH$8&lt;=$G42+$H42-1),1,""))</f>
        <v/>
      </c>
      <c r="GI42" s="69" t="str">
        <f ca="1">IF(AND($C42="Goal",GI$8&gt;=$G42,GI$8&lt;=$G42+$H42-1),2,IF(AND($C42="Milestone",GI$8&gt;=$G42,GI$8&lt;=$G42+$H42-1),1,""))</f>
        <v/>
      </c>
      <c r="GJ42" s="69" t="str">
        <f ca="1">IF(AND($C42="Goal",GJ$8&gt;=$G42,GJ$8&lt;=$G42+$H42-1),2,IF(AND($C42="Milestone",GJ$8&gt;=$G42,GJ$8&lt;=$G42+$H42-1),1,""))</f>
        <v/>
      </c>
      <c r="GK42" s="69" t="str">
        <f ca="1">IF(AND($C42="Goal",GK$8&gt;=$G42,GK$8&lt;=$G42+$H42-1),2,IF(AND($C42="Milestone",GK$8&gt;=$G42,GK$8&lt;=$G42+$H42-1),1,""))</f>
        <v/>
      </c>
      <c r="GL42" s="69" t="str">
        <f ca="1">IF(AND($C42="Goal",GL$8&gt;=$G42,GL$8&lt;=$G42+$H42-1),2,IF(AND($C42="Milestone",GL$8&gt;=$G42,GL$8&lt;=$G42+$H42-1),1,""))</f>
        <v/>
      </c>
      <c r="GM42" s="69" t="str">
        <f ca="1">IF(AND($C42="Goal",GM$8&gt;=$G42,GM$8&lt;=$G42+$H42-1),2,IF(AND($C42="Milestone",GM$8&gt;=$G42,GM$8&lt;=$G42+$H42-1),1,""))</f>
        <v/>
      </c>
      <c r="GN42" s="69" t="str">
        <f ca="1">IF(AND($C42="Goal",GN$8&gt;=$G42,GN$8&lt;=$G42+$H42-1),2,IF(AND($C42="Milestone",GN$8&gt;=$G42,GN$8&lt;=$G42+$H42-1),1,""))</f>
        <v/>
      </c>
      <c r="GO42" s="69" t="str">
        <f ca="1">IF(AND($C42="Goal",GO$8&gt;=$G42,GO$8&lt;=$G42+$H42-1),2,IF(AND($C42="Milestone",GO$8&gt;=$G42,GO$8&lt;=$G42+$H42-1),1,""))</f>
        <v/>
      </c>
      <c r="GP42" s="69" t="str">
        <f ca="1">IF(AND($C42="Goal",GP$8&gt;=$G42,GP$8&lt;=$G42+$H42-1),2,IF(AND($C42="Milestone",GP$8&gt;=$G42,GP$8&lt;=$G42+$H42-1),1,""))</f>
        <v/>
      </c>
      <c r="GQ42" s="69" t="str">
        <f ca="1">IF(AND($C42="Goal",GQ$8&gt;=$G42,GQ$8&lt;=$G42+$H42-1),2,IF(AND($C42="Milestone",GQ$8&gt;=$G42,GQ$8&lt;=$G42+$H42-1),1,""))</f>
        <v/>
      </c>
      <c r="GR42" s="69" t="str">
        <f ca="1">IF(AND($C42="Goal",GR$8&gt;=$G42,GR$8&lt;=$G42+$H42-1),2,IF(AND($C42="Milestone",GR$8&gt;=$G42,GR$8&lt;=$G42+$H42-1),1,""))</f>
        <v/>
      </c>
      <c r="GS42" s="69" t="str">
        <f ca="1">IF(AND($C42="Goal",GS$8&gt;=$G42,GS$8&lt;=$G42+$H42-1),2,IF(AND($C42="Milestone",GS$8&gt;=$G42,GS$8&lt;=$G42+$H42-1),1,""))</f>
        <v/>
      </c>
      <c r="GT42" s="69" t="str">
        <f ca="1">IF(AND($C42="Goal",GT$8&gt;=$G42,GT$8&lt;=$G42+$H42-1),2,IF(AND($C42="Milestone",GT$8&gt;=$G42,GT$8&lt;=$G42+$H42-1),1,""))</f>
        <v/>
      </c>
      <c r="GU42" s="69" t="str">
        <f ca="1">IF(AND($C42="Goal",GU$8&gt;=$G42,GU$8&lt;=$G42+$H42-1),2,IF(AND($C42="Milestone",GU$8&gt;=$G42,GU$8&lt;=$G42+$H42-1),1,""))</f>
        <v/>
      </c>
      <c r="GV42" s="69" t="str">
        <f ca="1">IF(AND($C42="Goal",GV$8&gt;=$G42,GV$8&lt;=$G42+$H42-1),2,IF(AND($C42="Milestone",GV$8&gt;=$G42,GV$8&lt;=$G42+$H42-1),1,""))</f>
        <v/>
      </c>
      <c r="GW42" s="69" t="str">
        <f ca="1">IF(AND($C42="Goal",GW$8&gt;=$G42,GW$8&lt;=$G42+$H42-1),2,IF(AND($C42="Milestone",GW$8&gt;=$G42,GW$8&lt;=$G42+$H42-1),1,""))</f>
        <v/>
      </c>
      <c r="GX42" s="69" t="str">
        <f ca="1">IF(AND($C42="Goal",GX$8&gt;=$G42,GX$8&lt;=$G42+$H42-1),2,IF(AND($C42="Milestone",GX$8&gt;=$G42,GX$8&lt;=$G42+$H42-1),1,""))</f>
        <v/>
      </c>
      <c r="GY42" s="69" t="str">
        <f ca="1">IF(AND($C42="Goal",GY$8&gt;=$G42,GY$8&lt;=$G42+$H42-1),2,IF(AND($C42="Milestone",GY$8&gt;=$G42,GY$8&lt;=$G42+$H42-1),1,""))</f>
        <v/>
      </c>
      <c r="GZ42" s="69" t="str">
        <f ca="1">IF(AND($C42="Goal",GZ$8&gt;=$G42,GZ$8&lt;=$G42+$H42-1),2,IF(AND($C42="Milestone",GZ$8&gt;=$G42,GZ$8&lt;=$G42+$H42-1),1,""))</f>
        <v/>
      </c>
      <c r="HA42" s="69" t="str">
        <f ca="1">IF(AND($C42="Goal",HA$8&gt;=$G42,HA$8&lt;=$G42+$H42-1),2,IF(AND($C42="Milestone",HA$8&gt;=$G42,HA$8&lt;=$G42+$H42-1),1,""))</f>
        <v/>
      </c>
      <c r="HB42" s="69" t="str">
        <f ca="1">IF(AND($C42="Goal",HB$8&gt;=$G42,HB$8&lt;=$G42+$H42-1),2,IF(AND($C42="Milestone",HB$8&gt;=$G42,HB$8&lt;=$G42+$H42-1),1,""))</f>
        <v/>
      </c>
      <c r="HC42" s="69" t="str">
        <f ca="1">IF(AND($C42="Goal",HC$8&gt;=$G42,HC$8&lt;=$G42+$H42-1),2,IF(AND($C42="Milestone",HC$8&gt;=$G42,HC$8&lt;=$G42+$H42-1),1,""))</f>
        <v/>
      </c>
      <c r="HD42" s="69" t="str">
        <f ca="1">IF(AND($C42="Goal",HD$8&gt;=$G42,HD$8&lt;=$G42+$H42-1),2,IF(AND($C42="Milestone",HD$8&gt;=$G42,HD$8&lt;=$G42+$H42-1),1,""))</f>
        <v/>
      </c>
      <c r="HE42" s="69" t="str">
        <f ca="1">IF(AND($C42="Goal",HE$8&gt;=$G42,HE$8&lt;=$G42+$H42-1),2,IF(AND($C42="Milestone",HE$8&gt;=$G42,HE$8&lt;=$G42+$H42-1),1,""))</f>
        <v/>
      </c>
      <c r="HF42" s="69" t="str">
        <f ca="1">IF(AND($C42="Goal",HF$8&gt;=$G42,HF$8&lt;=$G42+$H42-1),2,IF(AND($C42="Milestone",HF$8&gt;=$G42,HF$8&lt;=$G42+$H42-1),1,""))</f>
        <v/>
      </c>
      <c r="HG42" s="69" t="str">
        <f ca="1">IF(AND($C42="Goal",HG$8&gt;=$G42,HG$8&lt;=$G42+$H42-1),2,IF(AND($C42="Milestone",HG$8&gt;=$G42,HG$8&lt;=$G42+$H42-1),1,""))</f>
        <v/>
      </c>
      <c r="HH42" s="69" t="str">
        <f ca="1">IF(AND($C42="Goal",HH$8&gt;=$G42,HH$8&lt;=$G42+$H42-1),2,IF(AND($C42="Milestone",HH$8&gt;=$G42,HH$8&lt;=$G42+$H42-1),1,""))</f>
        <v/>
      </c>
      <c r="HI42" s="69" t="str">
        <f ca="1">IF(AND($C42="Goal",HI$8&gt;=$G42,HI$8&lt;=$G42+$H42-1),2,IF(AND($C42="Milestone",HI$8&gt;=$G42,HI$8&lt;=$G42+$H42-1),1,""))</f>
        <v/>
      </c>
      <c r="HJ42" s="69" t="str">
        <f ca="1">IF(AND($C42="Goal",HJ$8&gt;=$G42,HJ$8&lt;=$G42+$H42-1),2,IF(AND($C42="Milestone",HJ$8&gt;=$G42,HJ$8&lt;=$G42+$H42-1),1,""))</f>
        <v/>
      </c>
      <c r="HK42" s="69" t="str">
        <f ca="1">IF(AND($C42="Goal",HK$8&gt;=$G42,HK$8&lt;=$G42+$H42-1),2,IF(AND($C42="Milestone",HK$8&gt;=$G42,HK$8&lt;=$G42+$H42-1),1,""))</f>
        <v/>
      </c>
      <c r="HL42" s="69" t="str">
        <f ca="1">IF(AND($C42="Goal",HL$8&gt;=$G42,HL$8&lt;=$G42+$H42-1),2,IF(AND($C42="Milestone",HL$8&gt;=$G42,HL$8&lt;=$G42+$H42-1),1,""))</f>
        <v/>
      </c>
      <c r="HM42" s="69" t="str">
        <f ca="1">IF(AND($C42="Goal",HM$8&gt;=$G42,HM$8&lt;=$G42+$H42-1),2,IF(AND($C42="Milestone",HM$8&gt;=$G42,HM$8&lt;=$G42+$H42-1),1,""))</f>
        <v/>
      </c>
      <c r="HN42" s="69" t="str">
        <f ca="1">IF(AND($C42="Goal",HN$8&gt;=$G42,HN$8&lt;=$G42+$H42-1),2,IF(AND($C42="Milestone",HN$8&gt;=$G42,HN$8&lt;=$G42+$H42-1),1,""))</f>
        <v/>
      </c>
      <c r="HO42" s="69" t="str">
        <f ca="1">IF(AND($C42="Goal",HO$8&gt;=$G42,HO$8&lt;=$G42+$H42-1),2,IF(AND($C42="Milestone",HO$8&gt;=$G42,HO$8&lt;=$G42+$H42-1),1,""))</f>
        <v/>
      </c>
      <c r="HP42" s="69" t="str">
        <f ca="1">IF(AND($C42="Goal",HP$8&gt;=$G42,HP$8&lt;=$G42+$H42-1),2,IF(AND($C42="Milestone",HP$8&gt;=$G42,HP$8&lt;=$G42+$H42-1),1,""))</f>
        <v/>
      </c>
      <c r="HQ42" s="69" t="str">
        <f ca="1">IF(AND($C42="Goal",HQ$8&gt;=$G42,HQ$8&lt;=$G42+$H42-1),2,IF(AND($C42="Milestone",HQ$8&gt;=$G42,HQ$8&lt;=$G42+$H42-1),1,""))</f>
        <v/>
      </c>
      <c r="HR42" s="69" t="str">
        <f ca="1">IF(AND($C42="Goal",HR$8&gt;=$G42,HR$8&lt;=$G42+$H42-1),2,IF(AND($C42="Milestone",HR$8&gt;=$G42,HR$8&lt;=$G42+$H42-1),1,""))</f>
        <v/>
      </c>
      <c r="HS42" s="69" t="str">
        <f ca="1">IF(AND($C42="Goal",HS$8&gt;=$G42,HS$8&lt;=$G42+$H42-1),2,IF(AND($C42="Milestone",HS$8&gt;=$G42,HS$8&lt;=$G42+$H42-1),1,""))</f>
        <v/>
      </c>
      <c r="HT42" s="69" t="str">
        <f ca="1">IF(AND($C42="Goal",HT$8&gt;=$G42,HT$8&lt;=$G42+$H42-1),2,IF(AND($C42="Milestone",HT$8&gt;=$G42,HT$8&lt;=$G42+$H42-1),1,""))</f>
        <v/>
      </c>
      <c r="HU42" s="69" t="str">
        <f ca="1">IF(AND($C42="Goal",HU$8&gt;=$G42,HU$8&lt;=$G42+$H42-1),2,IF(AND($C42="Milestone",HU$8&gt;=$G42,HU$8&lt;=$G42+$H42-1),1,""))</f>
        <v/>
      </c>
      <c r="HV42" s="69" t="str">
        <f ca="1">IF(AND($C42="Goal",HV$8&gt;=$G42,HV$8&lt;=$G42+$H42-1),2,IF(AND($C42="Milestone",HV$8&gt;=$G42,HV$8&lt;=$G42+$H42-1),1,""))</f>
        <v/>
      </c>
      <c r="HW42" s="69" t="str">
        <f ca="1">IF(AND($C42="Goal",HW$8&gt;=$G42,HW$8&lt;=$G42+$H42-1),2,IF(AND($C42="Milestone",HW$8&gt;=$G42,HW$8&lt;=$G42+$H42-1),1,""))</f>
        <v/>
      </c>
      <c r="HX42" s="69" t="str">
        <f ca="1">IF(AND($C42="Goal",HX$8&gt;=$G42,HX$8&lt;=$G42+$H42-1),2,IF(AND($C42="Milestone",HX$8&gt;=$G42,HX$8&lt;=$G42+$H42-1),1,""))</f>
        <v/>
      </c>
      <c r="HY42" s="69" t="str">
        <f ca="1">IF(AND($C42="Goal",HY$8&gt;=$G42,HY$8&lt;=$G42+$H42-1),2,IF(AND($C42="Milestone",HY$8&gt;=$G42,HY$8&lt;=$G42+$H42-1),1,""))</f>
        <v/>
      </c>
      <c r="HZ42" s="69" t="str">
        <f ca="1">IF(AND($C42="Goal",HZ$8&gt;=$G42,HZ$8&lt;=$G42+$H42-1),2,IF(AND($C42="Milestone",HZ$8&gt;=$G42,HZ$8&lt;=$G42+$H42-1),1,""))</f>
        <v/>
      </c>
      <c r="IA42" s="69" t="str">
        <f ca="1">IF(AND($C42="Goal",IA$8&gt;=$G42,IA$8&lt;=$G42+$H42-1),2,IF(AND($C42="Milestone",IA$8&gt;=$G42,IA$8&lt;=$G42+$H42-1),1,""))</f>
        <v/>
      </c>
      <c r="IB42" s="69" t="str">
        <f ca="1">IF(AND($C42="Goal",IB$8&gt;=$G42,IB$8&lt;=$G42+$H42-1),2,IF(AND($C42="Milestone",IB$8&gt;=$G42,IB$8&lt;=$G42+$H42-1),1,""))</f>
        <v/>
      </c>
      <c r="IC42" s="69" t="str">
        <f ca="1">IF(AND($C42="Goal",IC$8&gt;=$G42,IC$8&lt;=$G42+$H42-1),2,IF(AND($C42="Milestone",IC$8&gt;=$G42,IC$8&lt;=$G42+$H42-1),1,""))</f>
        <v/>
      </c>
      <c r="ID42" s="69" t="str">
        <f ca="1">IF(AND($C42="Goal",ID$8&gt;=$G42,ID$8&lt;=$G42+$H42-1),2,IF(AND($C42="Milestone",ID$8&gt;=$G42,ID$8&lt;=$G42+$H42-1),1,""))</f>
        <v/>
      </c>
      <c r="IE42" s="69" t="str">
        <f ca="1">IF(AND($C42="Goal",IE$8&gt;=$G42,IE$8&lt;=$G42+$H42-1),2,IF(AND($C42="Milestone",IE$8&gt;=$G42,IE$8&lt;=$G42+$H42-1),1,""))</f>
        <v/>
      </c>
      <c r="IF42" s="69" t="str">
        <f ca="1">IF(AND($C42="Goal",IF$8&gt;=$G42,IF$8&lt;=$G42+$H42-1),2,IF(AND($C42="Milestone",IF$8&gt;=$G42,IF$8&lt;=$G42+$H42-1),1,""))</f>
        <v/>
      </c>
      <c r="IG42" s="69" t="str">
        <f ca="1">IF(AND($C42="Goal",IG$8&gt;=$G42,IG$8&lt;=$G42+$H42-1),2,IF(AND($C42="Milestone",IG$8&gt;=$G42,IG$8&lt;=$G42+$H42-1),1,""))</f>
        <v/>
      </c>
      <c r="IH42" s="69" t="str">
        <f ca="1">IF(AND($C42="Goal",IH$8&gt;=$G42,IH$8&lt;=$G42+$H42-1),2,IF(AND($C42="Milestone",IH$8&gt;=$G42,IH$8&lt;=$G42+$H42-1),1,""))</f>
        <v/>
      </c>
      <c r="II42" s="69" t="str">
        <f ca="1">IF(AND($C42="Goal",II$8&gt;=$G42,II$8&lt;=$G42+$H42-1),2,IF(AND($C42="Milestone",II$8&gt;=$G42,II$8&lt;=$G42+$H42-1),1,""))</f>
        <v/>
      </c>
      <c r="IJ42" s="69" t="str">
        <f ca="1">IF(AND($C42="Goal",IJ$8&gt;=$G42,IJ$8&lt;=$G42+$H42-1),2,IF(AND($C42="Milestone",IJ$8&gt;=$G42,IJ$8&lt;=$G42+$H42-1),1,""))</f>
        <v/>
      </c>
      <c r="IK42" s="69" t="str">
        <f ca="1">IF(AND($C42="Goal",IK$8&gt;=$G42,IK$8&lt;=$G42+$H42-1),2,IF(AND($C42="Milestone",IK$8&gt;=$G42,IK$8&lt;=$G42+$H42-1),1,""))</f>
        <v/>
      </c>
      <c r="IL42" s="69" t="str">
        <f ca="1">IF(AND($C42="Goal",IL$8&gt;=$G42,IL$8&lt;=$G42+$H42-1),2,IF(AND($C42="Milestone",IL$8&gt;=$G42,IL$8&lt;=$G42+$H42-1),1,""))</f>
        <v/>
      </c>
      <c r="IM42" s="69" t="str">
        <f ca="1">IF(AND($C42="Goal",IM$8&gt;=$G42,IM$8&lt;=$G42+$H42-1),2,IF(AND($C42="Milestone",IM$8&gt;=$G42,IM$8&lt;=$G42+$H42-1),1,""))</f>
        <v/>
      </c>
      <c r="IN42" s="69" t="str">
        <f ca="1">IF(AND($C42="Goal",IN$8&gt;=$G42,IN$8&lt;=$G42+$H42-1),2,IF(AND($C42="Milestone",IN$8&gt;=$G42,IN$8&lt;=$G42+$H42-1),1,""))</f>
        <v/>
      </c>
      <c r="IO42" s="69" t="str">
        <f ca="1">IF(AND($C42="Goal",IO$8&gt;=$G42,IO$8&lt;=$G42+$H42-1),2,IF(AND($C42="Milestone",IO$8&gt;=$G42,IO$8&lt;=$G42+$H42-1),1,""))</f>
        <v/>
      </c>
      <c r="IP42" s="69" t="str">
        <f ca="1">IF(AND($C42="Goal",IP$8&gt;=$G42,IP$8&lt;=$G42+$H42-1),2,IF(AND($C42="Milestone",IP$8&gt;=$G42,IP$8&lt;=$G42+$H42-1),1,""))</f>
        <v/>
      </c>
      <c r="IQ42" s="69" t="str">
        <f ca="1">IF(AND($C42="Goal",IQ$8&gt;=$G42,IQ$8&lt;=$G42+$H42-1),2,IF(AND($C42="Milestone",IQ$8&gt;=$G42,IQ$8&lt;=$G42+$H42-1),1,""))</f>
        <v/>
      </c>
      <c r="IR42" s="69" t="str">
        <f ca="1">IF(AND($C42="Goal",IR$8&gt;=$G42,IR$8&lt;=$G42+$H42-1),2,IF(AND($C42="Milestone",IR$8&gt;=$G42,IR$8&lt;=$G42+$H42-1),1,""))</f>
        <v/>
      </c>
      <c r="IS42" s="69" t="str">
        <f ca="1">IF(AND($C42="Goal",IS$8&gt;=$G42,IS$8&lt;=$G42+$H42-1),2,IF(AND($C42="Milestone",IS$8&gt;=$G42,IS$8&lt;=$G42+$H42-1),1,""))</f>
        <v/>
      </c>
      <c r="IT42" s="69" t="str">
        <f ca="1">IF(AND($C42="Goal",IT$8&gt;=$G42,IT$8&lt;=$G42+$H42-1),2,IF(AND($C42="Milestone",IT$8&gt;=$G42,IT$8&lt;=$G42+$H42-1),1,""))</f>
        <v/>
      </c>
      <c r="IU42" s="69" t="str">
        <f ca="1">IF(AND($C42="Goal",IU$8&gt;=$G42,IU$8&lt;=$G42+$H42-1),2,IF(AND($C42="Milestone",IU$8&gt;=$G42,IU$8&lt;=$G42+$H42-1),1,""))</f>
        <v/>
      </c>
      <c r="IV42" s="69" t="str">
        <f ca="1">IF(AND($C42="Goal",IV$8&gt;=$G42,IV$8&lt;=$G42+$H42-1),2,IF(AND($C42="Milestone",IV$8&gt;=$G42,IV$8&lt;=$G42+$H42-1),1,""))</f>
        <v/>
      </c>
      <c r="IW42" s="69" t="str">
        <f ca="1">IF(AND($C42="Goal",IW$8&gt;=$G42,IW$8&lt;=$G42+$H42-1),2,IF(AND($C42="Milestone",IW$8&gt;=$G42,IW$8&lt;=$G42+$H42-1),1,""))</f>
        <v/>
      </c>
      <c r="IX42" s="69" t="str">
        <f ca="1">IF(AND($C42="Goal",IX$8&gt;=$G42,IX$8&lt;=$G42+$H42-1),2,IF(AND($C42="Milestone",IX$8&gt;=$G42,IX$8&lt;=$G42+$H42-1),1,""))</f>
        <v/>
      </c>
      <c r="IY42" s="69" t="str">
        <f ca="1">IF(AND($C42="Goal",IY$8&gt;=$G42,IY$8&lt;=$G42+$H42-1),2,IF(AND($C42="Milestone",IY$8&gt;=$G42,IY$8&lt;=$G42+$H42-1),1,""))</f>
        <v/>
      </c>
      <c r="IZ42" s="69" t="str">
        <f ca="1">IF(AND($C42="Goal",IZ$8&gt;=$G42,IZ$8&lt;=$G42+$H42-1),2,IF(AND($C42="Milestone",IZ$8&gt;=$G42,IZ$8&lt;=$G42+$H42-1),1,""))</f>
        <v/>
      </c>
      <c r="JA42" s="69" t="str">
        <f ca="1">IF(AND($C42="Goal",JA$8&gt;=$G42,JA$8&lt;=$G42+$H42-1),2,IF(AND($C42="Milestone",JA$8&gt;=$G42,JA$8&lt;=$G42+$H42-1),1,""))</f>
        <v/>
      </c>
      <c r="JB42" s="69" t="str">
        <f ca="1">IF(AND($C42="Goal",JB$8&gt;=$G42,JB$8&lt;=$G42+$H42-1),2,IF(AND($C42="Milestone",JB$8&gt;=$G42,JB$8&lt;=$G42+$H42-1),1,""))</f>
        <v/>
      </c>
      <c r="JC42" s="69" t="str">
        <f ca="1">IF(AND($C42="Goal",JC$8&gt;=$G42,JC$8&lt;=$G42+$H42-1),2,IF(AND($C42="Milestone",JC$8&gt;=$G42,JC$8&lt;=$G42+$H42-1),1,""))</f>
        <v/>
      </c>
      <c r="JD42" s="69" t="str">
        <f ca="1">IF(AND($C42="Goal",JD$8&gt;=$G42,JD$8&lt;=$G42+$H42-1),2,IF(AND($C42="Milestone",JD$8&gt;=$G42,JD$8&lt;=$G42+$H42-1),1,""))</f>
        <v/>
      </c>
      <c r="JE42" s="69" t="str">
        <f ca="1">IF(AND($C42="Goal",JE$8&gt;=$G42,JE$8&lt;=$G42+$H42-1),2,IF(AND($C42="Milestone",JE$8&gt;=$G42,JE$8&lt;=$G42+$H42-1),1,""))</f>
        <v/>
      </c>
      <c r="JF42" s="69" t="str">
        <f ca="1">IF(AND($C42="Goal",JF$8&gt;=$G42,JF$8&lt;=$G42+$H42-1),2,IF(AND($C42="Milestone",JF$8&gt;=$G42,JF$8&lt;=$G42+$H42-1),1,""))</f>
        <v/>
      </c>
      <c r="JG42" s="69" t="str">
        <f ca="1">IF(AND($C42="Goal",JG$8&gt;=$G42,JG$8&lt;=$G42+$H42-1),2,IF(AND($C42="Milestone",JG$8&gt;=$G42,JG$8&lt;=$G42+$H42-1),1,""))</f>
        <v/>
      </c>
      <c r="JH42" s="69" t="str">
        <f ca="1">IF(AND($C42="Goal",JH$8&gt;=$G42,JH$8&lt;=$G42+$H42-1),2,IF(AND($C42="Milestone",JH$8&gt;=$G42,JH$8&lt;=$G42+$H42-1),1,""))</f>
        <v/>
      </c>
      <c r="JI42" s="69" t="str">
        <f ca="1">IF(AND($C42="Goal",JI$8&gt;=$G42,JI$8&lt;=$G42+$H42-1),2,IF(AND($C42="Milestone",JI$8&gt;=$G42,JI$8&lt;=$G42+$H42-1),1,""))</f>
        <v/>
      </c>
      <c r="JJ42" s="69" t="str">
        <f ca="1">IF(AND($C42="Goal",JJ$8&gt;=$G42,JJ$8&lt;=$G42+$H42-1),2,IF(AND($C42="Milestone",JJ$8&gt;=$G42,JJ$8&lt;=$G42+$H42-1),1,""))</f>
        <v/>
      </c>
      <c r="JK42" s="69" t="str">
        <f ca="1">IF(AND($C42="Goal",JK$8&gt;=$G42,JK$8&lt;=$G42+$H42-1),2,IF(AND($C42="Milestone",JK$8&gt;=$G42,JK$8&lt;=$G42+$H42-1),1,""))</f>
        <v/>
      </c>
      <c r="JL42" s="69" t="str">
        <f ca="1">IF(AND($C42="Goal",JL$8&gt;=$G42,JL$8&lt;=$G42+$H42-1),2,IF(AND($C42="Milestone",JL$8&gt;=$G42,JL$8&lt;=$G42+$H42-1),1,""))</f>
        <v/>
      </c>
      <c r="JM42" s="69" t="str">
        <f ca="1">IF(AND($C42="Goal",JM$8&gt;=$G42,JM$8&lt;=$G42+$H42-1),2,IF(AND($C42="Milestone",JM$8&gt;=$G42,JM$8&lt;=$G42+$H42-1),1,""))</f>
        <v/>
      </c>
      <c r="JN42" s="69" t="str">
        <f ca="1">IF(AND($C42="Goal",JN$8&gt;=$G42,JN$8&lt;=$G42+$H42-1),2,IF(AND($C42="Milestone",JN$8&gt;=$G42,JN$8&lt;=$G42+$H42-1),1,""))</f>
        <v/>
      </c>
      <c r="JO42" s="69" t="str">
        <f ca="1">IF(AND($C42="Goal",JO$8&gt;=$G42,JO$8&lt;=$G42+$H42-1),2,IF(AND($C42="Milestone",JO$8&gt;=$G42,JO$8&lt;=$G42+$H42-1),1,""))</f>
        <v/>
      </c>
      <c r="JP42" s="69" t="str">
        <f ca="1">IF(AND($C42="Goal",JP$8&gt;=$G42,JP$8&lt;=$G42+$H42-1),2,IF(AND($C42="Milestone",JP$8&gt;=$G42,JP$8&lt;=$G42+$H42-1),1,""))</f>
        <v/>
      </c>
      <c r="JQ42" s="69" t="str">
        <f ca="1">IF(AND($C42="Goal",JQ$8&gt;=$G42,JQ$8&lt;=$G42+$H42-1),2,IF(AND($C42="Milestone",JQ$8&gt;=$G42,JQ$8&lt;=$G42+$H42-1),1,""))</f>
        <v/>
      </c>
      <c r="JR42" s="69" t="str">
        <f ca="1">IF(AND($C42="Goal",JR$8&gt;=$G42,JR$8&lt;=$G42+$H42-1),2,IF(AND($C42="Milestone",JR$8&gt;=$G42,JR$8&lt;=$G42+$H42-1),1,""))</f>
        <v/>
      </c>
      <c r="JS42" s="69" t="str">
        <f ca="1">IF(AND($C42="Goal",JS$8&gt;=$G42,JS$8&lt;=$G42+$H42-1),2,IF(AND($C42="Milestone",JS$8&gt;=$G42,JS$8&lt;=$G42+$H42-1),1,""))</f>
        <v/>
      </c>
      <c r="JT42" s="69" t="str">
        <f ca="1">IF(AND($C42="Goal",JT$8&gt;=$G42,JT$8&lt;=$G42+$H42-1),2,IF(AND($C42="Milestone",JT$8&gt;=$G42,JT$8&lt;=$G42+$H42-1),1,""))</f>
        <v/>
      </c>
      <c r="JU42" s="69" t="str">
        <f ca="1">IF(AND($C42="Goal",JU$8&gt;=$G42,JU$8&lt;=$G42+$H42-1),2,IF(AND($C42="Milestone",JU$8&gt;=$G42,JU$8&lt;=$G42+$H42-1),1,""))</f>
        <v/>
      </c>
      <c r="JV42" s="69" t="str">
        <f ca="1">IF(AND($C42="Goal",JV$8&gt;=$G42,JV$8&lt;=$G42+$H42-1),2,IF(AND($C42="Milestone",JV$8&gt;=$G42,JV$8&lt;=$G42+$H42-1),1,""))</f>
        <v/>
      </c>
      <c r="JW42" s="69" t="str">
        <f ca="1">IF(AND($C42="Goal",JW$8&gt;=$G42,JW$8&lt;=$G42+$H42-1),2,IF(AND($C42="Milestone",JW$8&gt;=$G42,JW$8&lt;=$G42+$H42-1),1,""))</f>
        <v/>
      </c>
      <c r="JX42" s="69" t="str">
        <f ca="1">IF(AND($C42="Goal",JX$8&gt;=$G42,JX$8&lt;=$G42+$H42-1),2,IF(AND($C42="Milestone",JX$8&gt;=$G42,JX$8&lt;=$G42+$H42-1),1,""))</f>
        <v/>
      </c>
      <c r="JY42" s="69" t="str">
        <f ca="1">IF(AND($C42="Goal",JY$8&gt;=$G42,JY$8&lt;=$G42+$H42-1),2,IF(AND($C42="Milestone",JY$8&gt;=$G42,JY$8&lt;=$G42+$H42-1),1,""))</f>
        <v/>
      </c>
      <c r="JZ42" s="69" t="str">
        <f ca="1">IF(AND($C42="Goal",JZ$8&gt;=$G42,JZ$8&lt;=$G42+$H42-1),2,IF(AND($C42="Milestone",JZ$8&gt;=$G42,JZ$8&lt;=$G42+$H42-1),1,""))</f>
        <v/>
      </c>
      <c r="KA42" s="69" t="str">
        <f ca="1">IF(AND($C42="Goal",KA$8&gt;=$G42,KA$8&lt;=$G42+$H42-1),2,IF(AND($C42="Milestone",KA$8&gt;=$G42,KA$8&lt;=$G42+$H42-1),1,""))</f>
        <v/>
      </c>
      <c r="KB42" s="69" t="str">
        <f ca="1">IF(AND($C42="Goal",KB$8&gt;=$G42,KB$8&lt;=$G42+$H42-1),2,IF(AND($C42="Milestone",KB$8&gt;=$G42,KB$8&lt;=$G42+$H42-1),1,""))</f>
        <v/>
      </c>
      <c r="KC42" s="69" t="str">
        <f ca="1">IF(AND($C42="Goal",KC$8&gt;=$G42,KC$8&lt;=$G42+$H42-1),2,IF(AND($C42="Milestone",KC$8&gt;=$G42,KC$8&lt;=$G42+$H42-1),1,""))</f>
        <v/>
      </c>
      <c r="KD42" s="69" t="str">
        <f ca="1">IF(AND($C42="Goal",KD$8&gt;=$G42,KD$8&lt;=$G42+$H42-1),2,IF(AND($C42="Milestone",KD$8&gt;=$G42,KD$8&lt;=$G42+$H42-1),1,""))</f>
        <v/>
      </c>
      <c r="KE42" s="69" t="str">
        <f ca="1">IF(AND($C42="Goal",KE$8&gt;=$G42,KE$8&lt;=$G42+$H42-1),2,IF(AND($C42="Milestone",KE$8&gt;=$G42,KE$8&lt;=$G42+$H42-1),1,""))</f>
        <v/>
      </c>
      <c r="KF42" s="69" t="str">
        <f ca="1">IF(AND($C42="Goal",KF$8&gt;=$G42,KF$8&lt;=$G42+$H42-1),2,IF(AND($C42="Milestone",KF$8&gt;=$G42,KF$8&lt;=$G42+$H42-1),1,""))</f>
        <v/>
      </c>
      <c r="KG42" s="69" t="str">
        <f ca="1">IF(AND($C42="Goal",KG$8&gt;=$G42,KG$8&lt;=$G42+$H42-1),2,IF(AND($C42="Milestone",KG$8&gt;=$G42,KG$8&lt;=$G42+$H42-1),1,""))</f>
        <v/>
      </c>
      <c r="KH42" s="69" t="str">
        <f ca="1">IF(AND($C42="Goal",KH$8&gt;=$G42,KH$8&lt;=$G42+$H42-1),2,IF(AND($C42="Milestone",KH$8&gt;=$G42,KH$8&lt;=$G42+$H42-1),1,""))</f>
        <v/>
      </c>
      <c r="KI42" s="69" t="str">
        <f ca="1">IF(AND($C42="Goal",KI$8&gt;=$G42,KI$8&lt;=$G42+$H42-1),2,IF(AND($C42="Milestone",KI$8&gt;=$G42,KI$8&lt;=$G42+$H42-1),1,""))</f>
        <v/>
      </c>
      <c r="KJ42" s="69" t="str">
        <f ca="1">IF(AND($C42="Goal",KJ$8&gt;=$G42,KJ$8&lt;=$G42+$H42-1),2,IF(AND($C42="Milestone",KJ$8&gt;=$G42,KJ$8&lt;=$G42+$H42-1),1,""))</f>
        <v/>
      </c>
      <c r="KK42" s="69" t="str">
        <f ca="1">IF(AND($C42="Goal",KK$8&gt;=$G42,KK$8&lt;=$G42+$H42-1),2,IF(AND($C42="Milestone",KK$8&gt;=$G42,KK$8&lt;=$G42+$H42-1),1,""))</f>
        <v/>
      </c>
      <c r="KL42" s="69" t="str">
        <f ca="1">IF(AND($C42="Goal",KL$8&gt;=$G42,KL$8&lt;=$G42+$H42-1),2,IF(AND($C42="Milestone",KL$8&gt;=$G42,KL$8&lt;=$G42+$H42-1),1,""))</f>
        <v/>
      </c>
      <c r="KM42" s="69" t="str">
        <f ca="1">IF(AND($C42="Goal",KM$8&gt;=$G42,KM$8&lt;=$G42+$H42-1),2,IF(AND($C42="Milestone",KM$8&gt;=$G42,KM$8&lt;=$G42+$H42-1),1,""))</f>
        <v/>
      </c>
      <c r="KN42" s="69" t="str">
        <f ca="1">IF(AND($C42="Goal",KN$8&gt;=$G42,KN$8&lt;=$G42+$H42-1),2,IF(AND($C42="Milestone",KN$8&gt;=$G42,KN$8&lt;=$G42+$H42-1),1,""))</f>
        <v/>
      </c>
      <c r="KO42" s="69" t="str">
        <f ca="1">IF(AND($C42="Goal",KO$8&gt;=$G42,KO$8&lt;=$G42+$H42-1),2,IF(AND($C42="Milestone",KO$8&gt;=$G42,KO$8&lt;=$G42+$H42-1),1,""))</f>
        <v/>
      </c>
      <c r="KP42" s="69" t="str">
        <f ca="1">IF(AND($C42="Goal",KP$8&gt;=$G42,KP$8&lt;=$G42+$H42-1),2,IF(AND($C42="Milestone",KP$8&gt;=$G42,KP$8&lt;=$G42+$H42-1),1,""))</f>
        <v/>
      </c>
      <c r="KQ42" s="69" t="str">
        <f ca="1">IF(AND($C42="Goal",KQ$8&gt;=$G42,KQ$8&lt;=$G42+$H42-1),2,IF(AND($C42="Milestone",KQ$8&gt;=$G42,KQ$8&lt;=$G42+$H42-1),1,""))</f>
        <v/>
      </c>
      <c r="KR42" s="69" t="str">
        <f ca="1">IF(AND($C42="Goal",KR$8&gt;=$G42,KR$8&lt;=$G42+$H42-1),2,IF(AND($C42="Milestone",KR$8&gt;=$G42,KR$8&lt;=$G42+$H42-1),1,""))</f>
        <v/>
      </c>
      <c r="KS42" s="69" t="str">
        <f ca="1">IF(AND($C42="Goal",KS$8&gt;=$G42,KS$8&lt;=$G42+$H42-1),2,IF(AND($C42="Milestone",KS$8&gt;=$G42,KS$8&lt;=$G42+$H42-1),1,""))</f>
        <v/>
      </c>
      <c r="KT42" s="69" t="str">
        <f ca="1">IF(AND($C42="Goal",KT$8&gt;=$G42,KT$8&lt;=$G42+$H42-1),2,IF(AND($C42="Milestone",KT$8&gt;=$G42,KT$8&lt;=$G42+$H42-1),1,""))</f>
        <v/>
      </c>
      <c r="KU42" s="69" t="str">
        <f ca="1">IF(AND($C42="Goal",KU$8&gt;=$G42,KU$8&lt;=$G42+$H42-1),2,IF(AND($C42="Milestone",KU$8&gt;=$G42,KU$8&lt;=$G42+$H42-1),1,""))</f>
        <v/>
      </c>
      <c r="KV42" s="69" t="str">
        <f ca="1">IF(AND($C42="Goal",KV$8&gt;=$G42,KV$8&lt;=$G42+$H42-1),2,IF(AND($C42="Milestone",KV$8&gt;=$G42,KV$8&lt;=$G42+$H42-1),1,""))</f>
        <v/>
      </c>
      <c r="KW42" s="69" t="str">
        <f ca="1">IF(AND($C42="Goal",KW$8&gt;=$G42,KW$8&lt;=$G42+$H42-1),2,IF(AND($C42="Milestone",KW$8&gt;=$G42,KW$8&lt;=$G42+$H42-1),1,""))</f>
        <v/>
      </c>
      <c r="KX42" s="69" t="str">
        <f ca="1">IF(AND($C42="Goal",KX$8&gt;=$G42,KX$8&lt;=$G42+$H42-1),2,IF(AND($C42="Milestone",KX$8&gt;=$G42,KX$8&lt;=$G42+$H42-1),1,""))</f>
        <v/>
      </c>
      <c r="KY42" s="69" t="str">
        <f ca="1">IF(AND($C42="Goal",KY$8&gt;=$G42,KY$8&lt;=$G42+$H42-1),2,IF(AND($C42="Milestone",KY$8&gt;=$G42,KY$8&lt;=$G42+$H42-1),1,""))</f>
        <v/>
      </c>
      <c r="KZ42" s="69" t="str">
        <f ca="1">IF(AND($C42="Goal",KZ$8&gt;=$G42,KZ$8&lt;=$G42+$H42-1),2,IF(AND($C42="Milestone",KZ$8&gt;=$G42,KZ$8&lt;=$G42+$H42-1),1,""))</f>
        <v/>
      </c>
      <c r="LA42" s="69" t="str">
        <f ca="1">IF(AND($C42="Goal",LA$8&gt;=$G42,LA$8&lt;=$G42+$H42-1),2,IF(AND($C42="Milestone",LA$8&gt;=$G42,LA$8&lt;=$G42+$H42-1),1,""))</f>
        <v/>
      </c>
      <c r="LB42" s="69" t="str">
        <f ca="1">IF(AND($C42="Goal",LB$8&gt;=$G42,LB$8&lt;=$G42+$H42-1),2,IF(AND($C42="Milestone",LB$8&gt;=$G42,LB$8&lt;=$G42+$H42-1),1,""))</f>
        <v/>
      </c>
      <c r="LC42" s="69" t="str">
        <f ca="1">IF(AND($C42="Goal",LC$8&gt;=$G42,LC$8&lt;=$G42+$H42-1),2,IF(AND($C42="Milestone",LC$8&gt;=$G42,LC$8&lt;=$G42+$H42-1),1,""))</f>
        <v/>
      </c>
      <c r="LD42" s="69" t="str">
        <f ca="1">IF(AND($C42="Goal",LD$8&gt;=$G42,LD$8&lt;=$G42+$H42-1),2,IF(AND($C42="Milestone",LD$8&gt;=$G42,LD$8&lt;=$G42+$H42-1),1,""))</f>
        <v/>
      </c>
      <c r="LE42" s="69" t="str">
        <f ca="1">IF(AND($C42="Goal",LE$8&gt;=$G42,LE$8&lt;=$G42+$H42-1),2,IF(AND($C42="Milestone",LE$8&gt;=$G42,LE$8&lt;=$G42+$H42-1),1,""))</f>
        <v/>
      </c>
      <c r="LF42" s="69" t="str">
        <f ca="1">IF(AND($C42="Goal",LF$8&gt;=$G42,LF$8&lt;=$G42+$H42-1),2,IF(AND($C42="Milestone",LF$8&gt;=$G42,LF$8&lt;=$G42+$H42-1),1,""))</f>
        <v/>
      </c>
      <c r="LG42" s="69" t="str">
        <f ca="1">IF(AND($C42="Goal",LG$8&gt;=$G42,LG$8&lt;=$G42+$H42-1),2,IF(AND($C42="Milestone",LG$8&gt;=$G42,LG$8&lt;=$G42+$H42-1),1,""))</f>
        <v/>
      </c>
      <c r="LH42" s="69" t="str">
        <f ca="1">IF(AND($C42="Goal",LH$8&gt;=$G42,LH$8&lt;=$G42+$H42-1),2,IF(AND($C42="Milestone",LH$8&gt;=$G42,LH$8&lt;=$G42+$H42-1),1,""))</f>
        <v/>
      </c>
      <c r="LI42" s="69" t="str">
        <f ca="1">IF(AND($C42="Goal",LI$8&gt;=$G42,LI$8&lt;=$G42+$H42-1),2,IF(AND($C42="Milestone",LI$8&gt;=$G42,LI$8&lt;=$G42+$H42-1),1,""))</f>
        <v/>
      </c>
      <c r="LJ42" s="69" t="str">
        <f ca="1">IF(AND($C42="Goal",LJ$8&gt;=$G42,LJ$8&lt;=$G42+$H42-1),2,IF(AND($C42="Milestone",LJ$8&gt;=$G42,LJ$8&lt;=$G42+$H42-1),1,""))</f>
        <v/>
      </c>
      <c r="LK42" s="69" t="str">
        <f ca="1">IF(AND($C42="Goal",LK$8&gt;=$G42,LK$8&lt;=$G42+$H42-1),2,IF(AND($C42="Milestone",LK$8&gt;=$G42,LK$8&lt;=$G42+$H42-1),1,""))</f>
        <v/>
      </c>
      <c r="LL42" s="69" t="str">
        <f ca="1">IF(AND($C42="Goal",LL$8&gt;=$G42,LL$8&lt;=$G42+$H42-1),2,IF(AND($C42="Milestone",LL$8&gt;=$G42,LL$8&lt;=$G42+$H42-1),1,""))</f>
        <v/>
      </c>
      <c r="LM42" s="69" t="str">
        <f ca="1">IF(AND($C42="Goal",LM$8&gt;=$G42,LM$8&lt;=$G42+$H42-1),2,IF(AND($C42="Milestone",LM$8&gt;=$G42,LM$8&lt;=$G42+$H42-1),1,""))</f>
        <v/>
      </c>
      <c r="LN42" s="69" t="str">
        <f ca="1">IF(AND($C42="Goal",LN$8&gt;=$G42,LN$8&lt;=$G42+$H42-1),2,IF(AND($C42="Milestone",LN$8&gt;=$G42,LN$8&lt;=$G42+$H42-1),1,""))</f>
        <v/>
      </c>
      <c r="LO42" s="69" t="str">
        <f ca="1">IF(AND($C42="Goal",LO$8&gt;=$G42,LO$8&lt;=$G42+$H42-1),2,IF(AND($C42="Milestone",LO$8&gt;=$G42,LO$8&lt;=$G42+$H42-1),1,""))</f>
        <v/>
      </c>
      <c r="LP42" s="69" t="str">
        <f ca="1">IF(AND($C42="Goal",LP$8&gt;=$G42,LP$8&lt;=$G42+$H42-1),2,IF(AND($C42="Milestone",LP$8&gt;=$G42,LP$8&lt;=$G42+$H42-1),1,""))</f>
        <v/>
      </c>
      <c r="LQ42" s="69" t="str">
        <f ca="1">IF(AND($C42="Goal",LQ$8&gt;=$G42,LQ$8&lt;=$G42+$H42-1),2,IF(AND($C42="Milestone",LQ$8&gt;=$G42,LQ$8&lt;=$G42+$H42-1),1,""))</f>
        <v/>
      </c>
      <c r="LR42" s="69" t="str">
        <f ca="1">IF(AND($C42="Goal",LR$8&gt;=$G42,LR$8&lt;=$G42+$H42-1),2,IF(AND($C42="Milestone",LR$8&gt;=$G42,LR$8&lt;=$G42+$H42-1),1,""))</f>
        <v/>
      </c>
      <c r="LS42" s="69" t="str">
        <f ca="1">IF(AND($C42="Goal",LS$8&gt;=$G42,LS$8&lt;=$G42+$H42-1),2,IF(AND($C42="Milestone",LS$8&gt;=$G42,LS$8&lt;=$G42+$H42-1),1,""))</f>
        <v/>
      </c>
      <c r="LT42" s="69" t="str">
        <f ca="1">IF(AND($C42="Goal",LT$8&gt;=$G42,LT$8&lt;=$G42+$H42-1),2,IF(AND($C42="Milestone",LT$8&gt;=$G42,LT$8&lt;=$G42+$H42-1),1,""))</f>
        <v/>
      </c>
      <c r="LU42" s="69" t="str">
        <f ca="1">IF(AND($C42="Goal",LU$8&gt;=$G42,LU$8&lt;=$G42+$H42-1),2,IF(AND($C42="Milestone",LU$8&gt;=$G42,LU$8&lt;=$G42+$H42-1),1,""))</f>
        <v/>
      </c>
      <c r="LV42" s="69" t="str">
        <f ca="1">IF(AND($C42="Goal",LV$8&gt;=$G42,LV$8&lt;=$G42+$H42-1),2,IF(AND($C42="Milestone",LV$8&gt;=$G42,LV$8&lt;=$G42+$H42-1),1,""))</f>
        <v/>
      </c>
      <c r="LW42" s="69" t="str">
        <f ca="1">IF(AND($C42="Goal",LW$8&gt;=$G42,LW$8&lt;=$G42+$H42-1),2,IF(AND($C42="Milestone",LW$8&gt;=$G42,LW$8&lt;=$G42+$H42-1),1,""))</f>
        <v/>
      </c>
      <c r="LX42" s="69" t="str">
        <f ca="1">IF(AND($C42="Goal",LX$8&gt;=$G42,LX$8&lt;=$G42+$H42-1),2,IF(AND($C42="Milestone",LX$8&gt;=$G42,LX$8&lt;=$G42+$H42-1),1,""))</f>
        <v/>
      </c>
    </row>
    <row r="43" spans="1:336" s="1" customFormat="1" ht="25.25" customHeight="1" x14ac:dyDescent="0.25">
      <c r="A43" s="6"/>
      <c r="B43" s="75" t="s">
        <v>43</v>
      </c>
      <c r="C43" s="53"/>
      <c r="D43" s="53" t="str">
        <f ca="1">IF(G43="","",
IF(G43+Milestones4352[[#This Row],[Days]]="","",
IF(OR(F43=1,F43=100%),"Complete",
CHOOSE(
  1
  + --(((1-IF(F43&gt;1,F43/100,F43))*POWER(2.718281828,(60-MAX(0,G43+Milestones4352[[#This Row],[Days]]-TODAY()))/12))&gt;=0.6)
  + --(((1-IF(F43&gt;1,F43/100,F43))*POWER(2.718281828,(60-MAX(0,G43+Milestones4352[[#This Row],[Days]]-TODAY()))/12))&gt;=1.2)
  + --(((1-IF(F43&gt;1,F43/100,F43))*POWER(2.718281828,(60-MAX(0,G43+Milestones4352[[#This Row],[Days]]-TODAY()))/12))&gt;=2),
  "On track","Low risk","Medium risk","High risk"
))))</f>
        <v/>
      </c>
      <c r="E43" s="53"/>
      <c r="F43" s="10"/>
      <c r="G43" s="20"/>
      <c r="H43" s="12"/>
      <c r="I43" s="12" t="str">
        <f t="shared" si="207"/>
        <v/>
      </c>
      <c r="J43" s="12" t="str">
        <f ca="1">IF(OR(Milestones4352[[#This Row],[Start]]="",Milestones4352[[#This Row],[Days]]=""),"",(Milestones4352[[#This Row],[Start]]+Milestones4352[[#This Row],[Days]])-TODAY())</f>
        <v/>
      </c>
      <c r="K43" s="9"/>
      <c r="L43" s="69" t="str">
        <f ca="1">IF(AND($C43="Goal",L$8&gt;=$G43,L$8&lt;=$G43+$H43-1),2,IF(AND($C43="Milestone",L$8&gt;=$G43,L$8&lt;=$G43+$H43-1),1,""))</f>
        <v/>
      </c>
      <c r="M43" s="69" t="str">
        <f ca="1">IF(AND($C43="Goal",M$8&gt;=$G43,M$8&lt;=$G43+$H43-1),2,IF(AND($C43="Milestone",M$8&gt;=$G43,M$8&lt;=$G43+$H43-1),1,""))</f>
        <v/>
      </c>
      <c r="N43" s="69" t="str">
        <f ca="1">IF(AND($C43="Goal",N$8&gt;=$G43,N$8&lt;=$G43+$H43-1),2,IF(AND($C43="Milestone",N$8&gt;=$G43,N$8&lt;=$G43+$H43-1),1,""))</f>
        <v/>
      </c>
      <c r="O43" s="69" t="str">
        <f ca="1">IF(AND($C43="Goal",O$8&gt;=$G43,O$8&lt;=$G43+$H43-1),2,IF(AND($C43="Milestone",O$8&gt;=$G43,O$8&lt;=$G43+$H43-1),1,""))</f>
        <v/>
      </c>
      <c r="P43" s="69" t="str">
        <f ca="1">IF(AND($C43="Goal",P$8&gt;=$G43,P$8&lt;=$G43+$H43-1),2,IF(AND($C43="Milestone",P$8&gt;=$G43,P$8&lt;=$G43+$H43-1),1,""))</f>
        <v/>
      </c>
      <c r="Q43" s="69" t="str">
        <f ca="1">IF(AND($C43="Goal",Q$8&gt;=$G43,Q$8&lt;=$G43+$H43-1),2,IF(AND($C43="Milestone",Q$8&gt;=$G43,Q$8&lt;=$G43+$H43-1),1,""))</f>
        <v/>
      </c>
      <c r="R43" s="69" t="str">
        <f ca="1">IF(AND($C43="Goal",R$8&gt;=$G43,R$8&lt;=$G43+$H43-1),2,IF(AND($C43="Milestone",R$8&gt;=$G43,R$8&lt;=$G43+$H43-1),1,""))</f>
        <v/>
      </c>
      <c r="S43" s="69" t="str">
        <f ca="1">IF(AND($C43="Goal",S$8&gt;=$G43,S$8&lt;=$G43+$H43-1),2,IF(AND($C43="Milestone",S$8&gt;=$G43,S$8&lt;=$G43+$H43-1),1,""))</f>
        <v/>
      </c>
      <c r="T43" s="69" t="str">
        <f ca="1">IF(AND($C43="Goal",T$8&gt;=$G43,T$8&lt;=$G43+$H43-1),2,IF(AND($C43="Milestone",T$8&gt;=$G43,T$8&lt;=$G43+$H43-1),1,""))</f>
        <v/>
      </c>
      <c r="U43" s="69" t="str">
        <f ca="1">IF(AND($C43="Goal",U$8&gt;=$G43,U$8&lt;=$G43+$H43-1),2,IF(AND($C43="Milestone",U$8&gt;=$G43,U$8&lt;=$G43+$H43-1),1,""))</f>
        <v/>
      </c>
      <c r="V43" s="69" t="str">
        <f ca="1">IF(AND($C43="Goal",V$8&gt;=$G43,V$8&lt;=$G43+$H43-1),2,IF(AND($C43="Milestone",V$8&gt;=$G43,V$8&lt;=$G43+$H43-1),1,""))</f>
        <v/>
      </c>
      <c r="W43" s="69" t="str">
        <f ca="1">IF(AND($C43="Goal",W$8&gt;=$G43,W$8&lt;=$G43+$H43-1),2,IF(AND($C43="Milestone",W$8&gt;=$G43,W$8&lt;=$G43+$H43-1),1,""))</f>
        <v/>
      </c>
      <c r="X43" s="69" t="str">
        <f ca="1">IF(AND($C43="Goal",X$8&gt;=$G43,X$8&lt;=$G43+$H43-1),2,IF(AND($C43="Milestone",X$8&gt;=$G43,X$8&lt;=$G43+$H43-1),1,""))</f>
        <v/>
      </c>
      <c r="Y43" s="69" t="str">
        <f ca="1">IF(AND($C43="Goal",Y$8&gt;=$G43,Y$8&lt;=$G43+$H43-1),2,IF(AND($C43="Milestone",Y$8&gt;=$G43,Y$8&lt;=$G43+$H43-1),1,""))</f>
        <v/>
      </c>
      <c r="Z43" s="69" t="str">
        <f ca="1">IF(AND($C43="Goal",Z$8&gt;=$G43,Z$8&lt;=$G43+$H43-1),2,IF(AND($C43="Milestone",Z$8&gt;=$G43,Z$8&lt;=$G43+$H43-1),1,""))</f>
        <v/>
      </c>
      <c r="AA43" s="69" t="str">
        <f ca="1">IF(AND($C43="Goal",AA$8&gt;=$G43,AA$8&lt;=$G43+$H43-1),2,IF(AND($C43="Milestone",AA$8&gt;=$G43,AA$8&lt;=$G43+$H43-1),1,""))</f>
        <v/>
      </c>
      <c r="AB43" s="69" t="str">
        <f ca="1">IF(AND($C43="Goal",AB$8&gt;=$G43,AB$8&lt;=$G43+$H43-1),2,IF(AND($C43="Milestone",AB$8&gt;=$G43,AB$8&lt;=$G43+$H43-1),1,""))</f>
        <v/>
      </c>
      <c r="AC43" s="69" t="str">
        <f ca="1">IF(AND($C43="Goal",AC$8&gt;=$G43,AC$8&lt;=$G43+$H43-1),2,IF(AND($C43="Milestone",AC$8&gt;=$G43,AC$8&lt;=$G43+$H43-1),1,""))</f>
        <v/>
      </c>
      <c r="AD43" s="69" t="str">
        <f ca="1">IF(AND($C43="Goal",AD$8&gt;=$G43,AD$8&lt;=$G43+$H43-1),2,IF(AND($C43="Milestone",AD$8&gt;=$G43,AD$8&lt;=$G43+$H43-1),1,""))</f>
        <v/>
      </c>
      <c r="AE43" s="69" t="str">
        <f ca="1">IF(AND($C43="Goal",AE$8&gt;=$G43,AE$8&lt;=$G43+$H43-1),2,IF(AND($C43="Milestone",AE$8&gt;=$G43,AE$8&lt;=$G43+$H43-1),1,""))</f>
        <v/>
      </c>
      <c r="AF43" s="69" t="str">
        <f ca="1">IF(AND($C43="Goal",AF$8&gt;=$G43,AF$8&lt;=$G43+$H43-1),2,IF(AND($C43="Milestone",AF$8&gt;=$G43,AF$8&lt;=$G43+$H43-1),1,""))</f>
        <v/>
      </c>
      <c r="AG43" s="69" t="str">
        <f ca="1">IF(AND($C43="Goal",AG$8&gt;=$G43,AG$8&lt;=$G43+$H43-1),2,IF(AND($C43="Milestone",AG$8&gt;=$G43,AG$8&lt;=$G43+$H43-1),1,""))</f>
        <v/>
      </c>
      <c r="AH43" s="69" t="str">
        <f ca="1">IF(AND($C43="Goal",AH$8&gt;=$G43,AH$8&lt;=$G43+$H43-1),2,IF(AND($C43="Milestone",AH$8&gt;=$G43,AH$8&lt;=$G43+$H43-1),1,""))</f>
        <v/>
      </c>
      <c r="AI43" s="69" t="str">
        <f ca="1">IF(AND($C43="Goal",AI$8&gt;=$G43,AI$8&lt;=$G43+$H43-1),2,IF(AND($C43="Milestone",AI$8&gt;=$G43,AI$8&lt;=$G43+$H43-1),1,""))</f>
        <v/>
      </c>
      <c r="AJ43" s="69" t="str">
        <f ca="1">IF(AND($C43="Goal",AJ$8&gt;=$G43,AJ$8&lt;=$G43+$H43-1),2,IF(AND($C43="Milestone",AJ$8&gt;=$G43,AJ$8&lt;=$G43+$H43-1),1,""))</f>
        <v/>
      </c>
      <c r="AK43" s="69" t="str">
        <f ca="1">IF(AND($C43="Goal",AK$8&gt;=$G43,AK$8&lt;=$G43+$H43-1),2,IF(AND($C43="Milestone",AK$8&gt;=$G43,AK$8&lt;=$G43+$H43-1),1,""))</f>
        <v/>
      </c>
      <c r="AL43" s="69" t="str">
        <f ca="1">IF(AND($C43="Goal",AL$8&gt;=$G43,AL$8&lt;=$G43+$H43-1),2,IF(AND($C43="Milestone",AL$8&gt;=$G43,AL$8&lt;=$G43+$H43-1),1,""))</f>
        <v/>
      </c>
      <c r="AM43" s="69" t="str">
        <f ca="1">IF(AND($C43="Goal",AM$8&gt;=$G43,AM$8&lt;=$G43+$H43-1),2,IF(AND($C43="Milestone",AM$8&gt;=$G43,AM$8&lt;=$G43+$H43-1),1,""))</f>
        <v/>
      </c>
      <c r="AN43" s="69" t="str">
        <f ca="1">IF(AND($C43="Goal",AN$8&gt;=$G43,AN$8&lt;=$G43+$H43-1),2,IF(AND($C43="Milestone",AN$8&gt;=$G43,AN$8&lt;=$G43+$H43-1),1,""))</f>
        <v/>
      </c>
      <c r="AO43" s="69" t="str">
        <f ca="1">IF(AND($C43="Goal",AO$8&gt;=$G43,AO$8&lt;=$G43+$H43-1),2,IF(AND($C43="Milestone",AO$8&gt;=$G43,AO$8&lt;=$G43+$H43-1),1,""))</f>
        <v/>
      </c>
      <c r="AP43" s="69" t="str">
        <f ca="1">IF(AND($C43="Goal",AP$8&gt;=$G43,AP$8&lt;=$G43+$H43-1),2,IF(AND($C43="Milestone",AP$8&gt;=$G43,AP$8&lt;=$G43+$H43-1),1,""))</f>
        <v/>
      </c>
      <c r="AQ43" s="69" t="str">
        <f ca="1">IF(AND($C43="Goal",AQ$8&gt;=$G43,AQ$8&lt;=$G43+$H43-1),2,IF(AND($C43="Milestone",AQ$8&gt;=$G43,AQ$8&lt;=$G43+$H43-1),1,""))</f>
        <v/>
      </c>
      <c r="AR43" s="69" t="str">
        <f ca="1">IF(AND($C43="Goal",AR$8&gt;=$G43,AR$8&lt;=$G43+$H43-1),2,IF(AND($C43="Milestone",AR$8&gt;=$G43,AR$8&lt;=$G43+$H43-1),1,""))</f>
        <v/>
      </c>
      <c r="AS43" s="69" t="str">
        <f ca="1">IF(AND($C43="Goal",AS$8&gt;=$G43,AS$8&lt;=$G43+$H43-1),2,IF(AND($C43="Milestone",AS$8&gt;=$G43,AS$8&lt;=$G43+$H43-1),1,""))</f>
        <v/>
      </c>
      <c r="AT43" s="69" t="str">
        <f ca="1">IF(AND($C43="Goal",AT$8&gt;=$G43,AT$8&lt;=$G43+$H43-1),2,IF(AND($C43="Milestone",AT$8&gt;=$G43,AT$8&lt;=$G43+$H43-1),1,""))</f>
        <v/>
      </c>
      <c r="AU43" s="69" t="str">
        <f ca="1">IF(AND($C43="Goal",AU$8&gt;=$G43,AU$8&lt;=$G43+$H43-1),2,IF(AND($C43="Milestone",AU$8&gt;=$G43,AU$8&lt;=$G43+$H43-1),1,""))</f>
        <v/>
      </c>
      <c r="AV43" s="69" t="str">
        <f ca="1">IF(AND($C43="Goal",AV$8&gt;=$G43,AV$8&lt;=$G43+$H43-1),2,IF(AND($C43="Milestone",AV$8&gt;=$G43,AV$8&lt;=$G43+$H43-1),1,""))</f>
        <v/>
      </c>
      <c r="AW43" s="69" t="str">
        <f ca="1">IF(AND($C43="Goal",AW$8&gt;=$G43,AW$8&lt;=$G43+$H43-1),2,IF(AND($C43="Milestone",AW$8&gt;=$G43,AW$8&lt;=$G43+$H43-1),1,""))</f>
        <v/>
      </c>
      <c r="AX43" s="69" t="str">
        <f ca="1">IF(AND($C43="Goal",AX$8&gt;=$G43,AX$8&lt;=$G43+$H43-1),2,IF(AND($C43="Milestone",AX$8&gt;=$G43,AX$8&lt;=$G43+$H43-1),1,""))</f>
        <v/>
      </c>
      <c r="AY43" s="69" t="str">
        <f ca="1">IF(AND($C43="Goal",AY$8&gt;=$G43,AY$8&lt;=$G43+$H43-1),2,IF(AND($C43="Milestone",AY$8&gt;=$G43,AY$8&lt;=$G43+$H43-1),1,""))</f>
        <v/>
      </c>
      <c r="AZ43" s="69" t="str">
        <f ca="1">IF(AND($C43="Goal",AZ$8&gt;=$G43,AZ$8&lt;=$G43+$H43-1),2,IF(AND($C43="Milestone",AZ$8&gt;=$G43,AZ$8&lt;=$G43+$H43-1),1,""))</f>
        <v/>
      </c>
      <c r="BA43" s="69" t="str">
        <f ca="1">IF(AND($C43="Goal",BA$8&gt;=$G43,BA$8&lt;=$G43+$H43-1),2,IF(AND($C43="Milestone",BA$8&gt;=$G43,BA$8&lt;=$G43+$H43-1),1,""))</f>
        <v/>
      </c>
      <c r="BB43" s="69" t="str">
        <f ca="1">IF(AND($C43="Goal",BB$8&gt;=$G43,BB$8&lt;=$G43+$H43-1),2,IF(AND($C43="Milestone",BB$8&gt;=$G43,BB$8&lt;=$G43+$H43-1),1,""))</f>
        <v/>
      </c>
      <c r="BC43" s="69" t="str">
        <f ca="1">IF(AND($C43="Goal",BC$8&gt;=$G43,BC$8&lt;=$G43+$H43-1),2,IF(AND($C43="Milestone",BC$8&gt;=$G43,BC$8&lt;=$G43+$H43-1),1,""))</f>
        <v/>
      </c>
      <c r="BD43" s="69" t="str">
        <f ca="1">IF(AND($C43="Goal",BD$8&gt;=$G43,BD$8&lt;=$G43+$H43-1),2,IF(AND($C43="Milestone",BD$8&gt;=$G43,BD$8&lt;=$G43+$H43-1),1,""))</f>
        <v/>
      </c>
      <c r="BE43" s="69" t="str">
        <f ca="1">IF(AND($C43="Goal",BE$8&gt;=$G43,BE$8&lt;=$G43+$H43-1),2,IF(AND($C43="Milestone",BE$8&gt;=$G43,BE$8&lt;=$G43+$H43-1),1,""))</f>
        <v/>
      </c>
      <c r="BF43" s="69" t="str">
        <f ca="1">IF(AND($C43="Goal",BF$8&gt;=$G43,BF$8&lt;=$G43+$H43-1),2,IF(AND($C43="Milestone",BF$8&gt;=$G43,BF$8&lt;=$G43+$H43-1),1,""))</f>
        <v/>
      </c>
      <c r="BG43" s="69" t="str">
        <f ca="1">IF(AND($C43="Goal",BG$8&gt;=$G43,BG$8&lt;=$G43+$H43-1),2,IF(AND($C43="Milestone",BG$8&gt;=$G43,BG$8&lt;=$G43+$H43-1),1,""))</f>
        <v/>
      </c>
      <c r="BH43" s="69" t="str">
        <f ca="1">IF(AND($C43="Goal",BH$8&gt;=$G43,BH$8&lt;=$G43+$H43-1),2,IF(AND($C43="Milestone",BH$8&gt;=$G43,BH$8&lt;=$G43+$H43-1),1,""))</f>
        <v/>
      </c>
      <c r="BI43" s="69" t="str">
        <f ca="1">IF(AND($C43="Goal",BI$8&gt;=$G43,BI$8&lt;=$G43+$H43-1),2,IF(AND($C43="Milestone",BI$8&gt;=$G43,BI$8&lt;=$G43+$H43-1),1,""))</f>
        <v/>
      </c>
      <c r="BJ43" s="69" t="str">
        <f ca="1">IF(AND($C43="Goal",BJ$8&gt;=$G43,BJ$8&lt;=$G43+$H43-1),2,IF(AND($C43="Milestone",BJ$8&gt;=$G43,BJ$8&lt;=$G43+$H43-1),1,""))</f>
        <v/>
      </c>
      <c r="BK43" s="69" t="str">
        <f ca="1">IF(AND($C43="Goal",BK$8&gt;=$G43,BK$8&lt;=$G43+$H43-1),2,IF(AND($C43="Milestone",BK$8&gt;=$G43,BK$8&lt;=$G43+$H43-1),1,""))</f>
        <v/>
      </c>
      <c r="BL43" s="69" t="str">
        <f ca="1">IF(AND($C43="Goal",BL$8&gt;=$G43,BL$8&lt;=$G43+$H43-1),2,IF(AND($C43="Milestone",BL$8&gt;=$G43,BL$8&lt;=$G43+$H43-1),1,""))</f>
        <v/>
      </c>
      <c r="BM43" s="69" t="str">
        <f ca="1">IF(AND($C43="Goal",BM$8&gt;=$G43,BM$8&lt;=$G43+$H43-1),2,IF(AND($C43="Milestone",BM$8&gt;=$G43,BM$8&lt;=$G43+$H43-1),1,""))</f>
        <v/>
      </c>
      <c r="BN43" s="69" t="str">
        <f ca="1">IF(AND($C43="Goal",BN$8&gt;=$G43,BN$8&lt;=$G43+$H43-1),2,IF(AND($C43="Milestone",BN$8&gt;=$G43,BN$8&lt;=$G43+$H43-1),1,""))</f>
        <v/>
      </c>
      <c r="BO43" s="69" t="str">
        <f ca="1">IF(AND($C43="Goal",BO$8&gt;=$G43,BO$8&lt;=$G43+$H43-1),2,IF(AND($C43="Milestone",BO$8&gt;=$G43,BO$8&lt;=$G43+$H43-1),1,""))</f>
        <v/>
      </c>
      <c r="BP43" s="69" t="str">
        <f ca="1">IF(AND($C43="Goal",BP$8&gt;=$G43,BP$8&lt;=$G43+$H43-1),2,IF(AND($C43="Milestone",BP$8&gt;=$G43,BP$8&lt;=$G43+$H43-1),1,""))</f>
        <v/>
      </c>
      <c r="BQ43" s="69" t="str">
        <f ca="1">IF(AND($C43="Goal",BQ$8&gt;=$G43,BQ$8&lt;=$G43+$H43-1),2,IF(AND($C43="Milestone",BQ$8&gt;=$G43,BQ$8&lt;=$G43+$H43-1),1,""))</f>
        <v/>
      </c>
      <c r="BR43" s="69" t="str">
        <f ca="1">IF(AND($C43="Goal",BR$8&gt;=$G43,BR$8&lt;=$G43+$H43-1),2,IF(AND($C43="Milestone",BR$8&gt;=$G43,BR$8&lt;=$G43+$H43-1),1,""))</f>
        <v/>
      </c>
      <c r="BS43" s="69" t="str">
        <f ca="1">IF(AND($C43="Goal",BS$8&gt;=$G43,BS$8&lt;=$G43+$H43-1),2,IF(AND($C43="Milestone",BS$8&gt;=$G43,BS$8&lt;=$G43+$H43-1),1,""))</f>
        <v/>
      </c>
      <c r="BT43" s="69" t="str">
        <f ca="1">IF(AND($C43="Goal",BT$8&gt;=$G43,BT$8&lt;=$G43+$H43-1),2,IF(AND($C43="Milestone",BT$8&gt;=$G43,BT$8&lt;=$G43+$H43-1),1,""))</f>
        <v/>
      </c>
      <c r="BU43" s="69" t="str">
        <f ca="1">IF(AND($C43="Goal",BU$8&gt;=$G43,BU$8&lt;=$G43+$H43-1),2,IF(AND($C43="Milestone",BU$8&gt;=$G43,BU$8&lt;=$G43+$H43-1),1,""))</f>
        <v/>
      </c>
      <c r="BV43" s="69" t="str">
        <f ca="1">IF(AND($C43="Goal",BV$8&gt;=$G43,BV$8&lt;=$G43+$H43-1),2,IF(AND($C43="Milestone",BV$8&gt;=$G43,BV$8&lt;=$G43+$H43-1),1,""))</f>
        <v/>
      </c>
      <c r="BW43" s="69" t="str">
        <f ca="1">IF(AND($C43="Goal",BW$8&gt;=$G43,BW$8&lt;=$G43+$H43-1),2,IF(AND($C43="Milestone",BW$8&gt;=$G43,BW$8&lt;=$G43+$H43-1),1,""))</f>
        <v/>
      </c>
      <c r="BX43" s="69" t="str">
        <f ca="1">IF(AND($C43="Goal",BX$8&gt;=$G43,BX$8&lt;=$G43+$H43-1),2,IF(AND($C43="Milestone",BX$8&gt;=$G43,BX$8&lt;=$G43+$H43-1),1,""))</f>
        <v/>
      </c>
      <c r="BY43" s="69" t="str">
        <f ca="1">IF(AND($C43="Goal",BY$8&gt;=$G43,BY$8&lt;=$G43+$H43-1),2,IF(AND($C43="Milestone",BY$8&gt;=$G43,BY$8&lt;=$G43+$H43-1),1,""))</f>
        <v/>
      </c>
      <c r="BZ43" s="69" t="str">
        <f ca="1">IF(AND($C43="Goal",BZ$8&gt;=$G43,BZ$8&lt;=$G43+$H43-1),2,IF(AND($C43="Milestone",BZ$8&gt;=$G43,BZ$8&lt;=$G43+$H43-1),1,""))</f>
        <v/>
      </c>
      <c r="CA43" s="69" t="str">
        <f ca="1">IF(AND($C43="Goal",CA$8&gt;=$G43,CA$8&lt;=$G43+$H43-1),2,IF(AND($C43="Milestone",CA$8&gt;=$G43,CA$8&lt;=$G43+$H43-1),1,""))</f>
        <v/>
      </c>
      <c r="CB43" s="69" t="str">
        <f ca="1">IF(AND($C43="Goal",CB$8&gt;=$G43,CB$8&lt;=$G43+$H43-1),2,IF(AND($C43="Milestone",CB$8&gt;=$G43,CB$8&lt;=$G43+$H43-1),1,""))</f>
        <v/>
      </c>
      <c r="CC43" s="69" t="str">
        <f ca="1">IF(AND($C43="Goal",CC$8&gt;=$G43,CC$8&lt;=$G43+$H43-1),2,IF(AND($C43="Milestone",CC$8&gt;=$G43,CC$8&lt;=$G43+$H43-1),1,""))</f>
        <v/>
      </c>
      <c r="CD43" s="69" t="str">
        <f ca="1">IF(AND($C43="Goal",CD$8&gt;=$G43,CD$8&lt;=$G43+$H43-1),2,IF(AND($C43="Milestone",CD$8&gt;=$G43,CD$8&lt;=$G43+$H43-1),1,""))</f>
        <v/>
      </c>
      <c r="CE43" s="69" t="str">
        <f ca="1">IF(AND($C43="Goal",CE$8&gt;=$G43,CE$8&lt;=$G43+$H43-1),2,IF(AND($C43="Milestone",CE$8&gt;=$G43,CE$8&lt;=$G43+$H43-1),1,""))</f>
        <v/>
      </c>
      <c r="CF43" s="69" t="str">
        <f ca="1">IF(AND($C43="Goal",CF$8&gt;=$G43,CF$8&lt;=$G43+$H43-1),2,IF(AND($C43="Milestone",CF$8&gt;=$G43,CF$8&lt;=$G43+$H43-1),1,""))</f>
        <v/>
      </c>
      <c r="CG43" s="69" t="str">
        <f ca="1">IF(AND($C43="Goal",CG$8&gt;=$G43,CG$8&lt;=$G43+$H43-1),2,IF(AND($C43="Milestone",CG$8&gt;=$G43,CG$8&lt;=$G43+$H43-1),1,""))</f>
        <v/>
      </c>
      <c r="CH43" s="69" t="str">
        <f ca="1">IF(AND($C43="Goal",CH$8&gt;=$G43,CH$8&lt;=$G43+$H43-1),2,IF(AND($C43="Milestone",CH$8&gt;=$G43,CH$8&lt;=$G43+$H43-1),1,""))</f>
        <v/>
      </c>
      <c r="CI43" s="69" t="str">
        <f ca="1">IF(AND($C43="Goal",CI$8&gt;=$G43,CI$8&lt;=$G43+$H43-1),2,IF(AND($C43="Milestone",CI$8&gt;=$G43,CI$8&lt;=$G43+$H43-1),1,""))</f>
        <v/>
      </c>
      <c r="CJ43" s="69" t="str">
        <f ca="1">IF(AND($C43="Goal",CJ$8&gt;=$G43,CJ$8&lt;=$G43+$H43-1),2,IF(AND($C43="Milestone",CJ$8&gt;=$G43,CJ$8&lt;=$G43+$H43-1),1,""))</f>
        <v/>
      </c>
      <c r="CK43" s="69" t="str">
        <f ca="1">IF(AND($C43="Goal",CK$8&gt;=$G43,CK$8&lt;=$G43+$H43-1),2,IF(AND($C43="Milestone",CK$8&gt;=$G43,CK$8&lt;=$G43+$H43-1),1,""))</f>
        <v/>
      </c>
      <c r="CL43" s="69" t="str">
        <f ca="1">IF(AND($C43="Goal",CL$8&gt;=$G43,CL$8&lt;=$G43+$H43-1),2,IF(AND($C43="Milestone",CL$8&gt;=$G43,CL$8&lt;=$G43+$H43-1),1,""))</f>
        <v/>
      </c>
      <c r="CM43" s="69" t="str">
        <f ca="1">IF(AND($C43="Goal",CM$8&gt;=$G43,CM$8&lt;=$G43+$H43-1),2,IF(AND($C43="Milestone",CM$8&gt;=$G43,CM$8&lt;=$G43+$H43-1),1,""))</f>
        <v/>
      </c>
      <c r="CN43" s="69" t="str">
        <f ca="1">IF(AND($C43="Goal",CN$8&gt;=$G43,CN$8&lt;=$G43+$H43-1),2,IF(AND($C43="Milestone",CN$8&gt;=$G43,CN$8&lt;=$G43+$H43-1),1,""))</f>
        <v/>
      </c>
      <c r="CO43" s="69" t="str">
        <f ca="1">IF(AND($C43="Goal",CO$8&gt;=$G43,CO$8&lt;=$G43+$H43-1),2,IF(AND($C43="Milestone",CO$8&gt;=$G43,CO$8&lt;=$G43+$H43-1),1,""))</f>
        <v/>
      </c>
      <c r="CP43" s="69" t="str">
        <f ca="1">IF(AND($C43="Goal",CP$8&gt;=$G43,CP$8&lt;=$G43+$H43-1),2,IF(AND($C43="Milestone",CP$8&gt;=$G43,CP$8&lt;=$G43+$H43-1),1,""))</f>
        <v/>
      </c>
      <c r="CQ43" s="69" t="str">
        <f ca="1">IF(AND($C43="Goal",CQ$8&gt;=$G43,CQ$8&lt;=$G43+$H43-1),2,IF(AND($C43="Milestone",CQ$8&gt;=$G43,CQ$8&lt;=$G43+$H43-1),1,""))</f>
        <v/>
      </c>
      <c r="CR43" s="69" t="str">
        <f ca="1">IF(AND($C43="Goal",CR$8&gt;=$G43,CR$8&lt;=$G43+$H43-1),2,IF(AND($C43="Milestone",CR$8&gt;=$G43,CR$8&lt;=$G43+$H43-1),1,""))</f>
        <v/>
      </c>
      <c r="CS43" s="69" t="str">
        <f ca="1">IF(AND($C43="Goal",CS$8&gt;=$G43,CS$8&lt;=$G43+$H43-1),2,IF(AND($C43="Milestone",CS$8&gt;=$G43,CS$8&lt;=$G43+$H43-1),1,""))</f>
        <v/>
      </c>
      <c r="CT43" s="69" t="str">
        <f ca="1">IF(AND($C43="Goal",CT$8&gt;=$G43,CT$8&lt;=$G43+$H43-1),2,IF(AND($C43="Milestone",CT$8&gt;=$G43,CT$8&lt;=$G43+$H43-1),1,""))</f>
        <v/>
      </c>
      <c r="CU43" s="69" t="str">
        <f ca="1">IF(AND($C43="Goal",CU$8&gt;=$G43,CU$8&lt;=$G43+$H43-1),2,IF(AND($C43="Milestone",CU$8&gt;=$G43,CU$8&lt;=$G43+$H43-1),1,""))</f>
        <v/>
      </c>
      <c r="CV43" s="69" t="str">
        <f ca="1">IF(AND($C43="Goal",CV$8&gt;=$G43,CV$8&lt;=$G43+$H43-1),2,IF(AND($C43="Milestone",CV$8&gt;=$G43,CV$8&lt;=$G43+$H43-1),1,""))</f>
        <v/>
      </c>
      <c r="CW43" s="69" t="str">
        <f ca="1">IF(AND($C43="Goal",CW$8&gt;=$G43,CW$8&lt;=$G43+$H43-1),2,IF(AND($C43="Milestone",CW$8&gt;=$G43,CW$8&lt;=$G43+$H43-1),1,""))</f>
        <v/>
      </c>
      <c r="CX43" s="69" t="str">
        <f ca="1">IF(AND($C43="Goal",CX$8&gt;=$G43,CX$8&lt;=$G43+$H43-1),2,IF(AND($C43="Milestone",CX$8&gt;=$G43,CX$8&lt;=$G43+$H43-1),1,""))</f>
        <v/>
      </c>
      <c r="CY43" s="69" t="str">
        <f ca="1">IF(AND($C43="Goal",CY$8&gt;=$G43,CY$8&lt;=$G43+$H43-1),2,IF(AND($C43="Milestone",CY$8&gt;=$G43,CY$8&lt;=$G43+$H43-1),1,""))</f>
        <v/>
      </c>
      <c r="CZ43" s="69" t="str">
        <f ca="1">IF(AND($C43="Goal",CZ$8&gt;=$G43,CZ$8&lt;=$G43+$H43-1),2,IF(AND($C43="Milestone",CZ$8&gt;=$G43,CZ$8&lt;=$G43+$H43-1),1,""))</f>
        <v/>
      </c>
      <c r="DA43" s="69" t="str">
        <f ca="1">IF(AND($C43="Goal",DA$8&gt;=$G43,DA$8&lt;=$G43+$H43-1),2,IF(AND($C43="Milestone",DA$8&gt;=$G43,DA$8&lt;=$G43+$H43-1),1,""))</f>
        <v/>
      </c>
      <c r="DB43" s="69" t="str">
        <f ca="1">IF(AND($C43="Goal",DB$8&gt;=$G43,DB$8&lt;=$G43+$H43-1),2,IF(AND($C43="Milestone",DB$8&gt;=$G43,DB$8&lt;=$G43+$H43-1),1,""))</f>
        <v/>
      </c>
      <c r="DC43" s="69" t="str">
        <f ca="1">IF(AND($C43="Goal",DC$8&gt;=$G43,DC$8&lt;=$G43+$H43-1),2,IF(AND($C43="Milestone",DC$8&gt;=$G43,DC$8&lt;=$G43+$H43-1),1,""))</f>
        <v/>
      </c>
      <c r="DD43" s="69" t="str">
        <f ca="1">IF(AND($C43="Goal",DD$8&gt;=$G43,DD$8&lt;=$G43+$H43-1),2,IF(AND($C43="Milestone",DD$8&gt;=$G43,DD$8&lt;=$G43+$H43-1),1,""))</f>
        <v/>
      </c>
      <c r="DE43" s="69" t="str">
        <f ca="1">IF(AND($C43="Goal",DE$8&gt;=$G43,DE$8&lt;=$G43+$H43-1),2,IF(AND($C43="Milestone",DE$8&gt;=$G43,DE$8&lt;=$G43+$H43-1),1,""))</f>
        <v/>
      </c>
      <c r="DF43" s="69" t="str">
        <f ca="1">IF(AND($C43="Goal",DF$8&gt;=$G43,DF$8&lt;=$G43+$H43-1),2,IF(AND($C43="Milestone",DF$8&gt;=$G43,DF$8&lt;=$G43+$H43-1),1,""))</f>
        <v/>
      </c>
      <c r="DG43" s="69" t="str">
        <f ca="1">IF(AND($C43="Goal",DG$8&gt;=$G43,DG$8&lt;=$G43+$H43-1),2,IF(AND($C43="Milestone",DG$8&gt;=$G43,DG$8&lt;=$G43+$H43-1),1,""))</f>
        <v/>
      </c>
      <c r="DH43" s="69" t="str">
        <f ca="1">IF(AND($C43="Goal",DH$8&gt;=$G43,DH$8&lt;=$G43+$H43-1),2,IF(AND($C43="Milestone",DH$8&gt;=$G43,DH$8&lt;=$G43+$H43-1),1,""))</f>
        <v/>
      </c>
      <c r="DI43" s="69" t="str">
        <f ca="1">IF(AND($C43="Goal",DI$8&gt;=$G43,DI$8&lt;=$G43+$H43-1),2,IF(AND($C43="Milestone",DI$8&gt;=$G43,DI$8&lt;=$G43+$H43-1),1,""))</f>
        <v/>
      </c>
      <c r="DJ43" s="69" t="str">
        <f ca="1">IF(AND($C43="Goal",DJ$8&gt;=$G43,DJ$8&lt;=$G43+$H43-1),2,IF(AND($C43="Milestone",DJ$8&gt;=$G43,DJ$8&lt;=$G43+$H43-1),1,""))</f>
        <v/>
      </c>
      <c r="DK43" s="69" t="str">
        <f ca="1">IF(AND($C43="Goal",DK$8&gt;=$G43,DK$8&lt;=$G43+$H43-1),2,IF(AND($C43="Milestone",DK$8&gt;=$G43,DK$8&lt;=$G43+$H43-1),1,""))</f>
        <v/>
      </c>
      <c r="DL43" s="69" t="str">
        <f ca="1">IF(AND($C43="Goal",DL$8&gt;=$G43,DL$8&lt;=$G43+$H43-1),2,IF(AND($C43="Milestone",DL$8&gt;=$G43,DL$8&lt;=$G43+$H43-1),1,""))</f>
        <v/>
      </c>
      <c r="DM43" s="69" t="str">
        <f ca="1">IF(AND($C43="Goal",DM$8&gt;=$G43,DM$8&lt;=$G43+$H43-1),2,IF(AND($C43="Milestone",DM$8&gt;=$G43,DM$8&lt;=$G43+$H43-1),1,""))</f>
        <v/>
      </c>
      <c r="DN43" s="69" t="str">
        <f ca="1">IF(AND($C43="Goal",DN$8&gt;=$G43,DN$8&lt;=$G43+$H43-1),2,IF(AND($C43="Milestone",DN$8&gt;=$G43,DN$8&lt;=$G43+$H43-1),1,""))</f>
        <v/>
      </c>
      <c r="DO43" s="69" t="str">
        <f ca="1">IF(AND($C43="Goal",DO$8&gt;=$G43,DO$8&lt;=$G43+$H43-1),2,IF(AND($C43="Milestone",DO$8&gt;=$G43,DO$8&lt;=$G43+$H43-1),1,""))</f>
        <v/>
      </c>
      <c r="DP43" s="69" t="str">
        <f ca="1">IF(AND($C43="Goal",DP$8&gt;=$G43,DP$8&lt;=$G43+$H43-1),2,IF(AND($C43="Milestone",DP$8&gt;=$G43,DP$8&lt;=$G43+$H43-1),1,""))</f>
        <v/>
      </c>
      <c r="DQ43" s="69" t="str">
        <f ca="1">IF(AND($C43="Goal",DQ$8&gt;=$G43,DQ$8&lt;=$G43+$H43-1),2,IF(AND($C43="Milestone",DQ$8&gt;=$G43,DQ$8&lt;=$G43+$H43-1),1,""))</f>
        <v/>
      </c>
      <c r="DR43" s="69" t="str">
        <f ca="1">IF(AND($C43="Goal",DR$8&gt;=$G43,DR$8&lt;=$G43+$H43-1),2,IF(AND($C43="Milestone",DR$8&gt;=$G43,DR$8&lt;=$G43+$H43-1),1,""))</f>
        <v/>
      </c>
      <c r="DS43" s="69" t="str">
        <f ca="1">IF(AND($C43="Goal",DS$8&gt;=$G43,DS$8&lt;=$G43+$H43-1),2,IF(AND($C43="Milestone",DS$8&gt;=$G43,DS$8&lt;=$G43+$H43-1),1,""))</f>
        <v/>
      </c>
      <c r="DT43" s="69" t="str">
        <f ca="1">IF(AND($C43="Goal",DT$8&gt;=$G43,DT$8&lt;=$G43+$H43-1),2,IF(AND($C43="Milestone",DT$8&gt;=$G43,DT$8&lt;=$G43+$H43-1),1,""))</f>
        <v/>
      </c>
      <c r="DU43" s="69" t="str">
        <f ca="1">IF(AND($C43="Goal",DU$8&gt;=$G43,DU$8&lt;=$G43+$H43-1),2,IF(AND($C43="Milestone",DU$8&gt;=$G43,DU$8&lt;=$G43+$H43-1),1,""))</f>
        <v/>
      </c>
      <c r="DV43" s="69" t="str">
        <f ca="1">IF(AND($C43="Goal",DV$8&gt;=$G43,DV$8&lt;=$G43+$H43-1),2,IF(AND($C43="Milestone",DV$8&gt;=$G43,DV$8&lt;=$G43+$H43-1),1,""))</f>
        <v/>
      </c>
      <c r="DW43" s="69" t="str">
        <f ca="1">IF(AND($C43="Goal",DW$8&gt;=$G43,DW$8&lt;=$G43+$H43-1),2,IF(AND($C43="Milestone",DW$8&gt;=$G43,DW$8&lt;=$G43+$H43-1),1,""))</f>
        <v/>
      </c>
      <c r="DX43" s="69" t="str">
        <f ca="1">IF(AND($C43="Goal",DX$8&gt;=$G43,DX$8&lt;=$G43+$H43-1),2,IF(AND($C43="Milestone",DX$8&gt;=$G43,DX$8&lt;=$G43+$H43-1),1,""))</f>
        <v/>
      </c>
      <c r="DY43" s="69" t="str">
        <f ca="1">IF(AND($C43="Goal",DY$8&gt;=$G43,DY$8&lt;=$G43+$H43-1),2,IF(AND($C43="Milestone",DY$8&gt;=$G43,DY$8&lt;=$G43+$H43-1),1,""))</f>
        <v/>
      </c>
      <c r="DZ43" s="69" t="str">
        <f ca="1">IF(AND($C43="Goal",DZ$8&gt;=$G43,DZ$8&lt;=$G43+$H43-1),2,IF(AND($C43="Milestone",DZ$8&gt;=$G43,DZ$8&lt;=$G43+$H43-1),1,""))</f>
        <v/>
      </c>
      <c r="EA43" s="69" t="str">
        <f ca="1">IF(AND($C43="Goal",EA$8&gt;=$G43,EA$8&lt;=$G43+$H43-1),2,IF(AND($C43="Milestone",EA$8&gt;=$G43,EA$8&lt;=$G43+$H43-1),1,""))</f>
        <v/>
      </c>
      <c r="EB43" s="69" t="str">
        <f ca="1">IF(AND($C43="Goal",EB$8&gt;=$G43,EB$8&lt;=$G43+$H43-1),2,IF(AND($C43="Milestone",EB$8&gt;=$G43,EB$8&lt;=$G43+$H43-1),1,""))</f>
        <v/>
      </c>
      <c r="EC43" s="69" t="str">
        <f ca="1">IF(AND($C43="Goal",EC$8&gt;=$G43,EC$8&lt;=$G43+$H43-1),2,IF(AND($C43="Milestone",EC$8&gt;=$G43,EC$8&lt;=$G43+$H43-1),1,""))</f>
        <v/>
      </c>
      <c r="ED43" s="69" t="str">
        <f ca="1">IF(AND($C43="Goal",ED$8&gt;=$G43,ED$8&lt;=$G43+$H43-1),2,IF(AND($C43="Milestone",ED$8&gt;=$G43,ED$8&lt;=$G43+$H43-1),1,""))</f>
        <v/>
      </c>
      <c r="EE43" s="69" t="str">
        <f ca="1">IF(AND($C43="Goal",EE$8&gt;=$G43,EE$8&lt;=$G43+$H43-1),2,IF(AND($C43="Milestone",EE$8&gt;=$G43,EE$8&lt;=$G43+$H43-1),1,""))</f>
        <v/>
      </c>
      <c r="EF43" s="69" t="str">
        <f ca="1">IF(AND($C43="Goal",EF$8&gt;=$G43,EF$8&lt;=$G43+$H43-1),2,IF(AND($C43="Milestone",EF$8&gt;=$G43,EF$8&lt;=$G43+$H43-1),1,""))</f>
        <v/>
      </c>
      <c r="EG43" s="69" t="str">
        <f ca="1">IF(AND($C43="Goal",EG$8&gt;=$G43,EG$8&lt;=$G43+$H43-1),2,IF(AND($C43="Milestone",EG$8&gt;=$G43,EG$8&lt;=$G43+$H43-1),1,""))</f>
        <v/>
      </c>
      <c r="EH43" s="69" t="str">
        <f ca="1">IF(AND($C43="Goal",EH$8&gt;=$G43,EH$8&lt;=$G43+$H43-1),2,IF(AND($C43="Milestone",EH$8&gt;=$G43,EH$8&lt;=$G43+$H43-1),1,""))</f>
        <v/>
      </c>
      <c r="EI43" s="69" t="str">
        <f ca="1">IF(AND($C43="Goal",EI$8&gt;=$G43,EI$8&lt;=$G43+$H43-1),2,IF(AND($C43="Milestone",EI$8&gt;=$G43,EI$8&lt;=$G43+$H43-1),1,""))</f>
        <v/>
      </c>
      <c r="EJ43" s="69" t="str">
        <f ca="1">IF(AND($C43="Goal",EJ$8&gt;=$G43,EJ$8&lt;=$G43+$H43-1),2,IF(AND($C43="Milestone",EJ$8&gt;=$G43,EJ$8&lt;=$G43+$H43-1),1,""))</f>
        <v/>
      </c>
      <c r="EK43" s="69" t="str">
        <f ca="1">IF(AND($C43="Goal",EK$8&gt;=$G43,EK$8&lt;=$G43+$H43-1),2,IF(AND($C43="Milestone",EK$8&gt;=$G43,EK$8&lt;=$G43+$H43-1),1,""))</f>
        <v/>
      </c>
      <c r="EL43" s="69" t="str">
        <f ca="1">IF(AND($C43="Goal",EL$8&gt;=$G43,EL$8&lt;=$G43+$H43-1),2,IF(AND($C43="Milestone",EL$8&gt;=$G43,EL$8&lt;=$G43+$H43-1),1,""))</f>
        <v/>
      </c>
      <c r="EM43" s="69" t="str">
        <f ca="1">IF(AND($C43="Goal",EM$8&gt;=$G43,EM$8&lt;=$G43+$H43-1),2,IF(AND($C43="Milestone",EM$8&gt;=$G43,EM$8&lt;=$G43+$H43-1),1,""))</f>
        <v/>
      </c>
      <c r="EN43" s="69" t="str">
        <f ca="1">IF(AND($C43="Goal",EN$8&gt;=$G43,EN$8&lt;=$G43+$H43-1),2,IF(AND($C43="Milestone",EN$8&gt;=$G43,EN$8&lt;=$G43+$H43-1),1,""))</f>
        <v/>
      </c>
      <c r="EO43" s="69" t="str">
        <f ca="1">IF(AND($C43="Goal",EO$8&gt;=$G43,EO$8&lt;=$G43+$H43-1),2,IF(AND($C43="Milestone",EO$8&gt;=$G43,EO$8&lt;=$G43+$H43-1),1,""))</f>
        <v/>
      </c>
      <c r="EP43" s="69" t="str">
        <f ca="1">IF(AND($C43="Goal",EP$8&gt;=$G43,EP$8&lt;=$G43+$H43-1),2,IF(AND($C43="Milestone",EP$8&gt;=$G43,EP$8&lt;=$G43+$H43-1),1,""))</f>
        <v/>
      </c>
      <c r="EQ43" s="69" t="str">
        <f ca="1">IF(AND($C43="Goal",EQ$8&gt;=$G43,EQ$8&lt;=$G43+$H43-1),2,IF(AND($C43="Milestone",EQ$8&gt;=$G43,EQ$8&lt;=$G43+$H43-1),1,""))</f>
        <v/>
      </c>
      <c r="ER43" s="69" t="str">
        <f ca="1">IF(AND($C43="Goal",ER$8&gt;=$G43,ER$8&lt;=$G43+$H43-1),2,IF(AND($C43="Milestone",ER$8&gt;=$G43,ER$8&lt;=$G43+$H43-1),1,""))</f>
        <v/>
      </c>
      <c r="ES43" s="69" t="str">
        <f ca="1">IF(AND($C43="Goal",ES$8&gt;=$G43,ES$8&lt;=$G43+$H43-1),2,IF(AND($C43="Milestone",ES$8&gt;=$G43,ES$8&lt;=$G43+$H43-1),1,""))</f>
        <v/>
      </c>
      <c r="ET43" s="69" t="str">
        <f ca="1">IF(AND($C43="Goal",ET$8&gt;=$G43,ET$8&lt;=$G43+$H43-1),2,IF(AND($C43="Milestone",ET$8&gt;=$G43,ET$8&lt;=$G43+$H43-1),1,""))</f>
        <v/>
      </c>
      <c r="EU43" s="69" t="str">
        <f ca="1">IF(AND($C43="Goal",EU$8&gt;=$G43,EU$8&lt;=$G43+$H43-1),2,IF(AND($C43="Milestone",EU$8&gt;=$G43,EU$8&lt;=$G43+$H43-1),1,""))</f>
        <v/>
      </c>
      <c r="EV43" s="69" t="str">
        <f ca="1">IF(AND($C43="Goal",EV$8&gt;=$G43,EV$8&lt;=$G43+$H43-1),2,IF(AND($C43="Milestone",EV$8&gt;=$G43,EV$8&lt;=$G43+$H43-1),1,""))</f>
        <v/>
      </c>
      <c r="EW43" s="69" t="str">
        <f ca="1">IF(AND($C43="Goal",EW$8&gt;=$G43,EW$8&lt;=$G43+$H43-1),2,IF(AND($C43="Milestone",EW$8&gt;=$G43,EW$8&lt;=$G43+$H43-1),1,""))</f>
        <v/>
      </c>
      <c r="EX43" s="69" t="str">
        <f ca="1">IF(AND($C43="Goal",EX$8&gt;=$G43,EX$8&lt;=$G43+$H43-1),2,IF(AND($C43="Milestone",EX$8&gt;=$G43,EX$8&lt;=$G43+$H43-1),1,""))</f>
        <v/>
      </c>
      <c r="EY43" s="69" t="str">
        <f ca="1">IF(AND($C43="Goal",EY$8&gt;=$G43,EY$8&lt;=$G43+$H43-1),2,IF(AND($C43="Milestone",EY$8&gt;=$G43,EY$8&lt;=$G43+$H43-1),1,""))</f>
        <v/>
      </c>
      <c r="EZ43" s="69" t="str">
        <f ca="1">IF(AND($C43="Goal",EZ$8&gt;=$G43,EZ$8&lt;=$G43+$H43-1),2,IF(AND($C43="Milestone",EZ$8&gt;=$G43,EZ$8&lt;=$G43+$H43-1),1,""))</f>
        <v/>
      </c>
      <c r="FA43" s="69" t="str">
        <f ca="1">IF(AND($C43="Goal",FA$8&gt;=$G43,FA$8&lt;=$G43+$H43-1),2,IF(AND($C43="Milestone",FA$8&gt;=$G43,FA$8&lt;=$G43+$H43-1),1,""))</f>
        <v/>
      </c>
      <c r="FB43" s="69" t="str">
        <f ca="1">IF(AND($C43="Goal",FB$8&gt;=$G43,FB$8&lt;=$G43+$H43-1),2,IF(AND($C43="Milestone",FB$8&gt;=$G43,FB$8&lt;=$G43+$H43-1),1,""))</f>
        <v/>
      </c>
      <c r="FC43" s="69" t="str">
        <f ca="1">IF(AND($C43="Goal",FC$8&gt;=$G43,FC$8&lt;=$G43+$H43-1),2,IF(AND($C43="Milestone",FC$8&gt;=$G43,FC$8&lt;=$G43+$H43-1),1,""))</f>
        <v/>
      </c>
      <c r="FD43" s="69" t="str">
        <f ca="1">IF(AND($C43="Goal",FD$8&gt;=$G43,FD$8&lt;=$G43+$H43-1),2,IF(AND($C43="Milestone",FD$8&gt;=$G43,FD$8&lt;=$G43+$H43-1),1,""))</f>
        <v/>
      </c>
      <c r="FE43" s="69" t="str">
        <f ca="1">IF(AND($C43="Goal",FE$8&gt;=$G43,FE$8&lt;=$G43+$H43-1),2,IF(AND($C43="Milestone",FE$8&gt;=$G43,FE$8&lt;=$G43+$H43-1),1,""))</f>
        <v/>
      </c>
      <c r="FF43" s="69" t="str">
        <f ca="1">IF(AND($C43="Goal",FF$8&gt;=$G43,FF$8&lt;=$G43+$H43-1),2,IF(AND($C43="Milestone",FF$8&gt;=$G43,FF$8&lt;=$G43+$H43-1),1,""))</f>
        <v/>
      </c>
      <c r="FG43" s="69" t="str">
        <f ca="1">IF(AND($C43="Goal",FG$8&gt;=$G43,FG$8&lt;=$G43+$H43-1),2,IF(AND($C43="Milestone",FG$8&gt;=$G43,FG$8&lt;=$G43+$H43-1),1,""))</f>
        <v/>
      </c>
      <c r="FH43" s="69" t="str">
        <f ca="1">IF(AND($C43="Goal",FH$8&gt;=$G43,FH$8&lt;=$G43+$H43-1),2,IF(AND($C43="Milestone",FH$8&gt;=$G43,FH$8&lt;=$G43+$H43-1),1,""))</f>
        <v/>
      </c>
      <c r="FI43" s="69" t="str">
        <f ca="1">IF(AND($C43="Goal",FI$8&gt;=$G43,FI$8&lt;=$G43+$H43-1),2,IF(AND($C43="Milestone",FI$8&gt;=$G43,FI$8&lt;=$G43+$H43-1),1,""))</f>
        <v/>
      </c>
      <c r="FJ43" s="69" t="str">
        <f ca="1">IF(AND($C43="Goal",FJ$8&gt;=$G43,FJ$8&lt;=$G43+$H43-1),2,IF(AND($C43="Milestone",FJ$8&gt;=$G43,FJ$8&lt;=$G43+$H43-1),1,""))</f>
        <v/>
      </c>
      <c r="FK43" s="69" t="str">
        <f ca="1">IF(AND($C43="Goal",FK$8&gt;=$G43,FK$8&lt;=$G43+$H43-1),2,IF(AND($C43="Milestone",FK$8&gt;=$G43,FK$8&lt;=$G43+$H43-1),1,""))</f>
        <v/>
      </c>
      <c r="FL43" s="69" t="str">
        <f ca="1">IF(AND($C43="Goal",FL$8&gt;=$G43,FL$8&lt;=$G43+$H43-1),2,IF(AND($C43="Milestone",FL$8&gt;=$G43,FL$8&lt;=$G43+$H43-1),1,""))</f>
        <v/>
      </c>
      <c r="FM43" s="69" t="str">
        <f ca="1">IF(AND($C43="Goal",FM$8&gt;=$G43,FM$8&lt;=$G43+$H43-1),2,IF(AND($C43="Milestone",FM$8&gt;=$G43,FM$8&lt;=$G43+$H43-1),1,""))</f>
        <v/>
      </c>
      <c r="FN43" s="69" t="str">
        <f ca="1">IF(AND($C43="Goal",FN$8&gt;=$G43,FN$8&lt;=$G43+$H43-1),2,IF(AND($C43="Milestone",FN$8&gt;=$G43,FN$8&lt;=$G43+$H43-1),1,""))</f>
        <v/>
      </c>
      <c r="FO43" s="69" t="str">
        <f ca="1">IF(AND($C43="Goal",FO$8&gt;=$G43,FO$8&lt;=$G43+$H43-1),2,IF(AND($C43="Milestone",FO$8&gt;=$G43,FO$8&lt;=$G43+$H43-1),1,""))</f>
        <v/>
      </c>
      <c r="FP43" s="69" t="str">
        <f ca="1">IF(AND($C43="Goal",FP$8&gt;=$G43,FP$8&lt;=$G43+$H43-1),2,IF(AND($C43="Milestone",FP$8&gt;=$G43,FP$8&lt;=$G43+$H43-1),1,""))</f>
        <v/>
      </c>
      <c r="FQ43" s="69" t="str">
        <f ca="1">IF(AND($C43="Goal",FQ$8&gt;=$G43,FQ$8&lt;=$G43+$H43-1),2,IF(AND($C43="Milestone",FQ$8&gt;=$G43,FQ$8&lt;=$G43+$H43-1),1,""))</f>
        <v/>
      </c>
      <c r="FR43" s="69" t="str">
        <f ca="1">IF(AND($C43="Goal",FR$8&gt;=$G43,FR$8&lt;=$G43+$H43-1),2,IF(AND($C43="Milestone",FR$8&gt;=$G43,FR$8&lt;=$G43+$H43-1),1,""))</f>
        <v/>
      </c>
      <c r="FS43" s="69" t="str">
        <f ca="1">IF(AND($C43="Goal",FS$8&gt;=$G43,FS$8&lt;=$G43+$H43-1),2,IF(AND($C43="Milestone",FS$8&gt;=$G43,FS$8&lt;=$G43+$H43-1),1,""))</f>
        <v/>
      </c>
      <c r="FT43" s="69" t="str">
        <f ca="1">IF(AND($C43="Goal",FT$8&gt;=$G43,FT$8&lt;=$G43+$H43-1),2,IF(AND($C43="Milestone",FT$8&gt;=$G43,FT$8&lt;=$G43+$H43-1),1,""))</f>
        <v/>
      </c>
      <c r="FU43" s="69" t="str">
        <f ca="1">IF(AND($C43="Goal",FU$8&gt;=$G43,FU$8&lt;=$G43+$H43-1),2,IF(AND($C43="Milestone",FU$8&gt;=$G43,FU$8&lt;=$G43+$H43-1),1,""))</f>
        <v/>
      </c>
      <c r="FV43" s="69" t="str">
        <f ca="1">IF(AND($C43="Goal",FV$8&gt;=$G43,FV$8&lt;=$G43+$H43-1),2,IF(AND($C43="Milestone",FV$8&gt;=$G43,FV$8&lt;=$G43+$H43-1),1,""))</f>
        <v/>
      </c>
      <c r="FW43" s="69" t="str">
        <f ca="1">IF(AND($C43="Goal",FW$8&gt;=$G43,FW$8&lt;=$G43+$H43-1),2,IF(AND($C43="Milestone",FW$8&gt;=$G43,FW$8&lt;=$G43+$H43-1),1,""))</f>
        <v/>
      </c>
      <c r="FX43" s="69" t="str">
        <f ca="1">IF(AND($C43="Goal",FX$8&gt;=$G43,FX$8&lt;=$G43+$H43-1),2,IF(AND($C43="Milestone",FX$8&gt;=$G43,FX$8&lt;=$G43+$H43-1),1,""))</f>
        <v/>
      </c>
      <c r="FY43" s="69" t="str">
        <f ca="1">IF(AND($C43="Goal",FY$8&gt;=$G43,FY$8&lt;=$G43+$H43-1),2,IF(AND($C43="Milestone",FY$8&gt;=$G43,FY$8&lt;=$G43+$H43-1),1,""))</f>
        <v/>
      </c>
      <c r="FZ43" s="69" t="str">
        <f ca="1">IF(AND($C43="Goal",FZ$8&gt;=$G43,FZ$8&lt;=$G43+$H43-1),2,IF(AND($C43="Milestone",FZ$8&gt;=$G43,FZ$8&lt;=$G43+$H43-1),1,""))</f>
        <v/>
      </c>
      <c r="GA43" s="69" t="str">
        <f ca="1">IF(AND($C43="Goal",GA$8&gt;=$G43,GA$8&lt;=$G43+$H43-1),2,IF(AND($C43="Milestone",GA$8&gt;=$G43,GA$8&lt;=$G43+$H43-1),1,""))</f>
        <v/>
      </c>
      <c r="GB43" s="69" t="str">
        <f ca="1">IF(AND($C43="Goal",GB$8&gt;=$G43,GB$8&lt;=$G43+$H43-1),2,IF(AND($C43="Milestone",GB$8&gt;=$G43,GB$8&lt;=$G43+$H43-1),1,""))</f>
        <v/>
      </c>
      <c r="GC43" s="69" t="str">
        <f ca="1">IF(AND($C43="Goal",GC$8&gt;=$G43,GC$8&lt;=$G43+$H43-1),2,IF(AND($C43="Milestone",GC$8&gt;=$G43,GC$8&lt;=$G43+$H43-1),1,""))</f>
        <v/>
      </c>
      <c r="GD43" s="69" t="str">
        <f ca="1">IF(AND($C43="Goal",GD$8&gt;=$G43,GD$8&lt;=$G43+$H43-1),2,IF(AND($C43="Milestone",GD$8&gt;=$G43,GD$8&lt;=$G43+$H43-1),1,""))</f>
        <v/>
      </c>
      <c r="GE43" s="69" t="str">
        <f ca="1">IF(AND($C43="Goal",GE$8&gt;=$G43,GE$8&lt;=$G43+$H43-1),2,IF(AND($C43="Milestone",GE$8&gt;=$G43,GE$8&lt;=$G43+$H43-1),1,""))</f>
        <v/>
      </c>
      <c r="GF43" s="69" t="str">
        <f ca="1">IF(AND($C43="Goal",GF$8&gt;=$G43,GF$8&lt;=$G43+$H43-1),2,IF(AND($C43="Milestone",GF$8&gt;=$G43,GF$8&lt;=$G43+$H43-1),1,""))</f>
        <v/>
      </c>
      <c r="GG43" s="69" t="str">
        <f ca="1">IF(AND($C43="Goal",GG$8&gt;=$G43,GG$8&lt;=$G43+$H43-1),2,IF(AND($C43="Milestone",GG$8&gt;=$G43,GG$8&lt;=$G43+$H43-1),1,""))</f>
        <v/>
      </c>
      <c r="GH43" s="69" t="str">
        <f ca="1">IF(AND($C43="Goal",GH$8&gt;=$G43,GH$8&lt;=$G43+$H43-1),2,IF(AND($C43="Milestone",GH$8&gt;=$G43,GH$8&lt;=$G43+$H43-1),1,""))</f>
        <v/>
      </c>
      <c r="GI43" s="69" t="str">
        <f ca="1">IF(AND($C43="Goal",GI$8&gt;=$G43,GI$8&lt;=$G43+$H43-1),2,IF(AND($C43="Milestone",GI$8&gt;=$G43,GI$8&lt;=$G43+$H43-1),1,""))</f>
        <v/>
      </c>
      <c r="GJ43" s="69" t="str">
        <f ca="1">IF(AND($C43="Goal",GJ$8&gt;=$G43,GJ$8&lt;=$G43+$H43-1),2,IF(AND($C43="Milestone",GJ$8&gt;=$G43,GJ$8&lt;=$G43+$H43-1),1,""))</f>
        <v/>
      </c>
      <c r="GK43" s="69" t="str">
        <f ca="1">IF(AND($C43="Goal",GK$8&gt;=$G43,GK$8&lt;=$G43+$H43-1),2,IF(AND($C43="Milestone",GK$8&gt;=$G43,GK$8&lt;=$G43+$H43-1),1,""))</f>
        <v/>
      </c>
      <c r="GL43" s="69" t="str">
        <f ca="1">IF(AND($C43="Goal",GL$8&gt;=$G43,GL$8&lt;=$G43+$H43-1),2,IF(AND($C43="Milestone",GL$8&gt;=$G43,GL$8&lt;=$G43+$H43-1),1,""))</f>
        <v/>
      </c>
      <c r="GM43" s="69" t="str">
        <f ca="1">IF(AND($C43="Goal",GM$8&gt;=$G43,GM$8&lt;=$G43+$H43-1),2,IF(AND($C43="Milestone",GM$8&gt;=$G43,GM$8&lt;=$G43+$H43-1),1,""))</f>
        <v/>
      </c>
      <c r="GN43" s="69" t="str">
        <f ca="1">IF(AND($C43="Goal",GN$8&gt;=$G43,GN$8&lt;=$G43+$H43-1),2,IF(AND($C43="Milestone",GN$8&gt;=$G43,GN$8&lt;=$G43+$H43-1),1,""))</f>
        <v/>
      </c>
      <c r="GO43" s="69" t="str">
        <f ca="1">IF(AND($C43="Goal",GO$8&gt;=$G43,GO$8&lt;=$G43+$H43-1),2,IF(AND($C43="Milestone",GO$8&gt;=$G43,GO$8&lt;=$G43+$H43-1),1,""))</f>
        <v/>
      </c>
      <c r="GP43" s="69" t="str">
        <f ca="1">IF(AND($C43="Goal",GP$8&gt;=$G43,GP$8&lt;=$G43+$H43-1),2,IF(AND($C43="Milestone",GP$8&gt;=$G43,GP$8&lt;=$G43+$H43-1),1,""))</f>
        <v/>
      </c>
      <c r="GQ43" s="69" t="str">
        <f ca="1">IF(AND($C43="Goal",GQ$8&gt;=$G43,GQ$8&lt;=$G43+$H43-1),2,IF(AND($C43="Milestone",GQ$8&gt;=$G43,GQ$8&lt;=$G43+$H43-1),1,""))</f>
        <v/>
      </c>
      <c r="GR43" s="69" t="str">
        <f ca="1">IF(AND($C43="Goal",GR$8&gt;=$G43,GR$8&lt;=$G43+$H43-1),2,IF(AND($C43="Milestone",GR$8&gt;=$G43,GR$8&lt;=$G43+$H43-1),1,""))</f>
        <v/>
      </c>
      <c r="GS43" s="69" t="str">
        <f ca="1">IF(AND($C43="Goal",GS$8&gt;=$G43,GS$8&lt;=$G43+$H43-1),2,IF(AND($C43="Milestone",GS$8&gt;=$G43,GS$8&lt;=$G43+$H43-1),1,""))</f>
        <v/>
      </c>
      <c r="GT43" s="69" t="str">
        <f ca="1">IF(AND($C43="Goal",GT$8&gt;=$G43,GT$8&lt;=$G43+$H43-1),2,IF(AND($C43="Milestone",GT$8&gt;=$G43,GT$8&lt;=$G43+$H43-1),1,""))</f>
        <v/>
      </c>
      <c r="GU43" s="69" t="str">
        <f ca="1">IF(AND($C43="Goal",GU$8&gt;=$G43,GU$8&lt;=$G43+$H43-1),2,IF(AND($C43="Milestone",GU$8&gt;=$G43,GU$8&lt;=$G43+$H43-1),1,""))</f>
        <v/>
      </c>
      <c r="GV43" s="69" t="str">
        <f ca="1">IF(AND($C43="Goal",GV$8&gt;=$G43,GV$8&lt;=$G43+$H43-1),2,IF(AND($C43="Milestone",GV$8&gt;=$G43,GV$8&lt;=$G43+$H43-1),1,""))</f>
        <v/>
      </c>
      <c r="GW43" s="69" t="str">
        <f ca="1">IF(AND($C43="Goal",GW$8&gt;=$G43,GW$8&lt;=$G43+$H43-1),2,IF(AND($C43="Milestone",GW$8&gt;=$G43,GW$8&lt;=$G43+$H43-1),1,""))</f>
        <v/>
      </c>
      <c r="GX43" s="69" t="str">
        <f ca="1">IF(AND($C43="Goal",GX$8&gt;=$G43,GX$8&lt;=$G43+$H43-1),2,IF(AND($C43="Milestone",GX$8&gt;=$G43,GX$8&lt;=$G43+$H43-1),1,""))</f>
        <v/>
      </c>
      <c r="GY43" s="69" t="str">
        <f ca="1">IF(AND($C43="Goal",GY$8&gt;=$G43,GY$8&lt;=$G43+$H43-1),2,IF(AND($C43="Milestone",GY$8&gt;=$G43,GY$8&lt;=$G43+$H43-1),1,""))</f>
        <v/>
      </c>
      <c r="GZ43" s="69" t="str">
        <f ca="1">IF(AND($C43="Goal",GZ$8&gt;=$G43,GZ$8&lt;=$G43+$H43-1),2,IF(AND($C43="Milestone",GZ$8&gt;=$G43,GZ$8&lt;=$G43+$H43-1),1,""))</f>
        <v/>
      </c>
      <c r="HA43" s="69" t="str">
        <f ca="1">IF(AND($C43="Goal",HA$8&gt;=$G43,HA$8&lt;=$G43+$H43-1),2,IF(AND($C43="Milestone",HA$8&gt;=$G43,HA$8&lt;=$G43+$H43-1),1,""))</f>
        <v/>
      </c>
      <c r="HB43" s="69" t="str">
        <f ca="1">IF(AND($C43="Goal",HB$8&gt;=$G43,HB$8&lt;=$G43+$H43-1),2,IF(AND($C43="Milestone",HB$8&gt;=$G43,HB$8&lt;=$G43+$H43-1),1,""))</f>
        <v/>
      </c>
      <c r="HC43" s="69" t="str">
        <f ca="1">IF(AND($C43="Goal",HC$8&gt;=$G43,HC$8&lt;=$G43+$H43-1),2,IF(AND($C43="Milestone",HC$8&gt;=$G43,HC$8&lt;=$G43+$H43-1),1,""))</f>
        <v/>
      </c>
      <c r="HD43" s="69" t="str">
        <f ca="1">IF(AND($C43="Goal",HD$8&gt;=$G43,HD$8&lt;=$G43+$H43-1),2,IF(AND($C43="Milestone",HD$8&gt;=$G43,HD$8&lt;=$G43+$H43-1),1,""))</f>
        <v/>
      </c>
      <c r="HE43" s="69" t="str">
        <f ca="1">IF(AND($C43="Goal",HE$8&gt;=$G43,HE$8&lt;=$G43+$H43-1),2,IF(AND($C43="Milestone",HE$8&gt;=$G43,HE$8&lt;=$G43+$H43-1),1,""))</f>
        <v/>
      </c>
      <c r="HF43" s="69" t="str">
        <f ca="1">IF(AND($C43="Goal",HF$8&gt;=$G43,HF$8&lt;=$G43+$H43-1),2,IF(AND($C43="Milestone",HF$8&gt;=$G43,HF$8&lt;=$G43+$H43-1),1,""))</f>
        <v/>
      </c>
      <c r="HG43" s="69" t="str">
        <f ca="1">IF(AND($C43="Goal",HG$8&gt;=$G43,HG$8&lt;=$G43+$H43-1),2,IF(AND($C43="Milestone",HG$8&gt;=$G43,HG$8&lt;=$G43+$H43-1),1,""))</f>
        <v/>
      </c>
      <c r="HH43" s="69" t="str">
        <f ca="1">IF(AND($C43="Goal",HH$8&gt;=$G43,HH$8&lt;=$G43+$H43-1),2,IF(AND($C43="Milestone",HH$8&gt;=$G43,HH$8&lt;=$G43+$H43-1),1,""))</f>
        <v/>
      </c>
      <c r="HI43" s="69" t="str">
        <f ca="1">IF(AND($C43="Goal",HI$8&gt;=$G43,HI$8&lt;=$G43+$H43-1),2,IF(AND($C43="Milestone",HI$8&gt;=$G43,HI$8&lt;=$G43+$H43-1),1,""))</f>
        <v/>
      </c>
      <c r="HJ43" s="69" t="str">
        <f ca="1">IF(AND($C43="Goal",HJ$8&gt;=$G43,HJ$8&lt;=$G43+$H43-1),2,IF(AND($C43="Milestone",HJ$8&gt;=$G43,HJ$8&lt;=$G43+$H43-1),1,""))</f>
        <v/>
      </c>
      <c r="HK43" s="69" t="str">
        <f ca="1">IF(AND($C43="Goal",HK$8&gt;=$G43,HK$8&lt;=$G43+$H43-1),2,IF(AND($C43="Milestone",HK$8&gt;=$G43,HK$8&lt;=$G43+$H43-1),1,""))</f>
        <v/>
      </c>
      <c r="HL43" s="69" t="str">
        <f ca="1">IF(AND($C43="Goal",HL$8&gt;=$G43,HL$8&lt;=$G43+$H43-1),2,IF(AND($C43="Milestone",HL$8&gt;=$G43,HL$8&lt;=$G43+$H43-1),1,""))</f>
        <v/>
      </c>
      <c r="HM43" s="69" t="str">
        <f ca="1">IF(AND($C43="Goal",HM$8&gt;=$G43,HM$8&lt;=$G43+$H43-1),2,IF(AND($C43="Milestone",HM$8&gt;=$G43,HM$8&lt;=$G43+$H43-1),1,""))</f>
        <v/>
      </c>
      <c r="HN43" s="69" t="str">
        <f ca="1">IF(AND($C43="Goal",HN$8&gt;=$G43,HN$8&lt;=$G43+$H43-1),2,IF(AND($C43="Milestone",HN$8&gt;=$G43,HN$8&lt;=$G43+$H43-1),1,""))</f>
        <v/>
      </c>
      <c r="HO43" s="69" t="str">
        <f ca="1">IF(AND($C43="Goal",HO$8&gt;=$G43,HO$8&lt;=$G43+$H43-1),2,IF(AND($C43="Milestone",HO$8&gt;=$G43,HO$8&lt;=$G43+$H43-1),1,""))</f>
        <v/>
      </c>
      <c r="HP43" s="69" t="str">
        <f ca="1">IF(AND($C43="Goal",HP$8&gt;=$G43,HP$8&lt;=$G43+$H43-1),2,IF(AND($C43="Milestone",HP$8&gt;=$G43,HP$8&lt;=$G43+$H43-1),1,""))</f>
        <v/>
      </c>
      <c r="HQ43" s="69" t="str">
        <f ca="1">IF(AND($C43="Goal",HQ$8&gt;=$G43,HQ$8&lt;=$G43+$H43-1),2,IF(AND($C43="Milestone",HQ$8&gt;=$G43,HQ$8&lt;=$G43+$H43-1),1,""))</f>
        <v/>
      </c>
      <c r="HR43" s="69" t="str">
        <f ca="1">IF(AND($C43="Goal",HR$8&gt;=$G43,HR$8&lt;=$G43+$H43-1),2,IF(AND($C43="Milestone",HR$8&gt;=$G43,HR$8&lt;=$G43+$H43-1),1,""))</f>
        <v/>
      </c>
      <c r="HS43" s="69" t="str">
        <f ca="1">IF(AND($C43="Goal",HS$8&gt;=$G43,HS$8&lt;=$G43+$H43-1),2,IF(AND($C43="Milestone",HS$8&gt;=$G43,HS$8&lt;=$G43+$H43-1),1,""))</f>
        <v/>
      </c>
      <c r="HT43" s="69" t="str">
        <f ca="1">IF(AND($C43="Goal",HT$8&gt;=$G43,HT$8&lt;=$G43+$H43-1),2,IF(AND($C43="Milestone",HT$8&gt;=$G43,HT$8&lt;=$G43+$H43-1),1,""))</f>
        <v/>
      </c>
      <c r="HU43" s="69" t="str">
        <f ca="1">IF(AND($C43="Goal",HU$8&gt;=$G43,HU$8&lt;=$G43+$H43-1),2,IF(AND($C43="Milestone",HU$8&gt;=$G43,HU$8&lt;=$G43+$H43-1),1,""))</f>
        <v/>
      </c>
      <c r="HV43" s="69" t="str">
        <f ca="1">IF(AND($C43="Goal",HV$8&gt;=$G43,HV$8&lt;=$G43+$H43-1),2,IF(AND($C43="Milestone",HV$8&gt;=$G43,HV$8&lt;=$G43+$H43-1),1,""))</f>
        <v/>
      </c>
      <c r="HW43" s="69" t="str">
        <f ca="1">IF(AND($C43="Goal",HW$8&gt;=$G43,HW$8&lt;=$G43+$H43-1),2,IF(AND($C43="Milestone",HW$8&gt;=$G43,HW$8&lt;=$G43+$H43-1),1,""))</f>
        <v/>
      </c>
      <c r="HX43" s="69" t="str">
        <f ca="1">IF(AND($C43="Goal",HX$8&gt;=$G43,HX$8&lt;=$G43+$H43-1),2,IF(AND($C43="Milestone",HX$8&gt;=$G43,HX$8&lt;=$G43+$H43-1),1,""))</f>
        <v/>
      </c>
      <c r="HY43" s="69" t="str">
        <f ca="1">IF(AND($C43="Goal",HY$8&gt;=$G43,HY$8&lt;=$G43+$H43-1),2,IF(AND($C43="Milestone",HY$8&gt;=$G43,HY$8&lt;=$G43+$H43-1),1,""))</f>
        <v/>
      </c>
      <c r="HZ43" s="69" t="str">
        <f ca="1">IF(AND($C43="Goal",HZ$8&gt;=$G43,HZ$8&lt;=$G43+$H43-1),2,IF(AND($C43="Milestone",HZ$8&gt;=$G43,HZ$8&lt;=$G43+$H43-1),1,""))</f>
        <v/>
      </c>
      <c r="IA43" s="69" t="str">
        <f ca="1">IF(AND($C43="Goal",IA$8&gt;=$G43,IA$8&lt;=$G43+$H43-1),2,IF(AND($C43="Milestone",IA$8&gt;=$G43,IA$8&lt;=$G43+$H43-1),1,""))</f>
        <v/>
      </c>
      <c r="IB43" s="69" t="str">
        <f ca="1">IF(AND($C43="Goal",IB$8&gt;=$G43,IB$8&lt;=$G43+$H43-1),2,IF(AND($C43="Milestone",IB$8&gt;=$G43,IB$8&lt;=$G43+$H43-1),1,""))</f>
        <v/>
      </c>
      <c r="IC43" s="69" t="str">
        <f ca="1">IF(AND($C43="Goal",IC$8&gt;=$G43,IC$8&lt;=$G43+$H43-1),2,IF(AND($C43="Milestone",IC$8&gt;=$G43,IC$8&lt;=$G43+$H43-1),1,""))</f>
        <v/>
      </c>
      <c r="ID43" s="69" t="str">
        <f ca="1">IF(AND($C43="Goal",ID$8&gt;=$G43,ID$8&lt;=$G43+$H43-1),2,IF(AND($C43="Milestone",ID$8&gt;=$G43,ID$8&lt;=$G43+$H43-1),1,""))</f>
        <v/>
      </c>
      <c r="IE43" s="69" t="str">
        <f ca="1">IF(AND($C43="Goal",IE$8&gt;=$G43,IE$8&lt;=$G43+$H43-1),2,IF(AND($C43="Milestone",IE$8&gt;=$G43,IE$8&lt;=$G43+$H43-1),1,""))</f>
        <v/>
      </c>
      <c r="IF43" s="69" t="str">
        <f ca="1">IF(AND($C43="Goal",IF$8&gt;=$G43,IF$8&lt;=$G43+$H43-1),2,IF(AND($C43="Milestone",IF$8&gt;=$G43,IF$8&lt;=$G43+$H43-1),1,""))</f>
        <v/>
      </c>
      <c r="IG43" s="69" t="str">
        <f ca="1">IF(AND($C43="Goal",IG$8&gt;=$G43,IG$8&lt;=$G43+$H43-1),2,IF(AND($C43="Milestone",IG$8&gt;=$G43,IG$8&lt;=$G43+$H43-1),1,""))</f>
        <v/>
      </c>
      <c r="IH43" s="69" t="str">
        <f ca="1">IF(AND($C43="Goal",IH$8&gt;=$G43,IH$8&lt;=$G43+$H43-1),2,IF(AND($C43="Milestone",IH$8&gt;=$G43,IH$8&lt;=$G43+$H43-1),1,""))</f>
        <v/>
      </c>
      <c r="II43" s="69" t="str">
        <f ca="1">IF(AND($C43="Goal",II$8&gt;=$G43,II$8&lt;=$G43+$H43-1),2,IF(AND($C43="Milestone",II$8&gt;=$G43,II$8&lt;=$G43+$H43-1),1,""))</f>
        <v/>
      </c>
      <c r="IJ43" s="69" t="str">
        <f ca="1">IF(AND($C43="Goal",IJ$8&gt;=$G43,IJ$8&lt;=$G43+$H43-1),2,IF(AND($C43="Milestone",IJ$8&gt;=$G43,IJ$8&lt;=$G43+$H43-1),1,""))</f>
        <v/>
      </c>
      <c r="IK43" s="69" t="str">
        <f ca="1">IF(AND($C43="Goal",IK$8&gt;=$G43,IK$8&lt;=$G43+$H43-1),2,IF(AND($C43="Milestone",IK$8&gt;=$G43,IK$8&lt;=$G43+$H43-1),1,""))</f>
        <v/>
      </c>
      <c r="IL43" s="69" t="str">
        <f ca="1">IF(AND($C43="Goal",IL$8&gt;=$G43,IL$8&lt;=$G43+$H43-1),2,IF(AND($C43="Milestone",IL$8&gt;=$G43,IL$8&lt;=$G43+$H43-1),1,""))</f>
        <v/>
      </c>
      <c r="IM43" s="69" t="str">
        <f ca="1">IF(AND($C43="Goal",IM$8&gt;=$G43,IM$8&lt;=$G43+$H43-1),2,IF(AND($C43="Milestone",IM$8&gt;=$G43,IM$8&lt;=$G43+$H43-1),1,""))</f>
        <v/>
      </c>
      <c r="IN43" s="69" t="str">
        <f ca="1">IF(AND($C43="Goal",IN$8&gt;=$G43,IN$8&lt;=$G43+$H43-1),2,IF(AND($C43="Milestone",IN$8&gt;=$G43,IN$8&lt;=$G43+$H43-1),1,""))</f>
        <v/>
      </c>
      <c r="IO43" s="69" t="str">
        <f ca="1">IF(AND($C43="Goal",IO$8&gt;=$G43,IO$8&lt;=$G43+$H43-1),2,IF(AND($C43="Milestone",IO$8&gt;=$G43,IO$8&lt;=$G43+$H43-1),1,""))</f>
        <v/>
      </c>
      <c r="IP43" s="69" t="str">
        <f ca="1">IF(AND($C43="Goal",IP$8&gt;=$G43,IP$8&lt;=$G43+$H43-1),2,IF(AND($C43="Milestone",IP$8&gt;=$G43,IP$8&lt;=$G43+$H43-1),1,""))</f>
        <v/>
      </c>
      <c r="IQ43" s="69" t="str">
        <f ca="1">IF(AND($C43="Goal",IQ$8&gt;=$G43,IQ$8&lt;=$G43+$H43-1),2,IF(AND($C43="Milestone",IQ$8&gt;=$G43,IQ$8&lt;=$G43+$H43-1),1,""))</f>
        <v/>
      </c>
      <c r="IR43" s="69" t="str">
        <f ca="1">IF(AND($C43="Goal",IR$8&gt;=$G43,IR$8&lt;=$G43+$H43-1),2,IF(AND($C43="Milestone",IR$8&gt;=$G43,IR$8&lt;=$G43+$H43-1),1,""))</f>
        <v/>
      </c>
      <c r="IS43" s="69" t="str">
        <f ca="1">IF(AND($C43="Goal",IS$8&gt;=$G43,IS$8&lt;=$G43+$H43-1),2,IF(AND($C43="Milestone",IS$8&gt;=$G43,IS$8&lt;=$G43+$H43-1),1,""))</f>
        <v/>
      </c>
      <c r="IT43" s="69" t="str">
        <f ca="1">IF(AND($C43="Goal",IT$8&gt;=$G43,IT$8&lt;=$G43+$H43-1),2,IF(AND($C43="Milestone",IT$8&gt;=$G43,IT$8&lt;=$G43+$H43-1),1,""))</f>
        <v/>
      </c>
      <c r="IU43" s="69" t="str">
        <f ca="1">IF(AND($C43="Goal",IU$8&gt;=$G43,IU$8&lt;=$G43+$H43-1),2,IF(AND($C43="Milestone",IU$8&gt;=$G43,IU$8&lt;=$G43+$H43-1),1,""))</f>
        <v/>
      </c>
      <c r="IV43" s="69" t="str">
        <f ca="1">IF(AND($C43="Goal",IV$8&gt;=$G43,IV$8&lt;=$G43+$H43-1),2,IF(AND($C43="Milestone",IV$8&gt;=$G43,IV$8&lt;=$G43+$H43-1),1,""))</f>
        <v/>
      </c>
      <c r="IW43" s="69" t="str">
        <f ca="1">IF(AND($C43="Goal",IW$8&gt;=$G43,IW$8&lt;=$G43+$H43-1),2,IF(AND($C43="Milestone",IW$8&gt;=$G43,IW$8&lt;=$G43+$H43-1),1,""))</f>
        <v/>
      </c>
      <c r="IX43" s="69" t="str">
        <f ca="1">IF(AND($C43="Goal",IX$8&gt;=$G43,IX$8&lt;=$G43+$H43-1),2,IF(AND($C43="Milestone",IX$8&gt;=$G43,IX$8&lt;=$G43+$H43-1),1,""))</f>
        <v/>
      </c>
      <c r="IY43" s="69" t="str">
        <f ca="1">IF(AND($C43="Goal",IY$8&gt;=$G43,IY$8&lt;=$G43+$H43-1),2,IF(AND($C43="Milestone",IY$8&gt;=$G43,IY$8&lt;=$G43+$H43-1),1,""))</f>
        <v/>
      </c>
      <c r="IZ43" s="69" t="str">
        <f ca="1">IF(AND($C43="Goal",IZ$8&gt;=$G43,IZ$8&lt;=$G43+$H43-1),2,IF(AND($C43="Milestone",IZ$8&gt;=$G43,IZ$8&lt;=$G43+$H43-1),1,""))</f>
        <v/>
      </c>
      <c r="JA43" s="69" t="str">
        <f ca="1">IF(AND($C43="Goal",JA$8&gt;=$G43,JA$8&lt;=$G43+$H43-1),2,IF(AND($C43="Milestone",JA$8&gt;=$G43,JA$8&lt;=$G43+$H43-1),1,""))</f>
        <v/>
      </c>
      <c r="JB43" s="69" t="str">
        <f ca="1">IF(AND($C43="Goal",JB$8&gt;=$G43,JB$8&lt;=$G43+$H43-1),2,IF(AND($C43="Milestone",JB$8&gt;=$G43,JB$8&lt;=$G43+$H43-1),1,""))</f>
        <v/>
      </c>
      <c r="JC43" s="69" t="str">
        <f ca="1">IF(AND($C43="Goal",JC$8&gt;=$G43,JC$8&lt;=$G43+$H43-1),2,IF(AND($C43="Milestone",JC$8&gt;=$G43,JC$8&lt;=$G43+$H43-1),1,""))</f>
        <v/>
      </c>
      <c r="JD43" s="69" t="str">
        <f ca="1">IF(AND($C43="Goal",JD$8&gt;=$G43,JD$8&lt;=$G43+$H43-1),2,IF(AND($C43="Milestone",JD$8&gt;=$G43,JD$8&lt;=$G43+$H43-1),1,""))</f>
        <v/>
      </c>
      <c r="JE43" s="69" t="str">
        <f ca="1">IF(AND($C43="Goal",JE$8&gt;=$G43,JE$8&lt;=$G43+$H43-1),2,IF(AND($C43="Milestone",JE$8&gt;=$G43,JE$8&lt;=$G43+$H43-1),1,""))</f>
        <v/>
      </c>
      <c r="JF43" s="69" t="str">
        <f ca="1">IF(AND($C43="Goal",JF$8&gt;=$G43,JF$8&lt;=$G43+$H43-1),2,IF(AND($C43="Milestone",JF$8&gt;=$G43,JF$8&lt;=$G43+$H43-1),1,""))</f>
        <v/>
      </c>
      <c r="JG43" s="69" t="str">
        <f ca="1">IF(AND($C43="Goal",JG$8&gt;=$G43,JG$8&lt;=$G43+$H43-1),2,IF(AND($C43="Milestone",JG$8&gt;=$G43,JG$8&lt;=$G43+$H43-1),1,""))</f>
        <v/>
      </c>
      <c r="JH43" s="69" t="str">
        <f ca="1">IF(AND($C43="Goal",JH$8&gt;=$G43,JH$8&lt;=$G43+$H43-1),2,IF(AND($C43="Milestone",JH$8&gt;=$G43,JH$8&lt;=$G43+$H43-1),1,""))</f>
        <v/>
      </c>
      <c r="JI43" s="69" t="str">
        <f ca="1">IF(AND($C43="Goal",JI$8&gt;=$G43,JI$8&lt;=$G43+$H43-1),2,IF(AND($C43="Milestone",JI$8&gt;=$G43,JI$8&lt;=$G43+$H43-1),1,""))</f>
        <v/>
      </c>
      <c r="JJ43" s="69" t="str">
        <f ca="1">IF(AND($C43="Goal",JJ$8&gt;=$G43,JJ$8&lt;=$G43+$H43-1),2,IF(AND($C43="Milestone",JJ$8&gt;=$G43,JJ$8&lt;=$G43+$H43-1),1,""))</f>
        <v/>
      </c>
      <c r="JK43" s="69" t="str">
        <f ca="1">IF(AND($C43="Goal",JK$8&gt;=$G43,JK$8&lt;=$G43+$H43-1),2,IF(AND($C43="Milestone",JK$8&gt;=$G43,JK$8&lt;=$G43+$H43-1),1,""))</f>
        <v/>
      </c>
      <c r="JL43" s="69" t="str">
        <f ca="1">IF(AND($C43="Goal",JL$8&gt;=$G43,JL$8&lt;=$G43+$H43-1),2,IF(AND($C43="Milestone",JL$8&gt;=$G43,JL$8&lt;=$G43+$H43-1),1,""))</f>
        <v/>
      </c>
      <c r="JM43" s="69" t="str">
        <f ca="1">IF(AND($C43="Goal",JM$8&gt;=$G43,JM$8&lt;=$G43+$H43-1),2,IF(AND($C43="Milestone",JM$8&gt;=$G43,JM$8&lt;=$G43+$H43-1),1,""))</f>
        <v/>
      </c>
      <c r="JN43" s="69" t="str">
        <f ca="1">IF(AND($C43="Goal",JN$8&gt;=$G43,JN$8&lt;=$G43+$H43-1),2,IF(AND($C43="Milestone",JN$8&gt;=$G43,JN$8&lt;=$G43+$H43-1),1,""))</f>
        <v/>
      </c>
      <c r="JO43" s="69" t="str">
        <f ca="1">IF(AND($C43="Goal",JO$8&gt;=$G43,JO$8&lt;=$G43+$H43-1),2,IF(AND($C43="Milestone",JO$8&gt;=$G43,JO$8&lt;=$G43+$H43-1),1,""))</f>
        <v/>
      </c>
      <c r="JP43" s="69" t="str">
        <f ca="1">IF(AND($C43="Goal",JP$8&gt;=$G43,JP$8&lt;=$G43+$H43-1),2,IF(AND($C43="Milestone",JP$8&gt;=$G43,JP$8&lt;=$G43+$H43-1),1,""))</f>
        <v/>
      </c>
      <c r="JQ43" s="69" t="str">
        <f ca="1">IF(AND($C43="Goal",JQ$8&gt;=$G43,JQ$8&lt;=$G43+$H43-1),2,IF(AND($C43="Milestone",JQ$8&gt;=$G43,JQ$8&lt;=$G43+$H43-1),1,""))</f>
        <v/>
      </c>
      <c r="JR43" s="69" t="str">
        <f ca="1">IF(AND($C43="Goal",JR$8&gt;=$G43,JR$8&lt;=$G43+$H43-1),2,IF(AND($C43="Milestone",JR$8&gt;=$G43,JR$8&lt;=$G43+$H43-1),1,""))</f>
        <v/>
      </c>
      <c r="JS43" s="69" t="str">
        <f ca="1">IF(AND($C43="Goal",JS$8&gt;=$G43,JS$8&lt;=$G43+$H43-1),2,IF(AND($C43="Milestone",JS$8&gt;=$G43,JS$8&lt;=$G43+$H43-1),1,""))</f>
        <v/>
      </c>
      <c r="JT43" s="69" t="str">
        <f ca="1">IF(AND($C43="Goal",JT$8&gt;=$G43,JT$8&lt;=$G43+$H43-1),2,IF(AND($C43="Milestone",JT$8&gt;=$G43,JT$8&lt;=$G43+$H43-1),1,""))</f>
        <v/>
      </c>
      <c r="JU43" s="69" t="str">
        <f ca="1">IF(AND($C43="Goal",JU$8&gt;=$G43,JU$8&lt;=$G43+$H43-1),2,IF(AND($C43="Milestone",JU$8&gt;=$G43,JU$8&lt;=$G43+$H43-1),1,""))</f>
        <v/>
      </c>
      <c r="JV43" s="69" t="str">
        <f ca="1">IF(AND($C43="Goal",JV$8&gt;=$G43,JV$8&lt;=$G43+$H43-1),2,IF(AND($C43="Milestone",JV$8&gt;=$G43,JV$8&lt;=$G43+$H43-1),1,""))</f>
        <v/>
      </c>
      <c r="JW43" s="69" t="str">
        <f ca="1">IF(AND($C43="Goal",JW$8&gt;=$G43,JW$8&lt;=$G43+$H43-1),2,IF(AND($C43="Milestone",JW$8&gt;=$G43,JW$8&lt;=$G43+$H43-1),1,""))</f>
        <v/>
      </c>
      <c r="JX43" s="69" t="str">
        <f ca="1">IF(AND($C43="Goal",JX$8&gt;=$G43,JX$8&lt;=$G43+$H43-1),2,IF(AND($C43="Milestone",JX$8&gt;=$G43,JX$8&lt;=$G43+$H43-1),1,""))</f>
        <v/>
      </c>
      <c r="JY43" s="69" t="str">
        <f ca="1">IF(AND($C43="Goal",JY$8&gt;=$G43,JY$8&lt;=$G43+$H43-1),2,IF(AND($C43="Milestone",JY$8&gt;=$G43,JY$8&lt;=$G43+$H43-1),1,""))</f>
        <v/>
      </c>
      <c r="JZ43" s="69" t="str">
        <f ca="1">IF(AND($C43="Goal",JZ$8&gt;=$G43,JZ$8&lt;=$G43+$H43-1),2,IF(AND($C43="Milestone",JZ$8&gt;=$G43,JZ$8&lt;=$G43+$H43-1),1,""))</f>
        <v/>
      </c>
      <c r="KA43" s="69" t="str">
        <f ca="1">IF(AND($C43="Goal",KA$8&gt;=$G43,KA$8&lt;=$G43+$H43-1),2,IF(AND($C43="Milestone",KA$8&gt;=$G43,KA$8&lt;=$G43+$H43-1),1,""))</f>
        <v/>
      </c>
      <c r="KB43" s="69" t="str">
        <f ca="1">IF(AND($C43="Goal",KB$8&gt;=$G43,KB$8&lt;=$G43+$H43-1),2,IF(AND($C43="Milestone",KB$8&gt;=$G43,KB$8&lt;=$G43+$H43-1),1,""))</f>
        <v/>
      </c>
      <c r="KC43" s="69" t="str">
        <f ca="1">IF(AND($C43="Goal",KC$8&gt;=$G43,KC$8&lt;=$G43+$H43-1),2,IF(AND($C43="Milestone",KC$8&gt;=$G43,KC$8&lt;=$G43+$H43-1),1,""))</f>
        <v/>
      </c>
      <c r="KD43" s="69" t="str">
        <f ca="1">IF(AND($C43="Goal",KD$8&gt;=$G43,KD$8&lt;=$G43+$H43-1),2,IF(AND($C43="Milestone",KD$8&gt;=$G43,KD$8&lt;=$G43+$H43-1),1,""))</f>
        <v/>
      </c>
      <c r="KE43" s="69" t="str">
        <f ca="1">IF(AND($C43="Goal",KE$8&gt;=$G43,KE$8&lt;=$G43+$H43-1),2,IF(AND($C43="Milestone",KE$8&gt;=$G43,KE$8&lt;=$G43+$H43-1),1,""))</f>
        <v/>
      </c>
      <c r="KF43" s="69" t="str">
        <f ca="1">IF(AND($C43="Goal",KF$8&gt;=$G43,KF$8&lt;=$G43+$H43-1),2,IF(AND($C43="Milestone",KF$8&gt;=$G43,KF$8&lt;=$G43+$H43-1),1,""))</f>
        <v/>
      </c>
      <c r="KG43" s="69" t="str">
        <f ca="1">IF(AND($C43="Goal",KG$8&gt;=$G43,KG$8&lt;=$G43+$H43-1),2,IF(AND($C43="Milestone",KG$8&gt;=$G43,KG$8&lt;=$G43+$H43-1),1,""))</f>
        <v/>
      </c>
      <c r="KH43" s="69" t="str">
        <f ca="1">IF(AND($C43="Goal",KH$8&gt;=$G43,KH$8&lt;=$G43+$H43-1),2,IF(AND($C43="Milestone",KH$8&gt;=$G43,KH$8&lt;=$G43+$H43-1),1,""))</f>
        <v/>
      </c>
      <c r="KI43" s="69" t="str">
        <f ca="1">IF(AND($C43="Goal",KI$8&gt;=$G43,KI$8&lt;=$G43+$H43-1),2,IF(AND($C43="Milestone",KI$8&gt;=$G43,KI$8&lt;=$G43+$H43-1),1,""))</f>
        <v/>
      </c>
      <c r="KJ43" s="69" t="str">
        <f ca="1">IF(AND($C43="Goal",KJ$8&gt;=$G43,KJ$8&lt;=$G43+$H43-1),2,IF(AND($C43="Milestone",KJ$8&gt;=$G43,KJ$8&lt;=$G43+$H43-1),1,""))</f>
        <v/>
      </c>
      <c r="KK43" s="69" t="str">
        <f ca="1">IF(AND($C43="Goal",KK$8&gt;=$G43,KK$8&lt;=$G43+$H43-1),2,IF(AND($C43="Milestone",KK$8&gt;=$G43,KK$8&lt;=$G43+$H43-1),1,""))</f>
        <v/>
      </c>
      <c r="KL43" s="69" t="str">
        <f ca="1">IF(AND($C43="Goal",KL$8&gt;=$G43,KL$8&lt;=$G43+$H43-1),2,IF(AND($C43="Milestone",KL$8&gt;=$G43,KL$8&lt;=$G43+$H43-1),1,""))</f>
        <v/>
      </c>
      <c r="KM43" s="69" t="str">
        <f ca="1">IF(AND($C43="Goal",KM$8&gt;=$G43,KM$8&lt;=$G43+$H43-1),2,IF(AND($C43="Milestone",KM$8&gt;=$G43,KM$8&lt;=$G43+$H43-1),1,""))</f>
        <v/>
      </c>
      <c r="KN43" s="69" t="str">
        <f ca="1">IF(AND($C43="Goal",KN$8&gt;=$G43,KN$8&lt;=$G43+$H43-1),2,IF(AND($C43="Milestone",KN$8&gt;=$G43,KN$8&lt;=$G43+$H43-1),1,""))</f>
        <v/>
      </c>
      <c r="KO43" s="69" t="str">
        <f ca="1">IF(AND($C43="Goal",KO$8&gt;=$G43,KO$8&lt;=$G43+$H43-1),2,IF(AND($C43="Milestone",KO$8&gt;=$G43,KO$8&lt;=$G43+$H43-1),1,""))</f>
        <v/>
      </c>
      <c r="KP43" s="69" t="str">
        <f ca="1">IF(AND($C43="Goal",KP$8&gt;=$G43,KP$8&lt;=$G43+$H43-1),2,IF(AND($C43="Milestone",KP$8&gt;=$G43,KP$8&lt;=$G43+$H43-1),1,""))</f>
        <v/>
      </c>
      <c r="KQ43" s="69" t="str">
        <f ca="1">IF(AND($C43="Goal",KQ$8&gt;=$G43,KQ$8&lt;=$G43+$H43-1),2,IF(AND($C43="Milestone",KQ$8&gt;=$G43,KQ$8&lt;=$G43+$H43-1),1,""))</f>
        <v/>
      </c>
      <c r="KR43" s="69" t="str">
        <f ca="1">IF(AND($C43="Goal",KR$8&gt;=$G43,KR$8&lt;=$G43+$H43-1),2,IF(AND($C43="Milestone",KR$8&gt;=$G43,KR$8&lt;=$G43+$H43-1),1,""))</f>
        <v/>
      </c>
      <c r="KS43" s="69" t="str">
        <f ca="1">IF(AND($C43="Goal",KS$8&gt;=$G43,KS$8&lt;=$G43+$H43-1),2,IF(AND($C43="Milestone",KS$8&gt;=$G43,KS$8&lt;=$G43+$H43-1),1,""))</f>
        <v/>
      </c>
      <c r="KT43" s="69" t="str">
        <f ca="1">IF(AND($C43="Goal",KT$8&gt;=$G43,KT$8&lt;=$G43+$H43-1),2,IF(AND($C43="Milestone",KT$8&gt;=$G43,KT$8&lt;=$G43+$H43-1),1,""))</f>
        <v/>
      </c>
      <c r="KU43" s="69" t="str">
        <f ca="1">IF(AND($C43="Goal",KU$8&gt;=$G43,KU$8&lt;=$G43+$H43-1),2,IF(AND($C43="Milestone",KU$8&gt;=$G43,KU$8&lt;=$G43+$H43-1),1,""))</f>
        <v/>
      </c>
      <c r="KV43" s="69" t="str">
        <f ca="1">IF(AND($C43="Goal",KV$8&gt;=$G43,KV$8&lt;=$G43+$H43-1),2,IF(AND($C43="Milestone",KV$8&gt;=$G43,KV$8&lt;=$G43+$H43-1),1,""))</f>
        <v/>
      </c>
      <c r="KW43" s="69" t="str">
        <f ca="1">IF(AND($C43="Goal",KW$8&gt;=$G43,KW$8&lt;=$G43+$H43-1),2,IF(AND($C43="Milestone",KW$8&gt;=$G43,KW$8&lt;=$G43+$H43-1),1,""))</f>
        <v/>
      </c>
      <c r="KX43" s="69" t="str">
        <f ca="1">IF(AND($C43="Goal",KX$8&gt;=$G43,KX$8&lt;=$G43+$H43-1),2,IF(AND($C43="Milestone",KX$8&gt;=$G43,KX$8&lt;=$G43+$H43-1),1,""))</f>
        <v/>
      </c>
      <c r="KY43" s="69" t="str">
        <f ca="1">IF(AND($C43="Goal",KY$8&gt;=$G43,KY$8&lt;=$G43+$H43-1),2,IF(AND($C43="Milestone",KY$8&gt;=$G43,KY$8&lt;=$G43+$H43-1),1,""))</f>
        <v/>
      </c>
      <c r="KZ43" s="69" t="str">
        <f ca="1">IF(AND($C43="Goal",KZ$8&gt;=$G43,KZ$8&lt;=$G43+$H43-1),2,IF(AND($C43="Milestone",KZ$8&gt;=$G43,KZ$8&lt;=$G43+$H43-1),1,""))</f>
        <v/>
      </c>
      <c r="LA43" s="69" t="str">
        <f ca="1">IF(AND($C43="Goal",LA$8&gt;=$G43,LA$8&lt;=$G43+$H43-1),2,IF(AND($C43="Milestone",LA$8&gt;=$G43,LA$8&lt;=$G43+$H43-1),1,""))</f>
        <v/>
      </c>
      <c r="LB43" s="69" t="str">
        <f ca="1">IF(AND($C43="Goal",LB$8&gt;=$G43,LB$8&lt;=$G43+$H43-1),2,IF(AND($C43="Milestone",LB$8&gt;=$G43,LB$8&lt;=$G43+$H43-1),1,""))</f>
        <v/>
      </c>
      <c r="LC43" s="69" t="str">
        <f ca="1">IF(AND($C43="Goal",LC$8&gt;=$G43,LC$8&lt;=$G43+$H43-1),2,IF(AND($C43="Milestone",LC$8&gt;=$G43,LC$8&lt;=$G43+$H43-1),1,""))</f>
        <v/>
      </c>
      <c r="LD43" s="69" t="str">
        <f ca="1">IF(AND($C43="Goal",LD$8&gt;=$G43,LD$8&lt;=$G43+$H43-1),2,IF(AND($C43="Milestone",LD$8&gt;=$G43,LD$8&lt;=$G43+$H43-1),1,""))</f>
        <v/>
      </c>
      <c r="LE43" s="69" t="str">
        <f ca="1">IF(AND($C43="Goal",LE$8&gt;=$G43,LE$8&lt;=$G43+$H43-1),2,IF(AND($C43="Milestone",LE$8&gt;=$G43,LE$8&lt;=$G43+$H43-1),1,""))</f>
        <v/>
      </c>
      <c r="LF43" s="69" t="str">
        <f ca="1">IF(AND($C43="Goal",LF$8&gt;=$G43,LF$8&lt;=$G43+$H43-1),2,IF(AND($C43="Milestone",LF$8&gt;=$G43,LF$8&lt;=$G43+$H43-1),1,""))</f>
        <v/>
      </c>
      <c r="LG43" s="69" t="str">
        <f ca="1">IF(AND($C43="Goal",LG$8&gt;=$G43,LG$8&lt;=$G43+$H43-1),2,IF(AND($C43="Milestone",LG$8&gt;=$G43,LG$8&lt;=$G43+$H43-1),1,""))</f>
        <v/>
      </c>
      <c r="LH43" s="69" t="str">
        <f ca="1">IF(AND($C43="Goal",LH$8&gt;=$G43,LH$8&lt;=$G43+$H43-1),2,IF(AND($C43="Milestone",LH$8&gt;=$G43,LH$8&lt;=$G43+$H43-1),1,""))</f>
        <v/>
      </c>
      <c r="LI43" s="69" t="str">
        <f ca="1">IF(AND($C43="Goal",LI$8&gt;=$G43,LI$8&lt;=$G43+$H43-1),2,IF(AND($C43="Milestone",LI$8&gt;=$G43,LI$8&lt;=$G43+$H43-1),1,""))</f>
        <v/>
      </c>
      <c r="LJ43" s="69" t="str">
        <f ca="1">IF(AND($C43="Goal",LJ$8&gt;=$G43,LJ$8&lt;=$G43+$H43-1),2,IF(AND($C43="Milestone",LJ$8&gt;=$G43,LJ$8&lt;=$G43+$H43-1),1,""))</f>
        <v/>
      </c>
      <c r="LK43" s="69" t="str">
        <f ca="1">IF(AND($C43="Goal",LK$8&gt;=$G43,LK$8&lt;=$G43+$H43-1),2,IF(AND($C43="Milestone",LK$8&gt;=$G43,LK$8&lt;=$G43+$H43-1),1,""))</f>
        <v/>
      </c>
      <c r="LL43" s="69" t="str">
        <f ca="1">IF(AND($C43="Goal",LL$8&gt;=$G43,LL$8&lt;=$G43+$H43-1),2,IF(AND($C43="Milestone",LL$8&gt;=$G43,LL$8&lt;=$G43+$H43-1),1,""))</f>
        <v/>
      </c>
      <c r="LM43" s="69" t="str">
        <f ca="1">IF(AND($C43="Goal",LM$8&gt;=$G43,LM$8&lt;=$G43+$H43-1),2,IF(AND($C43="Milestone",LM$8&gt;=$G43,LM$8&lt;=$G43+$H43-1),1,""))</f>
        <v/>
      </c>
      <c r="LN43" s="69" t="str">
        <f ca="1">IF(AND($C43="Goal",LN$8&gt;=$G43,LN$8&lt;=$G43+$H43-1),2,IF(AND($C43="Milestone",LN$8&gt;=$G43,LN$8&lt;=$G43+$H43-1),1,""))</f>
        <v/>
      </c>
      <c r="LO43" s="69" t="str">
        <f ca="1">IF(AND($C43="Goal",LO$8&gt;=$G43,LO$8&lt;=$G43+$H43-1),2,IF(AND($C43="Milestone",LO$8&gt;=$G43,LO$8&lt;=$G43+$H43-1),1,""))</f>
        <v/>
      </c>
      <c r="LP43" s="69" t="str">
        <f ca="1">IF(AND($C43="Goal",LP$8&gt;=$G43,LP$8&lt;=$G43+$H43-1),2,IF(AND($C43="Milestone",LP$8&gt;=$G43,LP$8&lt;=$G43+$H43-1),1,""))</f>
        <v/>
      </c>
      <c r="LQ43" s="69" t="str">
        <f ca="1">IF(AND($C43="Goal",LQ$8&gt;=$G43,LQ$8&lt;=$G43+$H43-1),2,IF(AND($C43="Milestone",LQ$8&gt;=$G43,LQ$8&lt;=$G43+$H43-1),1,""))</f>
        <v/>
      </c>
      <c r="LR43" s="69" t="str">
        <f ca="1">IF(AND($C43="Goal",LR$8&gt;=$G43,LR$8&lt;=$G43+$H43-1),2,IF(AND($C43="Milestone",LR$8&gt;=$G43,LR$8&lt;=$G43+$H43-1),1,""))</f>
        <v/>
      </c>
      <c r="LS43" s="69" t="str">
        <f ca="1">IF(AND($C43="Goal",LS$8&gt;=$G43,LS$8&lt;=$G43+$H43-1),2,IF(AND($C43="Milestone",LS$8&gt;=$G43,LS$8&lt;=$G43+$H43-1),1,""))</f>
        <v/>
      </c>
      <c r="LT43" s="69" t="str">
        <f ca="1">IF(AND($C43="Goal",LT$8&gt;=$G43,LT$8&lt;=$G43+$H43-1),2,IF(AND($C43="Milestone",LT$8&gt;=$G43,LT$8&lt;=$G43+$H43-1),1,""))</f>
        <v/>
      </c>
      <c r="LU43" s="69" t="str">
        <f ca="1">IF(AND($C43="Goal",LU$8&gt;=$G43,LU$8&lt;=$G43+$H43-1),2,IF(AND($C43="Milestone",LU$8&gt;=$G43,LU$8&lt;=$G43+$H43-1),1,""))</f>
        <v/>
      </c>
      <c r="LV43" s="69" t="str">
        <f ca="1">IF(AND($C43="Goal",LV$8&gt;=$G43,LV$8&lt;=$G43+$H43-1),2,IF(AND($C43="Milestone",LV$8&gt;=$G43,LV$8&lt;=$G43+$H43-1),1,""))</f>
        <v/>
      </c>
      <c r="LW43" s="69" t="str">
        <f ca="1">IF(AND($C43="Goal",LW$8&gt;=$G43,LW$8&lt;=$G43+$H43-1),2,IF(AND($C43="Milestone",LW$8&gt;=$G43,LW$8&lt;=$G43+$H43-1),1,""))</f>
        <v/>
      </c>
      <c r="LX43" s="69" t="str">
        <f ca="1">IF(AND($C43="Goal",LX$8&gt;=$G43,LX$8&lt;=$G43+$H43-1),2,IF(AND($C43="Milestone",LX$8&gt;=$G43,LX$8&lt;=$G43+$H43-1),1,""))</f>
        <v/>
      </c>
    </row>
    <row r="44" spans="1:336" s="1" customFormat="1" ht="25.25" customHeight="1" x14ac:dyDescent="0.25">
      <c r="A44" s="6"/>
      <c r="B44" s="47" t="s">
        <v>44</v>
      </c>
      <c r="C44" s="58"/>
      <c r="D44" s="58" t="str">
        <f ca="1">IF(G44="","",
IF(G44+Milestones4352[[#This Row],[Days]]="","",
IF(OR(F44=1,F44=100%),"Complete",
CHOOSE(
  1
  + --(((1-IF(F44&gt;1,F44/100,F44))*POWER(2.718281828,(60-MAX(0,G44+Milestones4352[[#This Row],[Days]]-TODAY()))/12))&gt;=0.6)
  + --(((1-IF(F44&gt;1,F44/100,F44))*POWER(2.718281828,(60-MAX(0,G44+Milestones4352[[#This Row],[Days]]-TODAY()))/12))&gt;=1.2)
  + --(((1-IF(F44&gt;1,F44/100,F44))*POWER(2.718281828,(60-MAX(0,G44+Milestones4352[[#This Row],[Days]]-TODAY()))/12))&gt;=2),
  "On track","Low risk","Medium risk","High risk"
))))</f>
        <v>On track</v>
      </c>
      <c r="E44" s="58"/>
      <c r="F44" s="56">
        <v>0</v>
      </c>
      <c r="G44" s="71">
        <f>G41+H41</f>
        <v>46139</v>
      </c>
      <c r="H44" s="57">
        <v>18</v>
      </c>
      <c r="I44" s="57">
        <f t="shared" si="207"/>
        <v>15</v>
      </c>
      <c r="J44" s="12">
        <f ca="1">IF(OR(Milestones4352[[#This Row],[Start]]="",Milestones4352[[#This Row],[Days]]=""),"",(Milestones4352[[#This Row],[Start]]+Milestones4352[[#This Row],[Days]])-TODAY())</f>
        <v>208</v>
      </c>
      <c r="K44" s="9"/>
      <c r="L44" s="69" t="str">
        <f ca="1">IF(AND($C44="Goal",L$8&gt;=$G44,L$8&lt;=$G44+$H44-1),2,IF(AND($C44="Milestone",L$8&gt;=$G44,L$8&lt;=$G44+$H44-1),1,""))</f>
        <v/>
      </c>
      <c r="M44" s="69" t="str">
        <f ca="1">IF(AND($C44="Goal",M$8&gt;=$G44,M$8&lt;=$G44+$H44-1),2,IF(AND($C44="Milestone",M$8&gt;=$G44,M$8&lt;=$G44+$H44-1),1,""))</f>
        <v/>
      </c>
      <c r="N44" s="69" t="str">
        <f ca="1">IF(AND($C44="Goal",N$8&gt;=$G44,N$8&lt;=$G44+$H44-1),2,IF(AND($C44="Milestone",N$8&gt;=$G44,N$8&lt;=$G44+$H44-1),1,""))</f>
        <v/>
      </c>
      <c r="O44" s="69" t="str">
        <f ca="1">IF(AND($C44="Goal",O$8&gt;=$G44,O$8&lt;=$G44+$H44-1),2,IF(AND($C44="Milestone",O$8&gt;=$G44,O$8&lt;=$G44+$H44-1),1,""))</f>
        <v/>
      </c>
      <c r="P44" s="69" t="str">
        <f ca="1">IF(AND($C44="Goal",P$8&gt;=$G44,P$8&lt;=$G44+$H44-1),2,IF(AND($C44="Milestone",P$8&gt;=$G44,P$8&lt;=$G44+$H44-1),1,""))</f>
        <v/>
      </c>
      <c r="Q44" s="69" t="str">
        <f ca="1">IF(AND($C44="Goal",Q$8&gt;=$G44,Q$8&lt;=$G44+$H44-1),2,IF(AND($C44="Milestone",Q$8&gt;=$G44,Q$8&lt;=$G44+$H44-1),1,""))</f>
        <v/>
      </c>
      <c r="R44" s="69" t="str">
        <f ca="1">IF(AND($C44="Goal",R$8&gt;=$G44,R$8&lt;=$G44+$H44-1),2,IF(AND($C44="Milestone",R$8&gt;=$G44,R$8&lt;=$G44+$H44-1),1,""))</f>
        <v/>
      </c>
      <c r="S44" s="69" t="str">
        <f ca="1">IF(AND($C44="Goal",S$8&gt;=$G44,S$8&lt;=$G44+$H44-1),2,IF(AND($C44="Milestone",S$8&gt;=$G44,S$8&lt;=$G44+$H44-1),1,""))</f>
        <v/>
      </c>
      <c r="T44" s="69" t="str">
        <f ca="1">IF(AND($C44="Goal",T$8&gt;=$G44,T$8&lt;=$G44+$H44-1),2,IF(AND($C44="Milestone",T$8&gt;=$G44,T$8&lt;=$G44+$H44-1),1,""))</f>
        <v/>
      </c>
      <c r="U44" s="69" t="str">
        <f ca="1">IF(AND($C44="Goal",U$8&gt;=$G44,U$8&lt;=$G44+$H44-1),2,IF(AND($C44="Milestone",U$8&gt;=$G44,U$8&lt;=$G44+$H44-1),1,""))</f>
        <v/>
      </c>
      <c r="V44" s="69" t="str">
        <f ca="1">IF(AND($C44="Goal",V$8&gt;=$G44,V$8&lt;=$G44+$H44-1),2,IF(AND($C44="Milestone",V$8&gt;=$G44,V$8&lt;=$G44+$H44-1),1,""))</f>
        <v/>
      </c>
      <c r="W44" s="69" t="str">
        <f ca="1">IF(AND($C44="Goal",W$8&gt;=$G44,W$8&lt;=$G44+$H44-1),2,IF(AND($C44="Milestone",W$8&gt;=$G44,W$8&lt;=$G44+$H44-1),1,""))</f>
        <v/>
      </c>
      <c r="X44" s="69" t="str">
        <f ca="1">IF(AND($C44="Goal",X$8&gt;=$G44,X$8&lt;=$G44+$H44-1),2,IF(AND($C44="Milestone",X$8&gt;=$G44,X$8&lt;=$G44+$H44-1),1,""))</f>
        <v/>
      </c>
      <c r="Y44" s="69" t="str">
        <f ca="1">IF(AND($C44="Goal",Y$8&gt;=$G44,Y$8&lt;=$G44+$H44-1),2,IF(AND($C44="Milestone",Y$8&gt;=$G44,Y$8&lt;=$G44+$H44-1),1,""))</f>
        <v/>
      </c>
      <c r="Z44" s="69" t="str">
        <f ca="1">IF(AND($C44="Goal",Z$8&gt;=$G44,Z$8&lt;=$G44+$H44-1),2,IF(AND($C44="Milestone",Z$8&gt;=$G44,Z$8&lt;=$G44+$H44-1),1,""))</f>
        <v/>
      </c>
      <c r="AA44" s="69" t="str">
        <f ca="1">IF(AND($C44="Goal",AA$8&gt;=$G44,AA$8&lt;=$G44+$H44-1),2,IF(AND($C44="Milestone",AA$8&gt;=$G44,AA$8&lt;=$G44+$H44-1),1,""))</f>
        <v/>
      </c>
      <c r="AB44" s="69" t="str">
        <f ca="1">IF(AND($C44="Goal",AB$8&gt;=$G44,AB$8&lt;=$G44+$H44-1),2,IF(AND($C44="Milestone",AB$8&gt;=$G44,AB$8&lt;=$G44+$H44-1),1,""))</f>
        <v/>
      </c>
      <c r="AC44" s="69" t="str">
        <f ca="1">IF(AND($C44="Goal",AC$8&gt;=$G44,AC$8&lt;=$G44+$H44-1),2,IF(AND($C44="Milestone",AC$8&gt;=$G44,AC$8&lt;=$G44+$H44-1),1,""))</f>
        <v/>
      </c>
      <c r="AD44" s="69" t="str">
        <f ca="1">IF(AND($C44="Goal",AD$8&gt;=$G44,AD$8&lt;=$G44+$H44-1),2,IF(AND($C44="Milestone",AD$8&gt;=$G44,AD$8&lt;=$G44+$H44-1),1,""))</f>
        <v/>
      </c>
      <c r="AE44" s="69" t="str">
        <f ca="1">IF(AND($C44="Goal",AE$8&gt;=$G44,AE$8&lt;=$G44+$H44-1),2,IF(AND($C44="Milestone",AE$8&gt;=$G44,AE$8&lt;=$G44+$H44-1),1,""))</f>
        <v/>
      </c>
      <c r="AF44" s="69" t="str">
        <f ca="1">IF(AND($C44="Goal",AF$8&gt;=$G44,AF$8&lt;=$G44+$H44-1),2,IF(AND($C44="Milestone",AF$8&gt;=$G44,AF$8&lt;=$G44+$H44-1),1,""))</f>
        <v/>
      </c>
      <c r="AG44" s="69" t="str">
        <f ca="1">IF(AND($C44="Goal",AG$8&gt;=$G44,AG$8&lt;=$G44+$H44-1),2,IF(AND($C44="Milestone",AG$8&gt;=$G44,AG$8&lt;=$G44+$H44-1),1,""))</f>
        <v/>
      </c>
      <c r="AH44" s="69" t="str">
        <f ca="1">IF(AND($C44="Goal",AH$8&gt;=$G44,AH$8&lt;=$G44+$H44-1),2,IF(AND($C44="Milestone",AH$8&gt;=$G44,AH$8&lt;=$G44+$H44-1),1,""))</f>
        <v/>
      </c>
      <c r="AI44" s="69" t="str">
        <f ca="1">IF(AND($C44="Goal",AI$8&gt;=$G44,AI$8&lt;=$G44+$H44-1),2,IF(AND($C44="Milestone",AI$8&gt;=$G44,AI$8&lt;=$G44+$H44-1),1,""))</f>
        <v/>
      </c>
      <c r="AJ44" s="69" t="str">
        <f ca="1">IF(AND($C44="Goal",AJ$8&gt;=$G44,AJ$8&lt;=$G44+$H44-1),2,IF(AND($C44="Milestone",AJ$8&gt;=$G44,AJ$8&lt;=$G44+$H44-1),1,""))</f>
        <v/>
      </c>
      <c r="AK44" s="69" t="str">
        <f ca="1">IF(AND($C44="Goal",AK$8&gt;=$G44,AK$8&lt;=$G44+$H44-1),2,IF(AND($C44="Milestone",AK$8&gt;=$G44,AK$8&lt;=$G44+$H44-1),1,""))</f>
        <v/>
      </c>
      <c r="AL44" s="69" t="str">
        <f ca="1">IF(AND($C44="Goal",AL$8&gt;=$G44,AL$8&lt;=$G44+$H44-1),2,IF(AND($C44="Milestone",AL$8&gt;=$G44,AL$8&lt;=$G44+$H44-1),1,""))</f>
        <v/>
      </c>
      <c r="AM44" s="69" t="str">
        <f ca="1">IF(AND($C44="Goal",AM$8&gt;=$G44,AM$8&lt;=$G44+$H44-1),2,IF(AND($C44="Milestone",AM$8&gt;=$G44,AM$8&lt;=$G44+$H44-1),1,""))</f>
        <v/>
      </c>
      <c r="AN44" s="69" t="str">
        <f ca="1">IF(AND($C44="Goal",AN$8&gt;=$G44,AN$8&lt;=$G44+$H44-1),2,IF(AND($C44="Milestone",AN$8&gt;=$G44,AN$8&lt;=$G44+$H44-1),1,""))</f>
        <v/>
      </c>
      <c r="AO44" s="69" t="str">
        <f ca="1">IF(AND($C44="Goal",AO$8&gt;=$G44,AO$8&lt;=$G44+$H44-1),2,IF(AND($C44="Milestone",AO$8&gt;=$G44,AO$8&lt;=$G44+$H44-1),1,""))</f>
        <v/>
      </c>
      <c r="AP44" s="69" t="str">
        <f ca="1">IF(AND($C44="Goal",AP$8&gt;=$G44,AP$8&lt;=$G44+$H44-1),2,IF(AND($C44="Milestone",AP$8&gt;=$G44,AP$8&lt;=$G44+$H44-1),1,""))</f>
        <v/>
      </c>
      <c r="AQ44" s="69" t="str">
        <f ca="1">IF(AND($C44="Goal",AQ$8&gt;=$G44,AQ$8&lt;=$G44+$H44-1),2,IF(AND($C44="Milestone",AQ$8&gt;=$G44,AQ$8&lt;=$G44+$H44-1),1,""))</f>
        <v/>
      </c>
      <c r="AR44" s="69" t="str">
        <f ca="1">IF(AND($C44="Goal",AR$8&gt;=$G44,AR$8&lt;=$G44+$H44-1),2,IF(AND($C44="Milestone",AR$8&gt;=$G44,AR$8&lt;=$G44+$H44-1),1,""))</f>
        <v/>
      </c>
      <c r="AS44" s="69" t="str">
        <f ca="1">IF(AND($C44="Goal",AS$8&gt;=$G44,AS$8&lt;=$G44+$H44-1),2,IF(AND($C44="Milestone",AS$8&gt;=$G44,AS$8&lt;=$G44+$H44-1),1,""))</f>
        <v/>
      </c>
      <c r="AT44" s="69" t="str">
        <f ca="1">IF(AND($C44="Goal",AT$8&gt;=$G44,AT$8&lt;=$G44+$H44-1),2,IF(AND($C44="Milestone",AT$8&gt;=$G44,AT$8&lt;=$G44+$H44-1),1,""))</f>
        <v/>
      </c>
      <c r="AU44" s="69" t="str">
        <f ca="1">IF(AND($C44="Goal",AU$8&gt;=$G44,AU$8&lt;=$G44+$H44-1),2,IF(AND($C44="Milestone",AU$8&gt;=$G44,AU$8&lt;=$G44+$H44-1),1,""))</f>
        <v/>
      </c>
      <c r="AV44" s="69" t="str">
        <f ca="1">IF(AND($C44="Goal",AV$8&gt;=$G44,AV$8&lt;=$G44+$H44-1),2,IF(AND($C44="Milestone",AV$8&gt;=$G44,AV$8&lt;=$G44+$H44-1),1,""))</f>
        <v/>
      </c>
      <c r="AW44" s="69" t="str">
        <f ca="1">IF(AND($C44="Goal",AW$8&gt;=$G44,AW$8&lt;=$G44+$H44-1),2,IF(AND($C44="Milestone",AW$8&gt;=$G44,AW$8&lt;=$G44+$H44-1),1,""))</f>
        <v/>
      </c>
      <c r="AX44" s="69" t="str">
        <f ca="1">IF(AND($C44="Goal",AX$8&gt;=$G44,AX$8&lt;=$G44+$H44-1),2,IF(AND($C44="Milestone",AX$8&gt;=$G44,AX$8&lt;=$G44+$H44-1),1,""))</f>
        <v/>
      </c>
      <c r="AY44" s="69" t="str">
        <f ca="1">IF(AND($C44="Goal",AY$8&gt;=$G44,AY$8&lt;=$G44+$H44-1),2,IF(AND($C44="Milestone",AY$8&gt;=$G44,AY$8&lt;=$G44+$H44-1),1,""))</f>
        <v/>
      </c>
      <c r="AZ44" s="69" t="str">
        <f ca="1">IF(AND($C44="Goal",AZ$8&gt;=$G44,AZ$8&lt;=$G44+$H44-1),2,IF(AND($C44="Milestone",AZ$8&gt;=$G44,AZ$8&lt;=$G44+$H44-1),1,""))</f>
        <v/>
      </c>
      <c r="BA44" s="69" t="str">
        <f ca="1">IF(AND($C44="Goal",BA$8&gt;=$G44,BA$8&lt;=$G44+$H44-1),2,IF(AND($C44="Milestone",BA$8&gt;=$G44,BA$8&lt;=$G44+$H44-1),1,""))</f>
        <v/>
      </c>
      <c r="BB44" s="69" t="str">
        <f ca="1">IF(AND($C44="Goal",BB$8&gt;=$G44,BB$8&lt;=$G44+$H44-1),2,IF(AND($C44="Milestone",BB$8&gt;=$G44,BB$8&lt;=$G44+$H44-1),1,""))</f>
        <v/>
      </c>
      <c r="BC44" s="69" t="str">
        <f ca="1">IF(AND($C44="Goal",BC$8&gt;=$G44,BC$8&lt;=$G44+$H44-1),2,IF(AND($C44="Milestone",BC$8&gt;=$G44,BC$8&lt;=$G44+$H44-1),1,""))</f>
        <v/>
      </c>
      <c r="BD44" s="69" t="str">
        <f ca="1">IF(AND($C44="Goal",BD$8&gt;=$G44,BD$8&lt;=$G44+$H44-1),2,IF(AND($C44="Milestone",BD$8&gt;=$G44,BD$8&lt;=$G44+$H44-1),1,""))</f>
        <v/>
      </c>
      <c r="BE44" s="69" t="str">
        <f ca="1">IF(AND($C44="Goal",BE$8&gt;=$G44,BE$8&lt;=$G44+$H44-1),2,IF(AND($C44="Milestone",BE$8&gt;=$G44,BE$8&lt;=$G44+$H44-1),1,""))</f>
        <v/>
      </c>
      <c r="BF44" s="69" t="str">
        <f ca="1">IF(AND($C44="Goal",BF$8&gt;=$G44,BF$8&lt;=$G44+$H44-1),2,IF(AND($C44="Milestone",BF$8&gt;=$G44,BF$8&lt;=$G44+$H44-1),1,""))</f>
        <v/>
      </c>
      <c r="BG44" s="69" t="str">
        <f ca="1">IF(AND($C44="Goal",BG$8&gt;=$G44,BG$8&lt;=$G44+$H44-1),2,IF(AND($C44="Milestone",BG$8&gt;=$G44,BG$8&lt;=$G44+$H44-1),1,""))</f>
        <v/>
      </c>
      <c r="BH44" s="69" t="str">
        <f ca="1">IF(AND($C44="Goal",BH$8&gt;=$G44,BH$8&lt;=$G44+$H44-1),2,IF(AND($C44="Milestone",BH$8&gt;=$G44,BH$8&lt;=$G44+$H44-1),1,""))</f>
        <v/>
      </c>
      <c r="BI44" s="69" t="str">
        <f ca="1">IF(AND($C44="Goal",BI$8&gt;=$G44,BI$8&lt;=$G44+$H44-1),2,IF(AND($C44="Milestone",BI$8&gt;=$G44,BI$8&lt;=$G44+$H44-1),1,""))</f>
        <v/>
      </c>
      <c r="BJ44" s="69" t="str">
        <f ca="1">IF(AND($C44="Goal",BJ$8&gt;=$G44,BJ$8&lt;=$G44+$H44-1),2,IF(AND($C44="Milestone",BJ$8&gt;=$G44,BJ$8&lt;=$G44+$H44-1),1,""))</f>
        <v/>
      </c>
      <c r="BK44" s="69" t="str">
        <f ca="1">IF(AND($C44="Goal",BK$8&gt;=$G44,BK$8&lt;=$G44+$H44-1),2,IF(AND($C44="Milestone",BK$8&gt;=$G44,BK$8&lt;=$G44+$H44-1),1,""))</f>
        <v/>
      </c>
      <c r="BL44" s="69" t="str">
        <f ca="1">IF(AND($C44="Goal",BL$8&gt;=$G44,BL$8&lt;=$G44+$H44-1),2,IF(AND($C44="Milestone",BL$8&gt;=$G44,BL$8&lt;=$G44+$H44-1),1,""))</f>
        <v/>
      </c>
      <c r="BM44" s="69" t="str">
        <f ca="1">IF(AND($C44="Goal",BM$8&gt;=$G44,BM$8&lt;=$G44+$H44-1),2,IF(AND($C44="Milestone",BM$8&gt;=$G44,BM$8&lt;=$G44+$H44-1),1,""))</f>
        <v/>
      </c>
      <c r="BN44" s="69" t="str">
        <f ca="1">IF(AND($C44="Goal",BN$8&gt;=$G44,BN$8&lt;=$G44+$H44-1),2,IF(AND($C44="Milestone",BN$8&gt;=$G44,BN$8&lt;=$G44+$H44-1),1,""))</f>
        <v/>
      </c>
      <c r="BO44" s="69" t="str">
        <f ca="1">IF(AND($C44="Goal",BO$8&gt;=$G44,BO$8&lt;=$G44+$H44-1),2,IF(AND($C44="Milestone",BO$8&gt;=$G44,BO$8&lt;=$G44+$H44-1),1,""))</f>
        <v/>
      </c>
      <c r="BP44" s="69" t="str">
        <f ca="1">IF(AND($C44="Goal",BP$8&gt;=$G44,BP$8&lt;=$G44+$H44-1),2,IF(AND($C44="Milestone",BP$8&gt;=$G44,BP$8&lt;=$G44+$H44-1),1,""))</f>
        <v/>
      </c>
      <c r="BQ44" s="69" t="str">
        <f ca="1">IF(AND($C44="Goal",BQ$8&gt;=$G44,BQ$8&lt;=$G44+$H44-1),2,IF(AND($C44="Milestone",BQ$8&gt;=$G44,BQ$8&lt;=$G44+$H44-1),1,""))</f>
        <v/>
      </c>
      <c r="BR44" s="69" t="str">
        <f ca="1">IF(AND($C44="Goal",BR$8&gt;=$G44,BR$8&lt;=$G44+$H44-1),2,IF(AND($C44="Milestone",BR$8&gt;=$G44,BR$8&lt;=$G44+$H44-1),1,""))</f>
        <v/>
      </c>
      <c r="BS44" s="69" t="str">
        <f ca="1">IF(AND($C44="Goal",BS$8&gt;=$G44,BS$8&lt;=$G44+$H44-1),2,IF(AND($C44="Milestone",BS$8&gt;=$G44,BS$8&lt;=$G44+$H44-1),1,""))</f>
        <v/>
      </c>
      <c r="BT44" s="69" t="str">
        <f ca="1">IF(AND($C44="Goal",BT$8&gt;=$G44,BT$8&lt;=$G44+$H44-1),2,IF(AND($C44="Milestone",BT$8&gt;=$G44,BT$8&lt;=$G44+$H44-1),1,""))</f>
        <v/>
      </c>
      <c r="BU44" s="69" t="str">
        <f ca="1">IF(AND($C44="Goal",BU$8&gt;=$G44,BU$8&lt;=$G44+$H44-1),2,IF(AND($C44="Milestone",BU$8&gt;=$G44,BU$8&lt;=$G44+$H44-1),1,""))</f>
        <v/>
      </c>
      <c r="BV44" s="69" t="str">
        <f ca="1">IF(AND($C44="Goal",BV$8&gt;=$G44,BV$8&lt;=$G44+$H44-1),2,IF(AND($C44="Milestone",BV$8&gt;=$G44,BV$8&lt;=$G44+$H44-1),1,""))</f>
        <v/>
      </c>
      <c r="BW44" s="69" t="str">
        <f ca="1">IF(AND($C44="Goal",BW$8&gt;=$G44,BW$8&lt;=$G44+$H44-1),2,IF(AND($C44="Milestone",BW$8&gt;=$G44,BW$8&lt;=$G44+$H44-1),1,""))</f>
        <v/>
      </c>
      <c r="BX44" s="69" t="str">
        <f ca="1">IF(AND($C44="Goal",BX$8&gt;=$G44,BX$8&lt;=$G44+$H44-1),2,IF(AND($C44="Milestone",BX$8&gt;=$G44,BX$8&lt;=$G44+$H44-1),1,""))</f>
        <v/>
      </c>
      <c r="BY44" s="69" t="str">
        <f ca="1">IF(AND($C44="Goal",BY$8&gt;=$G44,BY$8&lt;=$G44+$H44-1),2,IF(AND($C44="Milestone",BY$8&gt;=$G44,BY$8&lt;=$G44+$H44-1),1,""))</f>
        <v/>
      </c>
      <c r="BZ44" s="69" t="str">
        <f ca="1">IF(AND($C44="Goal",BZ$8&gt;=$G44,BZ$8&lt;=$G44+$H44-1),2,IF(AND($C44="Milestone",BZ$8&gt;=$G44,BZ$8&lt;=$G44+$H44-1),1,""))</f>
        <v/>
      </c>
      <c r="CA44" s="69" t="str">
        <f ca="1">IF(AND($C44="Goal",CA$8&gt;=$G44,CA$8&lt;=$G44+$H44-1),2,IF(AND($C44="Milestone",CA$8&gt;=$G44,CA$8&lt;=$G44+$H44-1),1,""))</f>
        <v/>
      </c>
      <c r="CB44" s="69" t="str">
        <f ca="1">IF(AND($C44="Goal",CB$8&gt;=$G44,CB$8&lt;=$G44+$H44-1),2,IF(AND($C44="Milestone",CB$8&gt;=$G44,CB$8&lt;=$G44+$H44-1),1,""))</f>
        <v/>
      </c>
      <c r="CC44" s="69" t="str">
        <f ca="1">IF(AND($C44="Goal",CC$8&gt;=$G44,CC$8&lt;=$G44+$H44-1),2,IF(AND($C44="Milestone",CC$8&gt;=$G44,CC$8&lt;=$G44+$H44-1),1,""))</f>
        <v/>
      </c>
      <c r="CD44" s="69" t="str">
        <f ca="1">IF(AND($C44="Goal",CD$8&gt;=$G44,CD$8&lt;=$G44+$H44-1),2,IF(AND($C44="Milestone",CD$8&gt;=$G44,CD$8&lt;=$G44+$H44-1),1,""))</f>
        <v/>
      </c>
      <c r="CE44" s="69" t="str">
        <f ca="1">IF(AND($C44="Goal",CE$8&gt;=$G44,CE$8&lt;=$G44+$H44-1),2,IF(AND($C44="Milestone",CE$8&gt;=$G44,CE$8&lt;=$G44+$H44-1),1,""))</f>
        <v/>
      </c>
      <c r="CF44" s="69" t="str">
        <f ca="1">IF(AND($C44="Goal",CF$8&gt;=$G44,CF$8&lt;=$G44+$H44-1),2,IF(AND($C44="Milestone",CF$8&gt;=$G44,CF$8&lt;=$G44+$H44-1),1,""))</f>
        <v/>
      </c>
      <c r="CG44" s="69" t="str">
        <f ca="1">IF(AND($C44="Goal",CG$8&gt;=$G44,CG$8&lt;=$G44+$H44-1),2,IF(AND($C44="Milestone",CG$8&gt;=$G44,CG$8&lt;=$G44+$H44-1),1,""))</f>
        <v/>
      </c>
      <c r="CH44" s="69" t="str">
        <f ca="1">IF(AND($C44="Goal",CH$8&gt;=$G44,CH$8&lt;=$G44+$H44-1),2,IF(AND($C44="Milestone",CH$8&gt;=$G44,CH$8&lt;=$G44+$H44-1),1,""))</f>
        <v/>
      </c>
      <c r="CI44" s="69" t="str">
        <f ca="1">IF(AND($C44="Goal",CI$8&gt;=$G44,CI$8&lt;=$G44+$H44-1),2,IF(AND($C44="Milestone",CI$8&gt;=$G44,CI$8&lt;=$G44+$H44-1),1,""))</f>
        <v/>
      </c>
      <c r="CJ44" s="69" t="str">
        <f ca="1">IF(AND($C44="Goal",CJ$8&gt;=$G44,CJ$8&lt;=$G44+$H44-1),2,IF(AND($C44="Milestone",CJ$8&gt;=$G44,CJ$8&lt;=$G44+$H44-1),1,""))</f>
        <v/>
      </c>
      <c r="CK44" s="69" t="str">
        <f ca="1">IF(AND($C44="Goal",CK$8&gt;=$G44,CK$8&lt;=$G44+$H44-1),2,IF(AND($C44="Milestone",CK$8&gt;=$G44,CK$8&lt;=$G44+$H44-1),1,""))</f>
        <v/>
      </c>
      <c r="CL44" s="69" t="str">
        <f ca="1">IF(AND($C44="Goal",CL$8&gt;=$G44,CL$8&lt;=$G44+$H44-1),2,IF(AND($C44="Milestone",CL$8&gt;=$G44,CL$8&lt;=$G44+$H44-1),1,""))</f>
        <v/>
      </c>
      <c r="CM44" s="69" t="str">
        <f ca="1">IF(AND($C44="Goal",CM$8&gt;=$G44,CM$8&lt;=$G44+$H44-1),2,IF(AND($C44="Milestone",CM$8&gt;=$G44,CM$8&lt;=$G44+$H44-1),1,""))</f>
        <v/>
      </c>
      <c r="CN44" s="69" t="str">
        <f ca="1">IF(AND($C44="Goal",CN$8&gt;=$G44,CN$8&lt;=$G44+$H44-1),2,IF(AND($C44="Milestone",CN$8&gt;=$G44,CN$8&lt;=$G44+$H44-1),1,""))</f>
        <v/>
      </c>
      <c r="CO44" s="69" t="str">
        <f ca="1">IF(AND($C44="Goal",CO$8&gt;=$G44,CO$8&lt;=$G44+$H44-1),2,IF(AND($C44="Milestone",CO$8&gt;=$G44,CO$8&lt;=$G44+$H44-1),1,""))</f>
        <v/>
      </c>
      <c r="CP44" s="69" t="str">
        <f ca="1">IF(AND($C44="Goal",CP$8&gt;=$G44,CP$8&lt;=$G44+$H44-1),2,IF(AND($C44="Milestone",CP$8&gt;=$G44,CP$8&lt;=$G44+$H44-1),1,""))</f>
        <v/>
      </c>
      <c r="CQ44" s="69" t="str">
        <f ca="1">IF(AND($C44="Goal",CQ$8&gt;=$G44,CQ$8&lt;=$G44+$H44-1),2,IF(AND($C44="Milestone",CQ$8&gt;=$G44,CQ$8&lt;=$G44+$H44-1),1,""))</f>
        <v/>
      </c>
      <c r="CR44" s="69" t="str">
        <f ca="1">IF(AND($C44="Goal",CR$8&gt;=$G44,CR$8&lt;=$G44+$H44-1),2,IF(AND($C44="Milestone",CR$8&gt;=$G44,CR$8&lt;=$G44+$H44-1),1,""))</f>
        <v/>
      </c>
      <c r="CS44" s="69" t="str">
        <f ca="1">IF(AND($C44="Goal",CS$8&gt;=$G44,CS$8&lt;=$G44+$H44-1),2,IF(AND($C44="Milestone",CS$8&gt;=$G44,CS$8&lt;=$G44+$H44-1),1,""))</f>
        <v/>
      </c>
      <c r="CT44" s="69" t="str">
        <f ca="1">IF(AND($C44="Goal",CT$8&gt;=$G44,CT$8&lt;=$G44+$H44-1),2,IF(AND($C44="Milestone",CT$8&gt;=$G44,CT$8&lt;=$G44+$H44-1),1,""))</f>
        <v/>
      </c>
      <c r="CU44" s="69" t="str">
        <f ca="1">IF(AND($C44="Goal",CU$8&gt;=$G44,CU$8&lt;=$G44+$H44-1),2,IF(AND($C44="Milestone",CU$8&gt;=$G44,CU$8&lt;=$G44+$H44-1),1,""))</f>
        <v/>
      </c>
      <c r="CV44" s="69" t="str">
        <f ca="1">IF(AND($C44="Goal",CV$8&gt;=$G44,CV$8&lt;=$G44+$H44-1),2,IF(AND($C44="Milestone",CV$8&gt;=$G44,CV$8&lt;=$G44+$H44-1),1,""))</f>
        <v/>
      </c>
      <c r="CW44" s="69" t="str">
        <f ca="1">IF(AND($C44="Goal",CW$8&gt;=$G44,CW$8&lt;=$G44+$H44-1),2,IF(AND($C44="Milestone",CW$8&gt;=$G44,CW$8&lt;=$G44+$H44-1),1,""))</f>
        <v/>
      </c>
      <c r="CX44" s="69" t="str">
        <f ca="1">IF(AND($C44="Goal",CX$8&gt;=$G44,CX$8&lt;=$G44+$H44-1),2,IF(AND($C44="Milestone",CX$8&gt;=$G44,CX$8&lt;=$G44+$H44-1),1,""))</f>
        <v/>
      </c>
      <c r="CY44" s="69" t="str">
        <f ca="1">IF(AND($C44="Goal",CY$8&gt;=$G44,CY$8&lt;=$G44+$H44-1),2,IF(AND($C44="Milestone",CY$8&gt;=$G44,CY$8&lt;=$G44+$H44-1),1,""))</f>
        <v/>
      </c>
      <c r="CZ44" s="69" t="str">
        <f ca="1">IF(AND($C44="Goal",CZ$8&gt;=$G44,CZ$8&lt;=$G44+$H44-1),2,IF(AND($C44="Milestone",CZ$8&gt;=$G44,CZ$8&lt;=$G44+$H44-1),1,""))</f>
        <v/>
      </c>
      <c r="DA44" s="69" t="str">
        <f ca="1">IF(AND($C44="Goal",DA$8&gt;=$G44,DA$8&lt;=$G44+$H44-1),2,IF(AND($C44="Milestone",DA$8&gt;=$G44,DA$8&lt;=$G44+$H44-1),1,""))</f>
        <v/>
      </c>
      <c r="DB44" s="69" t="str">
        <f ca="1">IF(AND($C44="Goal",DB$8&gt;=$G44,DB$8&lt;=$G44+$H44-1),2,IF(AND($C44="Milestone",DB$8&gt;=$G44,DB$8&lt;=$G44+$H44-1),1,""))</f>
        <v/>
      </c>
      <c r="DC44" s="69" t="str">
        <f ca="1">IF(AND($C44="Goal",DC$8&gt;=$G44,DC$8&lt;=$G44+$H44-1),2,IF(AND($C44="Milestone",DC$8&gt;=$G44,DC$8&lt;=$G44+$H44-1),1,""))</f>
        <v/>
      </c>
      <c r="DD44" s="69" t="str">
        <f ca="1">IF(AND($C44="Goal",DD$8&gt;=$G44,DD$8&lt;=$G44+$H44-1),2,IF(AND($C44="Milestone",DD$8&gt;=$G44,DD$8&lt;=$G44+$H44-1),1,""))</f>
        <v/>
      </c>
      <c r="DE44" s="69" t="str">
        <f ca="1">IF(AND($C44="Goal",DE$8&gt;=$G44,DE$8&lt;=$G44+$H44-1),2,IF(AND($C44="Milestone",DE$8&gt;=$G44,DE$8&lt;=$G44+$H44-1),1,""))</f>
        <v/>
      </c>
      <c r="DF44" s="69" t="str">
        <f ca="1">IF(AND($C44="Goal",DF$8&gt;=$G44,DF$8&lt;=$G44+$H44-1),2,IF(AND($C44="Milestone",DF$8&gt;=$G44,DF$8&lt;=$G44+$H44-1),1,""))</f>
        <v/>
      </c>
      <c r="DG44" s="69" t="str">
        <f ca="1">IF(AND($C44="Goal",DG$8&gt;=$G44,DG$8&lt;=$G44+$H44-1),2,IF(AND($C44="Milestone",DG$8&gt;=$G44,DG$8&lt;=$G44+$H44-1),1,""))</f>
        <v/>
      </c>
      <c r="DH44" s="69" t="str">
        <f ca="1">IF(AND($C44="Goal",DH$8&gt;=$G44,DH$8&lt;=$G44+$H44-1),2,IF(AND($C44="Milestone",DH$8&gt;=$G44,DH$8&lt;=$G44+$H44-1),1,""))</f>
        <v/>
      </c>
      <c r="DI44" s="69" t="str">
        <f ca="1">IF(AND($C44="Goal",DI$8&gt;=$G44,DI$8&lt;=$G44+$H44-1),2,IF(AND($C44="Milestone",DI$8&gt;=$G44,DI$8&lt;=$G44+$H44-1),1,""))</f>
        <v/>
      </c>
      <c r="DJ44" s="69" t="str">
        <f ca="1">IF(AND($C44="Goal",DJ$8&gt;=$G44,DJ$8&lt;=$G44+$H44-1),2,IF(AND($C44="Milestone",DJ$8&gt;=$G44,DJ$8&lt;=$G44+$H44-1),1,""))</f>
        <v/>
      </c>
      <c r="DK44" s="69" t="str">
        <f ca="1">IF(AND($C44="Goal",DK$8&gt;=$G44,DK$8&lt;=$G44+$H44-1),2,IF(AND($C44="Milestone",DK$8&gt;=$G44,DK$8&lt;=$G44+$H44-1),1,""))</f>
        <v/>
      </c>
      <c r="DL44" s="69" t="str">
        <f ca="1">IF(AND($C44="Goal",DL$8&gt;=$G44,DL$8&lt;=$G44+$H44-1),2,IF(AND($C44="Milestone",DL$8&gt;=$G44,DL$8&lt;=$G44+$H44-1),1,""))</f>
        <v/>
      </c>
      <c r="DM44" s="69" t="str">
        <f ca="1">IF(AND($C44="Goal",DM$8&gt;=$G44,DM$8&lt;=$G44+$H44-1),2,IF(AND($C44="Milestone",DM$8&gt;=$G44,DM$8&lt;=$G44+$H44-1),1,""))</f>
        <v/>
      </c>
      <c r="DN44" s="69" t="str">
        <f ca="1">IF(AND($C44="Goal",DN$8&gt;=$G44,DN$8&lt;=$G44+$H44-1),2,IF(AND($C44="Milestone",DN$8&gt;=$G44,DN$8&lt;=$G44+$H44-1),1,""))</f>
        <v/>
      </c>
      <c r="DO44" s="69" t="str">
        <f ca="1">IF(AND($C44="Goal",DO$8&gt;=$G44,DO$8&lt;=$G44+$H44-1),2,IF(AND($C44="Milestone",DO$8&gt;=$G44,DO$8&lt;=$G44+$H44-1),1,""))</f>
        <v/>
      </c>
      <c r="DP44" s="69" t="str">
        <f ca="1">IF(AND($C44="Goal",DP$8&gt;=$G44,DP$8&lt;=$G44+$H44-1),2,IF(AND($C44="Milestone",DP$8&gt;=$G44,DP$8&lt;=$G44+$H44-1),1,""))</f>
        <v/>
      </c>
      <c r="DQ44" s="69" t="str">
        <f ca="1">IF(AND($C44="Goal",DQ$8&gt;=$G44,DQ$8&lt;=$G44+$H44-1),2,IF(AND($C44="Milestone",DQ$8&gt;=$G44,DQ$8&lt;=$G44+$H44-1),1,""))</f>
        <v/>
      </c>
      <c r="DR44" s="69" t="str">
        <f ca="1">IF(AND($C44="Goal",DR$8&gt;=$G44,DR$8&lt;=$G44+$H44-1),2,IF(AND($C44="Milestone",DR$8&gt;=$G44,DR$8&lt;=$G44+$H44-1),1,""))</f>
        <v/>
      </c>
      <c r="DS44" s="69" t="str">
        <f ca="1">IF(AND($C44="Goal",DS$8&gt;=$G44,DS$8&lt;=$G44+$H44-1),2,IF(AND($C44="Milestone",DS$8&gt;=$G44,DS$8&lt;=$G44+$H44-1),1,""))</f>
        <v/>
      </c>
      <c r="DT44" s="69" t="str">
        <f ca="1">IF(AND($C44="Goal",DT$8&gt;=$G44,DT$8&lt;=$G44+$H44-1),2,IF(AND($C44="Milestone",DT$8&gt;=$G44,DT$8&lt;=$G44+$H44-1),1,""))</f>
        <v/>
      </c>
      <c r="DU44" s="69" t="str">
        <f ca="1">IF(AND($C44="Goal",DU$8&gt;=$G44,DU$8&lt;=$G44+$H44-1),2,IF(AND($C44="Milestone",DU$8&gt;=$G44,DU$8&lt;=$G44+$H44-1),1,""))</f>
        <v/>
      </c>
      <c r="DV44" s="69" t="str">
        <f ca="1">IF(AND($C44="Goal",DV$8&gt;=$G44,DV$8&lt;=$G44+$H44-1),2,IF(AND($C44="Milestone",DV$8&gt;=$G44,DV$8&lt;=$G44+$H44-1),1,""))</f>
        <v/>
      </c>
      <c r="DW44" s="69" t="str">
        <f ca="1">IF(AND($C44="Goal",DW$8&gt;=$G44,DW$8&lt;=$G44+$H44-1),2,IF(AND($C44="Milestone",DW$8&gt;=$G44,DW$8&lt;=$G44+$H44-1),1,""))</f>
        <v/>
      </c>
      <c r="DX44" s="69" t="str">
        <f ca="1">IF(AND($C44="Goal",DX$8&gt;=$G44,DX$8&lt;=$G44+$H44-1),2,IF(AND($C44="Milestone",DX$8&gt;=$G44,DX$8&lt;=$G44+$H44-1),1,""))</f>
        <v/>
      </c>
      <c r="DY44" s="69" t="str">
        <f ca="1">IF(AND($C44="Goal",DY$8&gt;=$G44,DY$8&lt;=$G44+$H44-1),2,IF(AND($C44="Milestone",DY$8&gt;=$G44,DY$8&lt;=$G44+$H44-1),1,""))</f>
        <v/>
      </c>
      <c r="DZ44" s="69" t="str">
        <f ca="1">IF(AND($C44="Goal",DZ$8&gt;=$G44,DZ$8&lt;=$G44+$H44-1),2,IF(AND($C44="Milestone",DZ$8&gt;=$G44,DZ$8&lt;=$G44+$H44-1),1,""))</f>
        <v/>
      </c>
      <c r="EA44" s="69" t="str">
        <f ca="1">IF(AND($C44="Goal",EA$8&gt;=$G44,EA$8&lt;=$G44+$H44-1),2,IF(AND($C44="Milestone",EA$8&gt;=$G44,EA$8&lt;=$G44+$H44-1),1,""))</f>
        <v/>
      </c>
      <c r="EB44" s="69" t="str">
        <f ca="1">IF(AND($C44="Goal",EB$8&gt;=$G44,EB$8&lt;=$G44+$H44-1),2,IF(AND($C44="Milestone",EB$8&gt;=$G44,EB$8&lt;=$G44+$H44-1),1,""))</f>
        <v/>
      </c>
      <c r="EC44" s="69" t="str">
        <f ca="1">IF(AND($C44="Goal",EC$8&gt;=$G44,EC$8&lt;=$G44+$H44-1),2,IF(AND($C44="Milestone",EC$8&gt;=$G44,EC$8&lt;=$G44+$H44-1),1,""))</f>
        <v/>
      </c>
      <c r="ED44" s="69" t="str">
        <f ca="1">IF(AND($C44="Goal",ED$8&gt;=$G44,ED$8&lt;=$G44+$H44-1),2,IF(AND($C44="Milestone",ED$8&gt;=$G44,ED$8&lt;=$G44+$H44-1),1,""))</f>
        <v/>
      </c>
      <c r="EE44" s="69" t="str">
        <f ca="1">IF(AND($C44="Goal",EE$8&gt;=$G44,EE$8&lt;=$G44+$H44-1),2,IF(AND($C44="Milestone",EE$8&gt;=$G44,EE$8&lt;=$G44+$H44-1),1,""))</f>
        <v/>
      </c>
      <c r="EF44" s="69" t="str">
        <f ca="1">IF(AND($C44="Goal",EF$8&gt;=$G44,EF$8&lt;=$G44+$H44-1),2,IF(AND($C44="Milestone",EF$8&gt;=$G44,EF$8&lt;=$G44+$H44-1),1,""))</f>
        <v/>
      </c>
      <c r="EG44" s="69" t="str">
        <f ca="1">IF(AND($C44="Goal",EG$8&gt;=$G44,EG$8&lt;=$G44+$H44-1),2,IF(AND($C44="Milestone",EG$8&gt;=$G44,EG$8&lt;=$G44+$H44-1),1,""))</f>
        <v/>
      </c>
      <c r="EH44" s="69" t="str">
        <f ca="1">IF(AND($C44="Goal",EH$8&gt;=$G44,EH$8&lt;=$G44+$H44-1),2,IF(AND($C44="Milestone",EH$8&gt;=$G44,EH$8&lt;=$G44+$H44-1),1,""))</f>
        <v/>
      </c>
      <c r="EI44" s="69" t="str">
        <f ca="1">IF(AND($C44="Goal",EI$8&gt;=$G44,EI$8&lt;=$G44+$H44-1),2,IF(AND($C44="Milestone",EI$8&gt;=$G44,EI$8&lt;=$G44+$H44-1),1,""))</f>
        <v/>
      </c>
      <c r="EJ44" s="69" t="str">
        <f ca="1">IF(AND($C44="Goal",EJ$8&gt;=$G44,EJ$8&lt;=$G44+$H44-1),2,IF(AND($C44="Milestone",EJ$8&gt;=$G44,EJ$8&lt;=$G44+$H44-1),1,""))</f>
        <v/>
      </c>
      <c r="EK44" s="69" t="str">
        <f ca="1">IF(AND($C44="Goal",EK$8&gt;=$G44,EK$8&lt;=$G44+$H44-1),2,IF(AND($C44="Milestone",EK$8&gt;=$G44,EK$8&lt;=$G44+$H44-1),1,""))</f>
        <v/>
      </c>
      <c r="EL44" s="69" t="str">
        <f ca="1">IF(AND($C44="Goal",EL$8&gt;=$G44,EL$8&lt;=$G44+$H44-1),2,IF(AND($C44="Milestone",EL$8&gt;=$G44,EL$8&lt;=$G44+$H44-1),1,""))</f>
        <v/>
      </c>
      <c r="EM44" s="69" t="str">
        <f ca="1">IF(AND($C44="Goal",EM$8&gt;=$G44,EM$8&lt;=$G44+$H44-1),2,IF(AND($C44="Milestone",EM$8&gt;=$G44,EM$8&lt;=$G44+$H44-1),1,""))</f>
        <v/>
      </c>
      <c r="EN44" s="69" t="str">
        <f ca="1">IF(AND($C44="Goal",EN$8&gt;=$G44,EN$8&lt;=$G44+$H44-1),2,IF(AND($C44="Milestone",EN$8&gt;=$G44,EN$8&lt;=$G44+$H44-1),1,""))</f>
        <v/>
      </c>
      <c r="EO44" s="69" t="str">
        <f ca="1">IF(AND($C44="Goal",EO$8&gt;=$G44,EO$8&lt;=$G44+$H44-1),2,IF(AND($C44="Milestone",EO$8&gt;=$G44,EO$8&lt;=$G44+$H44-1),1,""))</f>
        <v/>
      </c>
      <c r="EP44" s="69" t="str">
        <f ca="1">IF(AND($C44="Goal",EP$8&gt;=$G44,EP$8&lt;=$G44+$H44-1),2,IF(AND($C44="Milestone",EP$8&gt;=$G44,EP$8&lt;=$G44+$H44-1),1,""))</f>
        <v/>
      </c>
      <c r="EQ44" s="69" t="str">
        <f ca="1">IF(AND($C44="Goal",EQ$8&gt;=$G44,EQ$8&lt;=$G44+$H44-1),2,IF(AND($C44="Milestone",EQ$8&gt;=$G44,EQ$8&lt;=$G44+$H44-1),1,""))</f>
        <v/>
      </c>
      <c r="ER44" s="69" t="str">
        <f ca="1">IF(AND($C44="Goal",ER$8&gt;=$G44,ER$8&lt;=$G44+$H44-1),2,IF(AND($C44="Milestone",ER$8&gt;=$G44,ER$8&lt;=$G44+$H44-1),1,""))</f>
        <v/>
      </c>
      <c r="ES44" s="69" t="str">
        <f ca="1">IF(AND($C44="Goal",ES$8&gt;=$G44,ES$8&lt;=$G44+$H44-1),2,IF(AND($C44="Milestone",ES$8&gt;=$G44,ES$8&lt;=$G44+$H44-1),1,""))</f>
        <v/>
      </c>
      <c r="ET44" s="69" t="str">
        <f ca="1">IF(AND($C44="Goal",ET$8&gt;=$G44,ET$8&lt;=$G44+$H44-1),2,IF(AND($C44="Milestone",ET$8&gt;=$G44,ET$8&lt;=$G44+$H44-1),1,""))</f>
        <v/>
      </c>
      <c r="EU44" s="69" t="str">
        <f ca="1">IF(AND($C44="Goal",EU$8&gt;=$G44,EU$8&lt;=$G44+$H44-1),2,IF(AND($C44="Milestone",EU$8&gt;=$G44,EU$8&lt;=$G44+$H44-1),1,""))</f>
        <v/>
      </c>
      <c r="EV44" s="69" t="str">
        <f ca="1">IF(AND($C44="Goal",EV$8&gt;=$G44,EV$8&lt;=$G44+$H44-1),2,IF(AND($C44="Milestone",EV$8&gt;=$G44,EV$8&lt;=$G44+$H44-1),1,""))</f>
        <v/>
      </c>
      <c r="EW44" s="69" t="str">
        <f ca="1">IF(AND($C44="Goal",EW$8&gt;=$G44,EW$8&lt;=$G44+$H44-1),2,IF(AND($C44="Milestone",EW$8&gt;=$G44,EW$8&lt;=$G44+$H44-1),1,""))</f>
        <v/>
      </c>
      <c r="EX44" s="69" t="str">
        <f ca="1">IF(AND($C44="Goal",EX$8&gt;=$G44,EX$8&lt;=$G44+$H44-1),2,IF(AND($C44="Milestone",EX$8&gt;=$G44,EX$8&lt;=$G44+$H44-1),1,""))</f>
        <v/>
      </c>
      <c r="EY44" s="69" t="str">
        <f ca="1">IF(AND($C44="Goal",EY$8&gt;=$G44,EY$8&lt;=$G44+$H44-1),2,IF(AND($C44="Milestone",EY$8&gt;=$G44,EY$8&lt;=$G44+$H44-1),1,""))</f>
        <v/>
      </c>
      <c r="EZ44" s="69" t="str">
        <f ca="1">IF(AND($C44="Goal",EZ$8&gt;=$G44,EZ$8&lt;=$G44+$H44-1),2,IF(AND($C44="Milestone",EZ$8&gt;=$G44,EZ$8&lt;=$G44+$H44-1),1,""))</f>
        <v/>
      </c>
      <c r="FA44" s="69" t="str">
        <f ca="1">IF(AND($C44="Goal",FA$8&gt;=$G44,FA$8&lt;=$G44+$H44-1),2,IF(AND($C44="Milestone",FA$8&gt;=$G44,FA$8&lt;=$G44+$H44-1),1,""))</f>
        <v/>
      </c>
      <c r="FB44" s="69" t="str">
        <f ca="1">IF(AND($C44="Goal",FB$8&gt;=$G44,FB$8&lt;=$G44+$H44-1),2,IF(AND($C44="Milestone",FB$8&gt;=$G44,FB$8&lt;=$G44+$H44-1),1,""))</f>
        <v/>
      </c>
      <c r="FC44" s="69" t="str">
        <f ca="1">IF(AND($C44="Goal",FC$8&gt;=$G44,FC$8&lt;=$G44+$H44-1),2,IF(AND($C44="Milestone",FC$8&gt;=$G44,FC$8&lt;=$G44+$H44-1),1,""))</f>
        <v/>
      </c>
      <c r="FD44" s="69" t="str">
        <f ca="1">IF(AND($C44="Goal",FD$8&gt;=$G44,FD$8&lt;=$G44+$H44-1),2,IF(AND($C44="Milestone",FD$8&gt;=$G44,FD$8&lt;=$G44+$H44-1),1,""))</f>
        <v/>
      </c>
      <c r="FE44" s="69" t="str">
        <f ca="1">IF(AND($C44="Goal",FE$8&gt;=$G44,FE$8&lt;=$G44+$H44-1),2,IF(AND($C44="Milestone",FE$8&gt;=$G44,FE$8&lt;=$G44+$H44-1),1,""))</f>
        <v/>
      </c>
      <c r="FF44" s="69" t="str">
        <f ca="1">IF(AND($C44="Goal",FF$8&gt;=$G44,FF$8&lt;=$G44+$H44-1),2,IF(AND($C44="Milestone",FF$8&gt;=$G44,FF$8&lt;=$G44+$H44-1),1,""))</f>
        <v/>
      </c>
      <c r="FG44" s="69" t="str">
        <f ca="1">IF(AND($C44="Goal",FG$8&gt;=$G44,FG$8&lt;=$G44+$H44-1),2,IF(AND($C44="Milestone",FG$8&gt;=$G44,FG$8&lt;=$G44+$H44-1),1,""))</f>
        <v/>
      </c>
      <c r="FH44" s="69" t="str">
        <f ca="1">IF(AND($C44="Goal",FH$8&gt;=$G44,FH$8&lt;=$G44+$H44-1),2,IF(AND($C44="Milestone",FH$8&gt;=$G44,FH$8&lt;=$G44+$H44-1),1,""))</f>
        <v/>
      </c>
      <c r="FI44" s="69" t="str">
        <f ca="1">IF(AND($C44="Goal",FI$8&gt;=$G44,FI$8&lt;=$G44+$H44-1),2,IF(AND($C44="Milestone",FI$8&gt;=$G44,FI$8&lt;=$G44+$H44-1),1,""))</f>
        <v/>
      </c>
      <c r="FJ44" s="69" t="str">
        <f ca="1">IF(AND($C44="Goal",FJ$8&gt;=$G44,FJ$8&lt;=$G44+$H44-1),2,IF(AND($C44="Milestone",FJ$8&gt;=$G44,FJ$8&lt;=$G44+$H44-1),1,""))</f>
        <v/>
      </c>
      <c r="FK44" s="69" t="str">
        <f ca="1">IF(AND($C44="Goal",FK$8&gt;=$G44,FK$8&lt;=$G44+$H44-1),2,IF(AND($C44="Milestone",FK$8&gt;=$G44,FK$8&lt;=$G44+$H44-1),1,""))</f>
        <v/>
      </c>
      <c r="FL44" s="69" t="str">
        <f ca="1">IF(AND($C44="Goal",FL$8&gt;=$G44,FL$8&lt;=$G44+$H44-1),2,IF(AND($C44="Milestone",FL$8&gt;=$G44,FL$8&lt;=$G44+$H44-1),1,""))</f>
        <v/>
      </c>
      <c r="FM44" s="69" t="str">
        <f ca="1">IF(AND($C44="Goal",FM$8&gt;=$G44,FM$8&lt;=$G44+$H44-1),2,IF(AND($C44="Milestone",FM$8&gt;=$G44,FM$8&lt;=$G44+$H44-1),1,""))</f>
        <v/>
      </c>
      <c r="FN44" s="69" t="str">
        <f ca="1">IF(AND($C44="Goal",FN$8&gt;=$G44,FN$8&lt;=$G44+$H44-1),2,IF(AND($C44="Milestone",FN$8&gt;=$G44,FN$8&lt;=$G44+$H44-1),1,""))</f>
        <v/>
      </c>
      <c r="FO44" s="69" t="str">
        <f ca="1">IF(AND($C44="Goal",FO$8&gt;=$G44,FO$8&lt;=$G44+$H44-1),2,IF(AND($C44="Milestone",FO$8&gt;=$G44,FO$8&lt;=$G44+$H44-1),1,""))</f>
        <v/>
      </c>
      <c r="FP44" s="69" t="str">
        <f ca="1">IF(AND($C44="Goal",FP$8&gt;=$G44,FP$8&lt;=$G44+$H44-1),2,IF(AND($C44="Milestone",FP$8&gt;=$G44,FP$8&lt;=$G44+$H44-1),1,""))</f>
        <v/>
      </c>
      <c r="FQ44" s="69" t="str">
        <f ca="1">IF(AND($C44="Goal",FQ$8&gt;=$G44,FQ$8&lt;=$G44+$H44-1),2,IF(AND($C44="Milestone",FQ$8&gt;=$G44,FQ$8&lt;=$G44+$H44-1),1,""))</f>
        <v/>
      </c>
      <c r="FR44" s="69" t="str">
        <f ca="1">IF(AND($C44="Goal",FR$8&gt;=$G44,FR$8&lt;=$G44+$H44-1),2,IF(AND($C44="Milestone",FR$8&gt;=$G44,FR$8&lt;=$G44+$H44-1),1,""))</f>
        <v/>
      </c>
      <c r="FS44" s="69" t="str">
        <f ca="1">IF(AND($C44="Goal",FS$8&gt;=$G44,FS$8&lt;=$G44+$H44-1),2,IF(AND($C44="Milestone",FS$8&gt;=$G44,FS$8&lt;=$G44+$H44-1),1,""))</f>
        <v/>
      </c>
      <c r="FT44" s="69" t="str">
        <f ca="1">IF(AND($C44="Goal",FT$8&gt;=$G44,FT$8&lt;=$G44+$H44-1),2,IF(AND($C44="Milestone",FT$8&gt;=$G44,FT$8&lt;=$G44+$H44-1),1,""))</f>
        <v/>
      </c>
      <c r="FU44" s="69" t="str">
        <f ca="1">IF(AND($C44="Goal",FU$8&gt;=$G44,FU$8&lt;=$G44+$H44-1),2,IF(AND($C44="Milestone",FU$8&gt;=$G44,FU$8&lt;=$G44+$H44-1),1,""))</f>
        <v/>
      </c>
      <c r="FV44" s="69" t="str">
        <f ca="1">IF(AND($C44="Goal",FV$8&gt;=$G44,FV$8&lt;=$G44+$H44-1),2,IF(AND($C44="Milestone",FV$8&gt;=$G44,FV$8&lt;=$G44+$H44-1),1,""))</f>
        <v/>
      </c>
      <c r="FW44" s="69" t="str">
        <f ca="1">IF(AND($C44="Goal",FW$8&gt;=$G44,FW$8&lt;=$G44+$H44-1),2,IF(AND($C44="Milestone",FW$8&gt;=$G44,FW$8&lt;=$G44+$H44-1),1,""))</f>
        <v/>
      </c>
      <c r="FX44" s="69" t="str">
        <f ca="1">IF(AND($C44="Goal",FX$8&gt;=$G44,FX$8&lt;=$G44+$H44-1),2,IF(AND($C44="Milestone",FX$8&gt;=$G44,FX$8&lt;=$G44+$H44-1),1,""))</f>
        <v/>
      </c>
      <c r="FY44" s="69" t="str">
        <f ca="1">IF(AND($C44="Goal",FY$8&gt;=$G44,FY$8&lt;=$G44+$H44-1),2,IF(AND($C44="Milestone",FY$8&gt;=$G44,FY$8&lt;=$G44+$H44-1),1,""))</f>
        <v/>
      </c>
      <c r="FZ44" s="69" t="str">
        <f ca="1">IF(AND($C44="Goal",FZ$8&gt;=$G44,FZ$8&lt;=$G44+$H44-1),2,IF(AND($C44="Milestone",FZ$8&gt;=$G44,FZ$8&lt;=$G44+$H44-1),1,""))</f>
        <v/>
      </c>
      <c r="GA44" s="69" t="str">
        <f ca="1">IF(AND($C44="Goal",GA$8&gt;=$G44,GA$8&lt;=$G44+$H44-1),2,IF(AND($C44="Milestone",GA$8&gt;=$G44,GA$8&lt;=$G44+$H44-1),1,""))</f>
        <v/>
      </c>
      <c r="GB44" s="69" t="str">
        <f ca="1">IF(AND($C44="Goal",GB$8&gt;=$G44,GB$8&lt;=$G44+$H44-1),2,IF(AND($C44="Milestone",GB$8&gt;=$G44,GB$8&lt;=$G44+$H44-1),1,""))</f>
        <v/>
      </c>
      <c r="GC44" s="69" t="str">
        <f ca="1">IF(AND($C44="Goal",GC$8&gt;=$G44,GC$8&lt;=$G44+$H44-1),2,IF(AND($C44="Milestone",GC$8&gt;=$G44,GC$8&lt;=$G44+$H44-1),1,""))</f>
        <v/>
      </c>
      <c r="GD44" s="69" t="str">
        <f ca="1">IF(AND($C44="Goal",GD$8&gt;=$G44,GD$8&lt;=$G44+$H44-1),2,IF(AND($C44="Milestone",GD$8&gt;=$G44,GD$8&lt;=$G44+$H44-1),1,""))</f>
        <v/>
      </c>
      <c r="GE44" s="69" t="str">
        <f ca="1">IF(AND($C44="Goal",GE$8&gt;=$G44,GE$8&lt;=$G44+$H44-1),2,IF(AND($C44="Milestone",GE$8&gt;=$G44,GE$8&lt;=$G44+$H44-1),1,""))</f>
        <v/>
      </c>
      <c r="GF44" s="69" t="str">
        <f ca="1">IF(AND($C44="Goal",GF$8&gt;=$G44,GF$8&lt;=$G44+$H44-1),2,IF(AND($C44="Milestone",GF$8&gt;=$G44,GF$8&lt;=$G44+$H44-1),1,""))</f>
        <v/>
      </c>
      <c r="GG44" s="69" t="str">
        <f ca="1">IF(AND($C44="Goal",GG$8&gt;=$G44,GG$8&lt;=$G44+$H44-1),2,IF(AND($C44="Milestone",GG$8&gt;=$G44,GG$8&lt;=$G44+$H44-1),1,""))</f>
        <v/>
      </c>
      <c r="GH44" s="69" t="str">
        <f ca="1">IF(AND($C44="Goal",GH$8&gt;=$G44,GH$8&lt;=$G44+$H44-1),2,IF(AND($C44="Milestone",GH$8&gt;=$G44,GH$8&lt;=$G44+$H44-1),1,""))</f>
        <v/>
      </c>
      <c r="GI44" s="69" t="str">
        <f ca="1">IF(AND($C44="Goal",GI$8&gt;=$G44,GI$8&lt;=$G44+$H44-1),2,IF(AND($C44="Milestone",GI$8&gt;=$G44,GI$8&lt;=$G44+$H44-1),1,""))</f>
        <v/>
      </c>
      <c r="GJ44" s="69" t="str">
        <f ca="1">IF(AND($C44="Goal",GJ$8&gt;=$G44,GJ$8&lt;=$G44+$H44-1),2,IF(AND($C44="Milestone",GJ$8&gt;=$G44,GJ$8&lt;=$G44+$H44-1),1,""))</f>
        <v/>
      </c>
      <c r="GK44" s="69" t="str">
        <f ca="1">IF(AND($C44="Goal",GK$8&gt;=$G44,GK$8&lt;=$G44+$H44-1),2,IF(AND($C44="Milestone",GK$8&gt;=$G44,GK$8&lt;=$G44+$H44-1),1,""))</f>
        <v/>
      </c>
      <c r="GL44" s="69" t="str">
        <f ca="1">IF(AND($C44="Goal",GL$8&gt;=$G44,GL$8&lt;=$G44+$H44-1),2,IF(AND($C44="Milestone",GL$8&gt;=$G44,GL$8&lt;=$G44+$H44-1),1,""))</f>
        <v/>
      </c>
      <c r="GM44" s="69" t="str">
        <f ca="1">IF(AND($C44="Goal",GM$8&gt;=$G44,GM$8&lt;=$G44+$H44-1),2,IF(AND($C44="Milestone",GM$8&gt;=$G44,GM$8&lt;=$G44+$H44-1),1,""))</f>
        <v/>
      </c>
      <c r="GN44" s="69" t="str">
        <f ca="1">IF(AND($C44="Goal",GN$8&gt;=$G44,GN$8&lt;=$G44+$H44-1),2,IF(AND($C44="Milestone",GN$8&gt;=$G44,GN$8&lt;=$G44+$H44-1),1,""))</f>
        <v/>
      </c>
      <c r="GO44" s="69" t="str">
        <f ca="1">IF(AND($C44="Goal",GO$8&gt;=$G44,GO$8&lt;=$G44+$H44-1),2,IF(AND($C44="Milestone",GO$8&gt;=$G44,GO$8&lt;=$G44+$H44-1),1,""))</f>
        <v/>
      </c>
      <c r="GP44" s="69" t="str">
        <f ca="1">IF(AND($C44="Goal",GP$8&gt;=$G44,GP$8&lt;=$G44+$H44-1),2,IF(AND($C44="Milestone",GP$8&gt;=$G44,GP$8&lt;=$G44+$H44-1),1,""))</f>
        <v/>
      </c>
      <c r="GQ44" s="69" t="str">
        <f ca="1">IF(AND($C44="Goal",GQ$8&gt;=$G44,GQ$8&lt;=$G44+$H44-1),2,IF(AND($C44="Milestone",GQ$8&gt;=$G44,GQ$8&lt;=$G44+$H44-1),1,""))</f>
        <v/>
      </c>
      <c r="GR44" s="69" t="str">
        <f ca="1">IF(AND($C44="Goal",GR$8&gt;=$G44,GR$8&lt;=$G44+$H44-1),2,IF(AND($C44="Milestone",GR$8&gt;=$G44,GR$8&lt;=$G44+$H44-1),1,""))</f>
        <v/>
      </c>
      <c r="GS44" s="69" t="str">
        <f ca="1">IF(AND($C44="Goal",GS$8&gt;=$G44,GS$8&lt;=$G44+$H44-1),2,IF(AND($C44="Milestone",GS$8&gt;=$G44,GS$8&lt;=$G44+$H44-1),1,""))</f>
        <v/>
      </c>
      <c r="GT44" s="69" t="str">
        <f ca="1">IF(AND($C44="Goal",GT$8&gt;=$G44,GT$8&lt;=$G44+$H44-1),2,IF(AND($C44="Milestone",GT$8&gt;=$G44,GT$8&lt;=$G44+$H44-1),1,""))</f>
        <v/>
      </c>
      <c r="GU44" s="69" t="str">
        <f ca="1">IF(AND($C44="Goal",GU$8&gt;=$G44,GU$8&lt;=$G44+$H44-1),2,IF(AND($C44="Milestone",GU$8&gt;=$G44,GU$8&lt;=$G44+$H44-1),1,""))</f>
        <v/>
      </c>
      <c r="GV44" s="69" t="str">
        <f ca="1">IF(AND($C44="Goal",GV$8&gt;=$G44,GV$8&lt;=$G44+$H44-1),2,IF(AND($C44="Milestone",GV$8&gt;=$G44,GV$8&lt;=$G44+$H44-1),1,""))</f>
        <v/>
      </c>
      <c r="GW44" s="69" t="str">
        <f ca="1">IF(AND($C44="Goal",GW$8&gt;=$G44,GW$8&lt;=$G44+$H44-1),2,IF(AND($C44="Milestone",GW$8&gt;=$G44,GW$8&lt;=$G44+$H44-1),1,""))</f>
        <v/>
      </c>
      <c r="GX44" s="69" t="str">
        <f ca="1">IF(AND($C44="Goal",GX$8&gt;=$G44,GX$8&lt;=$G44+$H44-1),2,IF(AND($C44="Milestone",GX$8&gt;=$G44,GX$8&lt;=$G44+$H44-1),1,""))</f>
        <v/>
      </c>
      <c r="GY44" s="69" t="str">
        <f ca="1">IF(AND($C44="Goal",GY$8&gt;=$G44,GY$8&lt;=$G44+$H44-1),2,IF(AND($C44="Milestone",GY$8&gt;=$G44,GY$8&lt;=$G44+$H44-1),1,""))</f>
        <v/>
      </c>
      <c r="GZ44" s="69" t="str">
        <f ca="1">IF(AND($C44="Goal",GZ$8&gt;=$G44,GZ$8&lt;=$G44+$H44-1),2,IF(AND($C44="Milestone",GZ$8&gt;=$G44,GZ$8&lt;=$G44+$H44-1),1,""))</f>
        <v/>
      </c>
      <c r="HA44" s="69" t="str">
        <f ca="1">IF(AND($C44="Goal",HA$8&gt;=$G44,HA$8&lt;=$G44+$H44-1),2,IF(AND($C44="Milestone",HA$8&gt;=$G44,HA$8&lt;=$G44+$H44-1),1,""))</f>
        <v/>
      </c>
      <c r="HB44" s="69" t="str">
        <f ca="1">IF(AND($C44="Goal",HB$8&gt;=$G44,HB$8&lt;=$G44+$H44-1),2,IF(AND($C44="Milestone",HB$8&gt;=$G44,HB$8&lt;=$G44+$H44-1),1,""))</f>
        <v/>
      </c>
      <c r="HC44" s="69" t="str">
        <f ca="1">IF(AND($C44="Goal",HC$8&gt;=$G44,HC$8&lt;=$G44+$H44-1),2,IF(AND($C44="Milestone",HC$8&gt;=$G44,HC$8&lt;=$G44+$H44-1),1,""))</f>
        <v/>
      </c>
      <c r="HD44" s="69" t="str">
        <f ca="1">IF(AND($C44="Goal",HD$8&gt;=$G44,HD$8&lt;=$G44+$H44-1),2,IF(AND($C44="Milestone",HD$8&gt;=$G44,HD$8&lt;=$G44+$H44-1),1,""))</f>
        <v/>
      </c>
      <c r="HE44" s="69" t="str">
        <f ca="1">IF(AND($C44="Goal",HE$8&gt;=$G44,HE$8&lt;=$G44+$H44-1),2,IF(AND($C44="Milestone",HE$8&gt;=$G44,HE$8&lt;=$G44+$H44-1),1,""))</f>
        <v/>
      </c>
      <c r="HF44" s="69" t="str">
        <f ca="1">IF(AND($C44="Goal",HF$8&gt;=$G44,HF$8&lt;=$G44+$H44-1),2,IF(AND($C44="Milestone",HF$8&gt;=$G44,HF$8&lt;=$G44+$H44-1),1,""))</f>
        <v/>
      </c>
      <c r="HG44" s="69" t="str">
        <f ca="1">IF(AND($C44="Goal",HG$8&gt;=$G44,HG$8&lt;=$G44+$H44-1),2,IF(AND($C44="Milestone",HG$8&gt;=$G44,HG$8&lt;=$G44+$H44-1),1,""))</f>
        <v/>
      </c>
      <c r="HH44" s="69" t="str">
        <f ca="1">IF(AND($C44="Goal",HH$8&gt;=$G44,HH$8&lt;=$G44+$H44-1),2,IF(AND($C44="Milestone",HH$8&gt;=$G44,HH$8&lt;=$G44+$H44-1),1,""))</f>
        <v/>
      </c>
      <c r="HI44" s="69" t="str">
        <f ca="1">IF(AND($C44="Goal",HI$8&gt;=$G44,HI$8&lt;=$G44+$H44-1),2,IF(AND($C44="Milestone",HI$8&gt;=$G44,HI$8&lt;=$G44+$H44-1),1,""))</f>
        <v/>
      </c>
      <c r="HJ44" s="69" t="str">
        <f ca="1">IF(AND($C44="Goal",HJ$8&gt;=$G44,HJ$8&lt;=$G44+$H44-1),2,IF(AND($C44="Milestone",HJ$8&gt;=$G44,HJ$8&lt;=$G44+$H44-1),1,""))</f>
        <v/>
      </c>
      <c r="HK44" s="69" t="str">
        <f ca="1">IF(AND($C44="Goal",HK$8&gt;=$G44,HK$8&lt;=$G44+$H44-1),2,IF(AND($C44="Milestone",HK$8&gt;=$G44,HK$8&lt;=$G44+$H44-1),1,""))</f>
        <v/>
      </c>
      <c r="HL44" s="69" t="str">
        <f ca="1">IF(AND($C44="Goal",HL$8&gt;=$G44,HL$8&lt;=$G44+$H44-1),2,IF(AND($C44="Milestone",HL$8&gt;=$G44,HL$8&lt;=$G44+$H44-1),1,""))</f>
        <v/>
      </c>
      <c r="HM44" s="69" t="str">
        <f ca="1">IF(AND($C44="Goal",HM$8&gt;=$G44,HM$8&lt;=$G44+$H44-1),2,IF(AND($C44="Milestone",HM$8&gt;=$G44,HM$8&lt;=$G44+$H44-1),1,""))</f>
        <v/>
      </c>
      <c r="HN44" s="69" t="str">
        <f ca="1">IF(AND($C44="Goal",HN$8&gt;=$G44,HN$8&lt;=$G44+$H44-1),2,IF(AND($C44="Milestone",HN$8&gt;=$G44,HN$8&lt;=$G44+$H44-1),1,""))</f>
        <v/>
      </c>
      <c r="HO44" s="69" t="str">
        <f ca="1">IF(AND($C44="Goal",HO$8&gt;=$G44,HO$8&lt;=$G44+$H44-1),2,IF(AND($C44="Milestone",HO$8&gt;=$G44,HO$8&lt;=$G44+$H44-1),1,""))</f>
        <v/>
      </c>
      <c r="HP44" s="69" t="str">
        <f ca="1">IF(AND($C44="Goal",HP$8&gt;=$G44,HP$8&lt;=$G44+$H44-1),2,IF(AND($C44="Milestone",HP$8&gt;=$G44,HP$8&lt;=$G44+$H44-1),1,""))</f>
        <v/>
      </c>
      <c r="HQ44" s="69" t="str">
        <f ca="1">IF(AND($C44="Goal",HQ$8&gt;=$G44,HQ$8&lt;=$G44+$H44-1),2,IF(AND($C44="Milestone",HQ$8&gt;=$G44,HQ$8&lt;=$G44+$H44-1),1,""))</f>
        <v/>
      </c>
      <c r="HR44" s="69" t="str">
        <f ca="1">IF(AND($C44="Goal",HR$8&gt;=$G44,HR$8&lt;=$G44+$H44-1),2,IF(AND($C44="Milestone",HR$8&gt;=$G44,HR$8&lt;=$G44+$H44-1),1,""))</f>
        <v/>
      </c>
      <c r="HS44" s="69" t="str">
        <f ca="1">IF(AND($C44="Goal",HS$8&gt;=$G44,HS$8&lt;=$G44+$H44-1),2,IF(AND($C44="Milestone",HS$8&gt;=$G44,HS$8&lt;=$G44+$H44-1),1,""))</f>
        <v/>
      </c>
      <c r="HT44" s="69" t="str">
        <f ca="1">IF(AND($C44="Goal",HT$8&gt;=$G44,HT$8&lt;=$G44+$H44-1),2,IF(AND($C44="Milestone",HT$8&gt;=$G44,HT$8&lt;=$G44+$H44-1),1,""))</f>
        <v/>
      </c>
      <c r="HU44" s="69" t="str">
        <f ca="1">IF(AND($C44="Goal",HU$8&gt;=$G44,HU$8&lt;=$G44+$H44-1),2,IF(AND($C44="Milestone",HU$8&gt;=$G44,HU$8&lt;=$G44+$H44-1),1,""))</f>
        <v/>
      </c>
      <c r="HV44" s="69" t="str">
        <f ca="1">IF(AND($C44="Goal",HV$8&gt;=$G44,HV$8&lt;=$G44+$H44-1),2,IF(AND($C44="Milestone",HV$8&gt;=$G44,HV$8&lt;=$G44+$H44-1),1,""))</f>
        <v/>
      </c>
      <c r="HW44" s="69" t="str">
        <f ca="1">IF(AND($C44="Goal",HW$8&gt;=$G44,HW$8&lt;=$G44+$H44-1),2,IF(AND($C44="Milestone",HW$8&gt;=$G44,HW$8&lt;=$G44+$H44-1),1,""))</f>
        <v/>
      </c>
      <c r="HX44" s="69" t="str">
        <f ca="1">IF(AND($C44="Goal",HX$8&gt;=$G44,HX$8&lt;=$G44+$H44-1),2,IF(AND($C44="Milestone",HX$8&gt;=$G44,HX$8&lt;=$G44+$H44-1),1,""))</f>
        <v/>
      </c>
      <c r="HY44" s="69" t="str">
        <f ca="1">IF(AND($C44="Goal",HY$8&gt;=$G44,HY$8&lt;=$G44+$H44-1),2,IF(AND($C44="Milestone",HY$8&gt;=$G44,HY$8&lt;=$G44+$H44-1),1,""))</f>
        <v/>
      </c>
      <c r="HZ44" s="69" t="str">
        <f ca="1">IF(AND($C44="Goal",HZ$8&gt;=$G44,HZ$8&lt;=$G44+$H44-1),2,IF(AND($C44="Milestone",HZ$8&gt;=$G44,HZ$8&lt;=$G44+$H44-1),1,""))</f>
        <v/>
      </c>
      <c r="IA44" s="69" t="str">
        <f ca="1">IF(AND($C44="Goal",IA$8&gt;=$G44,IA$8&lt;=$G44+$H44-1),2,IF(AND($C44="Milestone",IA$8&gt;=$G44,IA$8&lt;=$G44+$H44-1),1,""))</f>
        <v/>
      </c>
      <c r="IB44" s="69" t="str">
        <f ca="1">IF(AND($C44="Goal",IB$8&gt;=$G44,IB$8&lt;=$G44+$H44-1),2,IF(AND($C44="Milestone",IB$8&gt;=$G44,IB$8&lt;=$G44+$H44-1),1,""))</f>
        <v/>
      </c>
      <c r="IC44" s="69" t="str">
        <f ca="1">IF(AND($C44="Goal",IC$8&gt;=$G44,IC$8&lt;=$G44+$H44-1),2,IF(AND($C44="Milestone",IC$8&gt;=$G44,IC$8&lt;=$G44+$H44-1),1,""))</f>
        <v/>
      </c>
      <c r="ID44" s="69" t="str">
        <f ca="1">IF(AND($C44="Goal",ID$8&gt;=$G44,ID$8&lt;=$G44+$H44-1),2,IF(AND($C44="Milestone",ID$8&gt;=$G44,ID$8&lt;=$G44+$H44-1),1,""))</f>
        <v/>
      </c>
      <c r="IE44" s="69" t="str">
        <f ca="1">IF(AND($C44="Goal",IE$8&gt;=$G44,IE$8&lt;=$G44+$H44-1),2,IF(AND($C44="Milestone",IE$8&gt;=$G44,IE$8&lt;=$G44+$H44-1),1,""))</f>
        <v/>
      </c>
      <c r="IF44" s="69" t="str">
        <f ca="1">IF(AND($C44="Goal",IF$8&gt;=$G44,IF$8&lt;=$G44+$H44-1),2,IF(AND($C44="Milestone",IF$8&gt;=$G44,IF$8&lt;=$G44+$H44-1),1,""))</f>
        <v/>
      </c>
      <c r="IG44" s="69" t="str">
        <f ca="1">IF(AND($C44="Goal",IG$8&gt;=$G44,IG$8&lt;=$G44+$H44-1),2,IF(AND($C44="Milestone",IG$8&gt;=$G44,IG$8&lt;=$G44+$H44-1),1,""))</f>
        <v/>
      </c>
      <c r="IH44" s="69" t="str">
        <f ca="1">IF(AND($C44="Goal",IH$8&gt;=$G44,IH$8&lt;=$G44+$H44-1),2,IF(AND($C44="Milestone",IH$8&gt;=$G44,IH$8&lt;=$G44+$H44-1),1,""))</f>
        <v/>
      </c>
      <c r="II44" s="69" t="str">
        <f ca="1">IF(AND($C44="Goal",II$8&gt;=$G44,II$8&lt;=$G44+$H44-1),2,IF(AND($C44="Milestone",II$8&gt;=$G44,II$8&lt;=$G44+$H44-1),1,""))</f>
        <v/>
      </c>
      <c r="IJ44" s="69" t="str">
        <f ca="1">IF(AND($C44="Goal",IJ$8&gt;=$G44,IJ$8&lt;=$G44+$H44-1),2,IF(AND($C44="Milestone",IJ$8&gt;=$G44,IJ$8&lt;=$G44+$H44-1),1,""))</f>
        <v/>
      </c>
      <c r="IK44" s="69" t="str">
        <f ca="1">IF(AND($C44="Goal",IK$8&gt;=$G44,IK$8&lt;=$G44+$H44-1),2,IF(AND($C44="Milestone",IK$8&gt;=$G44,IK$8&lt;=$G44+$H44-1),1,""))</f>
        <v/>
      </c>
      <c r="IL44" s="69" t="str">
        <f ca="1">IF(AND($C44="Goal",IL$8&gt;=$G44,IL$8&lt;=$G44+$H44-1),2,IF(AND($C44="Milestone",IL$8&gt;=$G44,IL$8&lt;=$G44+$H44-1),1,""))</f>
        <v/>
      </c>
      <c r="IM44" s="69" t="str">
        <f ca="1">IF(AND($C44="Goal",IM$8&gt;=$G44,IM$8&lt;=$G44+$H44-1),2,IF(AND($C44="Milestone",IM$8&gt;=$G44,IM$8&lt;=$G44+$H44-1),1,""))</f>
        <v/>
      </c>
      <c r="IN44" s="69" t="str">
        <f ca="1">IF(AND($C44="Goal",IN$8&gt;=$G44,IN$8&lt;=$G44+$H44-1),2,IF(AND($C44="Milestone",IN$8&gt;=$G44,IN$8&lt;=$G44+$H44-1),1,""))</f>
        <v/>
      </c>
      <c r="IO44" s="69" t="str">
        <f ca="1">IF(AND($C44="Goal",IO$8&gt;=$G44,IO$8&lt;=$G44+$H44-1),2,IF(AND($C44="Milestone",IO$8&gt;=$G44,IO$8&lt;=$G44+$H44-1),1,""))</f>
        <v/>
      </c>
      <c r="IP44" s="69" t="str">
        <f ca="1">IF(AND($C44="Goal",IP$8&gt;=$G44,IP$8&lt;=$G44+$H44-1),2,IF(AND($C44="Milestone",IP$8&gt;=$G44,IP$8&lt;=$G44+$H44-1),1,""))</f>
        <v/>
      </c>
      <c r="IQ44" s="69" t="str">
        <f ca="1">IF(AND($C44="Goal",IQ$8&gt;=$G44,IQ$8&lt;=$G44+$H44-1),2,IF(AND($C44="Milestone",IQ$8&gt;=$G44,IQ$8&lt;=$G44+$H44-1),1,""))</f>
        <v/>
      </c>
      <c r="IR44" s="69" t="str">
        <f ca="1">IF(AND($C44="Goal",IR$8&gt;=$G44,IR$8&lt;=$G44+$H44-1),2,IF(AND($C44="Milestone",IR$8&gt;=$G44,IR$8&lt;=$G44+$H44-1),1,""))</f>
        <v/>
      </c>
      <c r="IS44" s="69" t="str">
        <f ca="1">IF(AND($C44="Goal",IS$8&gt;=$G44,IS$8&lt;=$G44+$H44-1),2,IF(AND($C44="Milestone",IS$8&gt;=$G44,IS$8&lt;=$G44+$H44-1),1,""))</f>
        <v/>
      </c>
      <c r="IT44" s="69" t="str">
        <f ca="1">IF(AND($C44="Goal",IT$8&gt;=$G44,IT$8&lt;=$G44+$H44-1),2,IF(AND($C44="Milestone",IT$8&gt;=$G44,IT$8&lt;=$G44+$H44-1),1,""))</f>
        <v/>
      </c>
      <c r="IU44" s="69" t="str">
        <f ca="1">IF(AND($C44="Goal",IU$8&gt;=$G44,IU$8&lt;=$G44+$H44-1),2,IF(AND($C44="Milestone",IU$8&gt;=$G44,IU$8&lt;=$G44+$H44-1),1,""))</f>
        <v/>
      </c>
      <c r="IV44" s="69" t="str">
        <f ca="1">IF(AND($C44="Goal",IV$8&gt;=$G44,IV$8&lt;=$G44+$H44-1),2,IF(AND($C44="Milestone",IV$8&gt;=$G44,IV$8&lt;=$G44+$H44-1),1,""))</f>
        <v/>
      </c>
      <c r="IW44" s="69" t="str">
        <f ca="1">IF(AND($C44="Goal",IW$8&gt;=$G44,IW$8&lt;=$G44+$H44-1),2,IF(AND($C44="Milestone",IW$8&gt;=$G44,IW$8&lt;=$G44+$H44-1),1,""))</f>
        <v/>
      </c>
      <c r="IX44" s="69" t="str">
        <f ca="1">IF(AND($C44="Goal",IX$8&gt;=$G44,IX$8&lt;=$G44+$H44-1),2,IF(AND($C44="Milestone",IX$8&gt;=$G44,IX$8&lt;=$G44+$H44-1),1,""))</f>
        <v/>
      </c>
      <c r="IY44" s="69" t="str">
        <f ca="1">IF(AND($C44="Goal",IY$8&gt;=$G44,IY$8&lt;=$G44+$H44-1),2,IF(AND($C44="Milestone",IY$8&gt;=$G44,IY$8&lt;=$G44+$H44-1),1,""))</f>
        <v/>
      </c>
      <c r="IZ44" s="69" t="str">
        <f ca="1">IF(AND($C44="Goal",IZ$8&gt;=$G44,IZ$8&lt;=$G44+$H44-1),2,IF(AND($C44="Milestone",IZ$8&gt;=$G44,IZ$8&lt;=$G44+$H44-1),1,""))</f>
        <v/>
      </c>
      <c r="JA44" s="69" t="str">
        <f ca="1">IF(AND($C44="Goal",JA$8&gt;=$G44,JA$8&lt;=$G44+$H44-1),2,IF(AND($C44="Milestone",JA$8&gt;=$G44,JA$8&lt;=$G44+$H44-1),1,""))</f>
        <v/>
      </c>
      <c r="JB44" s="69" t="str">
        <f ca="1">IF(AND($C44="Goal",JB$8&gt;=$G44,JB$8&lt;=$G44+$H44-1),2,IF(AND($C44="Milestone",JB$8&gt;=$G44,JB$8&lt;=$G44+$H44-1),1,""))</f>
        <v/>
      </c>
      <c r="JC44" s="69" t="str">
        <f ca="1">IF(AND($C44="Goal",JC$8&gt;=$G44,JC$8&lt;=$G44+$H44-1),2,IF(AND($C44="Milestone",JC$8&gt;=$G44,JC$8&lt;=$G44+$H44-1),1,""))</f>
        <v/>
      </c>
      <c r="JD44" s="69" t="str">
        <f ca="1">IF(AND($C44="Goal",JD$8&gt;=$G44,JD$8&lt;=$G44+$H44-1),2,IF(AND($C44="Milestone",JD$8&gt;=$G44,JD$8&lt;=$G44+$H44-1),1,""))</f>
        <v/>
      </c>
      <c r="JE44" s="69" t="str">
        <f ca="1">IF(AND($C44="Goal",JE$8&gt;=$G44,JE$8&lt;=$G44+$H44-1),2,IF(AND($C44="Milestone",JE$8&gt;=$G44,JE$8&lt;=$G44+$H44-1),1,""))</f>
        <v/>
      </c>
      <c r="JF44" s="69" t="str">
        <f ca="1">IF(AND($C44="Goal",JF$8&gt;=$G44,JF$8&lt;=$G44+$H44-1),2,IF(AND($C44="Milestone",JF$8&gt;=$G44,JF$8&lt;=$G44+$H44-1),1,""))</f>
        <v/>
      </c>
      <c r="JG44" s="69" t="str">
        <f ca="1">IF(AND($C44="Goal",JG$8&gt;=$G44,JG$8&lt;=$G44+$H44-1),2,IF(AND($C44="Milestone",JG$8&gt;=$G44,JG$8&lt;=$G44+$H44-1),1,""))</f>
        <v/>
      </c>
      <c r="JH44" s="69" t="str">
        <f ca="1">IF(AND($C44="Goal",JH$8&gt;=$G44,JH$8&lt;=$G44+$H44-1),2,IF(AND($C44="Milestone",JH$8&gt;=$G44,JH$8&lt;=$G44+$H44-1),1,""))</f>
        <v/>
      </c>
      <c r="JI44" s="69" t="str">
        <f ca="1">IF(AND($C44="Goal",JI$8&gt;=$G44,JI$8&lt;=$G44+$H44-1),2,IF(AND($C44="Milestone",JI$8&gt;=$G44,JI$8&lt;=$G44+$H44-1),1,""))</f>
        <v/>
      </c>
      <c r="JJ44" s="69" t="str">
        <f ca="1">IF(AND($C44="Goal",JJ$8&gt;=$G44,JJ$8&lt;=$G44+$H44-1),2,IF(AND($C44="Milestone",JJ$8&gt;=$G44,JJ$8&lt;=$G44+$H44-1),1,""))</f>
        <v/>
      </c>
      <c r="JK44" s="69" t="str">
        <f ca="1">IF(AND($C44="Goal",JK$8&gt;=$G44,JK$8&lt;=$G44+$H44-1),2,IF(AND($C44="Milestone",JK$8&gt;=$G44,JK$8&lt;=$G44+$H44-1),1,""))</f>
        <v/>
      </c>
      <c r="JL44" s="69" t="str">
        <f ca="1">IF(AND($C44="Goal",JL$8&gt;=$G44,JL$8&lt;=$G44+$H44-1),2,IF(AND($C44="Milestone",JL$8&gt;=$G44,JL$8&lt;=$G44+$H44-1),1,""))</f>
        <v/>
      </c>
      <c r="JM44" s="69" t="str">
        <f ca="1">IF(AND($C44="Goal",JM$8&gt;=$G44,JM$8&lt;=$G44+$H44-1),2,IF(AND($C44="Milestone",JM$8&gt;=$G44,JM$8&lt;=$G44+$H44-1),1,""))</f>
        <v/>
      </c>
      <c r="JN44" s="69" t="str">
        <f ca="1">IF(AND($C44="Goal",JN$8&gt;=$G44,JN$8&lt;=$G44+$H44-1),2,IF(AND($C44="Milestone",JN$8&gt;=$G44,JN$8&lt;=$G44+$H44-1),1,""))</f>
        <v/>
      </c>
      <c r="JO44" s="69" t="str">
        <f ca="1">IF(AND($C44="Goal",JO$8&gt;=$G44,JO$8&lt;=$G44+$H44-1),2,IF(AND($C44="Milestone",JO$8&gt;=$G44,JO$8&lt;=$G44+$H44-1),1,""))</f>
        <v/>
      </c>
      <c r="JP44" s="69" t="str">
        <f ca="1">IF(AND($C44="Goal",JP$8&gt;=$G44,JP$8&lt;=$G44+$H44-1),2,IF(AND($C44="Milestone",JP$8&gt;=$G44,JP$8&lt;=$G44+$H44-1),1,""))</f>
        <v/>
      </c>
      <c r="JQ44" s="69" t="str">
        <f ca="1">IF(AND($C44="Goal",JQ$8&gt;=$G44,JQ$8&lt;=$G44+$H44-1),2,IF(AND($C44="Milestone",JQ$8&gt;=$G44,JQ$8&lt;=$G44+$H44-1),1,""))</f>
        <v/>
      </c>
      <c r="JR44" s="69" t="str">
        <f ca="1">IF(AND($C44="Goal",JR$8&gt;=$G44,JR$8&lt;=$G44+$H44-1),2,IF(AND($C44="Milestone",JR$8&gt;=$G44,JR$8&lt;=$G44+$H44-1),1,""))</f>
        <v/>
      </c>
      <c r="JS44" s="69" t="str">
        <f ca="1">IF(AND($C44="Goal",JS$8&gt;=$G44,JS$8&lt;=$G44+$H44-1),2,IF(AND($C44="Milestone",JS$8&gt;=$G44,JS$8&lt;=$G44+$H44-1),1,""))</f>
        <v/>
      </c>
      <c r="JT44" s="69" t="str">
        <f ca="1">IF(AND($C44="Goal",JT$8&gt;=$G44,JT$8&lt;=$G44+$H44-1),2,IF(AND($C44="Milestone",JT$8&gt;=$G44,JT$8&lt;=$G44+$H44-1),1,""))</f>
        <v/>
      </c>
      <c r="JU44" s="69" t="str">
        <f ca="1">IF(AND($C44="Goal",JU$8&gt;=$G44,JU$8&lt;=$G44+$H44-1),2,IF(AND($C44="Milestone",JU$8&gt;=$G44,JU$8&lt;=$G44+$H44-1),1,""))</f>
        <v/>
      </c>
      <c r="JV44" s="69" t="str">
        <f ca="1">IF(AND($C44="Goal",JV$8&gt;=$G44,JV$8&lt;=$G44+$H44-1),2,IF(AND($C44="Milestone",JV$8&gt;=$G44,JV$8&lt;=$G44+$H44-1),1,""))</f>
        <v/>
      </c>
      <c r="JW44" s="69" t="str">
        <f ca="1">IF(AND($C44="Goal",JW$8&gt;=$G44,JW$8&lt;=$G44+$H44-1),2,IF(AND($C44="Milestone",JW$8&gt;=$G44,JW$8&lt;=$G44+$H44-1),1,""))</f>
        <v/>
      </c>
      <c r="JX44" s="69" t="str">
        <f ca="1">IF(AND($C44="Goal",JX$8&gt;=$G44,JX$8&lt;=$G44+$H44-1),2,IF(AND($C44="Milestone",JX$8&gt;=$G44,JX$8&lt;=$G44+$H44-1),1,""))</f>
        <v/>
      </c>
      <c r="JY44" s="69" t="str">
        <f ca="1">IF(AND($C44="Goal",JY$8&gt;=$G44,JY$8&lt;=$G44+$H44-1),2,IF(AND($C44="Milestone",JY$8&gt;=$G44,JY$8&lt;=$G44+$H44-1),1,""))</f>
        <v/>
      </c>
      <c r="JZ44" s="69" t="str">
        <f ca="1">IF(AND($C44="Goal",JZ$8&gt;=$G44,JZ$8&lt;=$G44+$H44-1),2,IF(AND($C44="Milestone",JZ$8&gt;=$G44,JZ$8&lt;=$G44+$H44-1),1,""))</f>
        <v/>
      </c>
      <c r="KA44" s="69" t="str">
        <f ca="1">IF(AND($C44="Goal",KA$8&gt;=$G44,KA$8&lt;=$G44+$H44-1),2,IF(AND($C44="Milestone",KA$8&gt;=$G44,KA$8&lt;=$G44+$H44-1),1,""))</f>
        <v/>
      </c>
      <c r="KB44" s="69" t="str">
        <f ca="1">IF(AND($C44="Goal",KB$8&gt;=$G44,KB$8&lt;=$G44+$H44-1),2,IF(AND($C44="Milestone",KB$8&gt;=$G44,KB$8&lt;=$G44+$H44-1),1,""))</f>
        <v/>
      </c>
      <c r="KC44" s="69" t="str">
        <f ca="1">IF(AND($C44="Goal",KC$8&gt;=$G44,KC$8&lt;=$G44+$H44-1),2,IF(AND($C44="Milestone",KC$8&gt;=$G44,KC$8&lt;=$G44+$H44-1),1,""))</f>
        <v/>
      </c>
      <c r="KD44" s="69" t="str">
        <f ca="1">IF(AND($C44="Goal",KD$8&gt;=$G44,KD$8&lt;=$G44+$H44-1),2,IF(AND($C44="Milestone",KD$8&gt;=$G44,KD$8&lt;=$G44+$H44-1),1,""))</f>
        <v/>
      </c>
      <c r="KE44" s="69" t="str">
        <f ca="1">IF(AND($C44="Goal",KE$8&gt;=$G44,KE$8&lt;=$G44+$H44-1),2,IF(AND($C44="Milestone",KE$8&gt;=$G44,KE$8&lt;=$G44+$H44-1),1,""))</f>
        <v/>
      </c>
      <c r="KF44" s="69" t="str">
        <f ca="1">IF(AND($C44="Goal",KF$8&gt;=$G44,KF$8&lt;=$G44+$H44-1),2,IF(AND($C44="Milestone",KF$8&gt;=$G44,KF$8&lt;=$G44+$H44-1),1,""))</f>
        <v/>
      </c>
      <c r="KG44" s="69" t="str">
        <f ca="1">IF(AND($C44="Goal",KG$8&gt;=$G44,KG$8&lt;=$G44+$H44-1),2,IF(AND($C44="Milestone",KG$8&gt;=$G44,KG$8&lt;=$G44+$H44-1),1,""))</f>
        <v/>
      </c>
      <c r="KH44" s="69" t="str">
        <f ca="1">IF(AND($C44="Goal",KH$8&gt;=$G44,KH$8&lt;=$G44+$H44-1),2,IF(AND($C44="Milestone",KH$8&gt;=$G44,KH$8&lt;=$G44+$H44-1),1,""))</f>
        <v/>
      </c>
      <c r="KI44" s="69" t="str">
        <f ca="1">IF(AND($C44="Goal",KI$8&gt;=$G44,KI$8&lt;=$G44+$H44-1),2,IF(AND($C44="Milestone",KI$8&gt;=$G44,KI$8&lt;=$G44+$H44-1),1,""))</f>
        <v/>
      </c>
      <c r="KJ44" s="69" t="str">
        <f ca="1">IF(AND($C44="Goal",KJ$8&gt;=$G44,KJ$8&lt;=$G44+$H44-1),2,IF(AND($C44="Milestone",KJ$8&gt;=$G44,KJ$8&lt;=$G44+$H44-1),1,""))</f>
        <v/>
      </c>
      <c r="KK44" s="69" t="str">
        <f ca="1">IF(AND($C44="Goal",KK$8&gt;=$G44,KK$8&lt;=$G44+$H44-1),2,IF(AND($C44="Milestone",KK$8&gt;=$G44,KK$8&lt;=$G44+$H44-1),1,""))</f>
        <v/>
      </c>
      <c r="KL44" s="69" t="str">
        <f ca="1">IF(AND($C44="Goal",KL$8&gt;=$G44,KL$8&lt;=$G44+$H44-1),2,IF(AND($C44="Milestone",KL$8&gt;=$G44,KL$8&lt;=$G44+$H44-1),1,""))</f>
        <v/>
      </c>
      <c r="KM44" s="69" t="str">
        <f ca="1">IF(AND($C44="Goal",KM$8&gt;=$G44,KM$8&lt;=$G44+$H44-1),2,IF(AND($C44="Milestone",KM$8&gt;=$G44,KM$8&lt;=$G44+$H44-1),1,""))</f>
        <v/>
      </c>
      <c r="KN44" s="69" t="str">
        <f ca="1">IF(AND($C44="Goal",KN$8&gt;=$G44,KN$8&lt;=$G44+$H44-1),2,IF(AND($C44="Milestone",KN$8&gt;=$G44,KN$8&lt;=$G44+$H44-1),1,""))</f>
        <v/>
      </c>
      <c r="KO44" s="69" t="str">
        <f ca="1">IF(AND($C44="Goal",KO$8&gt;=$G44,KO$8&lt;=$G44+$H44-1),2,IF(AND($C44="Milestone",KO$8&gt;=$G44,KO$8&lt;=$G44+$H44-1),1,""))</f>
        <v/>
      </c>
      <c r="KP44" s="69" t="str">
        <f ca="1">IF(AND($C44="Goal",KP$8&gt;=$G44,KP$8&lt;=$G44+$H44-1),2,IF(AND($C44="Milestone",KP$8&gt;=$G44,KP$8&lt;=$G44+$H44-1),1,""))</f>
        <v/>
      </c>
      <c r="KQ44" s="69" t="str">
        <f ca="1">IF(AND($C44="Goal",KQ$8&gt;=$G44,KQ$8&lt;=$G44+$H44-1),2,IF(AND($C44="Milestone",KQ$8&gt;=$G44,KQ$8&lt;=$G44+$H44-1),1,""))</f>
        <v/>
      </c>
      <c r="KR44" s="69" t="str">
        <f ca="1">IF(AND($C44="Goal",KR$8&gt;=$G44,KR$8&lt;=$G44+$H44-1),2,IF(AND($C44="Milestone",KR$8&gt;=$G44,KR$8&lt;=$G44+$H44-1),1,""))</f>
        <v/>
      </c>
      <c r="KS44" s="69" t="str">
        <f ca="1">IF(AND($C44="Goal",KS$8&gt;=$G44,KS$8&lt;=$G44+$H44-1),2,IF(AND($C44="Milestone",KS$8&gt;=$G44,KS$8&lt;=$G44+$H44-1),1,""))</f>
        <v/>
      </c>
      <c r="KT44" s="69" t="str">
        <f ca="1">IF(AND($C44="Goal",KT$8&gt;=$G44,KT$8&lt;=$G44+$H44-1),2,IF(AND($C44="Milestone",KT$8&gt;=$G44,KT$8&lt;=$G44+$H44-1),1,""))</f>
        <v/>
      </c>
      <c r="KU44" s="69" t="str">
        <f ca="1">IF(AND($C44="Goal",KU$8&gt;=$G44,KU$8&lt;=$G44+$H44-1),2,IF(AND($C44="Milestone",KU$8&gt;=$G44,KU$8&lt;=$G44+$H44-1),1,""))</f>
        <v/>
      </c>
      <c r="KV44" s="69" t="str">
        <f ca="1">IF(AND($C44="Goal",KV$8&gt;=$G44,KV$8&lt;=$G44+$H44-1),2,IF(AND($C44="Milestone",KV$8&gt;=$G44,KV$8&lt;=$G44+$H44-1),1,""))</f>
        <v/>
      </c>
      <c r="KW44" s="69" t="str">
        <f ca="1">IF(AND($C44="Goal",KW$8&gt;=$G44,KW$8&lt;=$G44+$H44-1),2,IF(AND($C44="Milestone",KW$8&gt;=$G44,KW$8&lt;=$G44+$H44-1),1,""))</f>
        <v/>
      </c>
      <c r="KX44" s="69" t="str">
        <f ca="1">IF(AND($C44="Goal",KX$8&gt;=$G44,KX$8&lt;=$G44+$H44-1),2,IF(AND($C44="Milestone",KX$8&gt;=$G44,KX$8&lt;=$G44+$H44-1),1,""))</f>
        <v/>
      </c>
      <c r="KY44" s="69" t="str">
        <f ca="1">IF(AND($C44="Goal",KY$8&gt;=$G44,KY$8&lt;=$G44+$H44-1),2,IF(AND($C44="Milestone",KY$8&gt;=$G44,KY$8&lt;=$G44+$H44-1),1,""))</f>
        <v/>
      </c>
      <c r="KZ44" s="69" t="str">
        <f ca="1">IF(AND($C44="Goal",KZ$8&gt;=$G44,KZ$8&lt;=$G44+$H44-1),2,IF(AND($C44="Milestone",KZ$8&gt;=$G44,KZ$8&lt;=$G44+$H44-1),1,""))</f>
        <v/>
      </c>
      <c r="LA44" s="69" t="str">
        <f ca="1">IF(AND($C44="Goal",LA$8&gt;=$G44,LA$8&lt;=$G44+$H44-1),2,IF(AND($C44="Milestone",LA$8&gt;=$G44,LA$8&lt;=$G44+$H44-1),1,""))</f>
        <v/>
      </c>
      <c r="LB44" s="69" t="str">
        <f ca="1">IF(AND($C44="Goal",LB$8&gt;=$G44,LB$8&lt;=$G44+$H44-1),2,IF(AND($C44="Milestone",LB$8&gt;=$G44,LB$8&lt;=$G44+$H44-1),1,""))</f>
        <v/>
      </c>
      <c r="LC44" s="69" t="str">
        <f ca="1">IF(AND($C44="Goal",LC$8&gt;=$G44,LC$8&lt;=$G44+$H44-1),2,IF(AND($C44="Milestone",LC$8&gt;=$G44,LC$8&lt;=$G44+$H44-1),1,""))</f>
        <v/>
      </c>
      <c r="LD44" s="69" t="str">
        <f ca="1">IF(AND($C44="Goal",LD$8&gt;=$G44,LD$8&lt;=$G44+$H44-1),2,IF(AND($C44="Milestone",LD$8&gt;=$G44,LD$8&lt;=$G44+$H44-1),1,""))</f>
        <v/>
      </c>
      <c r="LE44" s="69" t="str">
        <f ca="1">IF(AND($C44="Goal",LE$8&gt;=$G44,LE$8&lt;=$G44+$H44-1),2,IF(AND($C44="Milestone",LE$8&gt;=$G44,LE$8&lt;=$G44+$H44-1),1,""))</f>
        <v/>
      </c>
      <c r="LF44" s="69" t="str">
        <f ca="1">IF(AND($C44="Goal",LF$8&gt;=$G44,LF$8&lt;=$G44+$H44-1),2,IF(AND($C44="Milestone",LF$8&gt;=$G44,LF$8&lt;=$G44+$H44-1),1,""))</f>
        <v/>
      </c>
      <c r="LG44" s="69" t="str">
        <f ca="1">IF(AND($C44="Goal",LG$8&gt;=$G44,LG$8&lt;=$G44+$H44-1),2,IF(AND($C44="Milestone",LG$8&gt;=$G44,LG$8&lt;=$G44+$H44-1),1,""))</f>
        <v/>
      </c>
      <c r="LH44" s="69" t="str">
        <f ca="1">IF(AND($C44="Goal",LH$8&gt;=$G44,LH$8&lt;=$G44+$H44-1),2,IF(AND($C44="Milestone",LH$8&gt;=$G44,LH$8&lt;=$G44+$H44-1),1,""))</f>
        <v/>
      </c>
      <c r="LI44" s="69" t="str">
        <f ca="1">IF(AND($C44="Goal",LI$8&gt;=$G44,LI$8&lt;=$G44+$H44-1),2,IF(AND($C44="Milestone",LI$8&gt;=$G44,LI$8&lt;=$G44+$H44-1),1,""))</f>
        <v/>
      </c>
      <c r="LJ44" s="69" t="str">
        <f ca="1">IF(AND($C44="Goal",LJ$8&gt;=$G44,LJ$8&lt;=$G44+$H44-1),2,IF(AND($C44="Milestone",LJ$8&gt;=$G44,LJ$8&lt;=$G44+$H44-1),1,""))</f>
        <v/>
      </c>
      <c r="LK44" s="69" t="str">
        <f ca="1">IF(AND($C44="Goal",LK$8&gt;=$G44,LK$8&lt;=$G44+$H44-1),2,IF(AND($C44="Milestone",LK$8&gt;=$G44,LK$8&lt;=$G44+$H44-1),1,""))</f>
        <v/>
      </c>
      <c r="LL44" s="69" t="str">
        <f ca="1">IF(AND($C44="Goal",LL$8&gt;=$G44,LL$8&lt;=$G44+$H44-1),2,IF(AND($C44="Milestone",LL$8&gt;=$G44,LL$8&lt;=$G44+$H44-1),1,""))</f>
        <v/>
      </c>
      <c r="LM44" s="69" t="str">
        <f ca="1">IF(AND($C44="Goal",LM$8&gt;=$G44,LM$8&lt;=$G44+$H44-1),2,IF(AND($C44="Milestone",LM$8&gt;=$G44,LM$8&lt;=$G44+$H44-1),1,""))</f>
        <v/>
      </c>
      <c r="LN44" s="69" t="str">
        <f ca="1">IF(AND($C44="Goal",LN$8&gt;=$G44,LN$8&lt;=$G44+$H44-1),2,IF(AND($C44="Milestone",LN$8&gt;=$G44,LN$8&lt;=$G44+$H44-1),1,""))</f>
        <v/>
      </c>
      <c r="LO44" s="69" t="str">
        <f ca="1">IF(AND($C44="Goal",LO$8&gt;=$G44,LO$8&lt;=$G44+$H44-1),2,IF(AND($C44="Milestone",LO$8&gt;=$G44,LO$8&lt;=$G44+$H44-1),1,""))</f>
        <v/>
      </c>
      <c r="LP44" s="69" t="str">
        <f ca="1">IF(AND($C44="Goal",LP$8&gt;=$G44,LP$8&lt;=$G44+$H44-1),2,IF(AND($C44="Milestone",LP$8&gt;=$G44,LP$8&lt;=$G44+$H44-1),1,""))</f>
        <v/>
      </c>
      <c r="LQ44" s="69" t="str">
        <f ca="1">IF(AND($C44="Goal",LQ$8&gt;=$G44,LQ$8&lt;=$G44+$H44-1),2,IF(AND($C44="Milestone",LQ$8&gt;=$G44,LQ$8&lt;=$G44+$H44-1),1,""))</f>
        <v/>
      </c>
      <c r="LR44" s="69" t="str">
        <f ca="1">IF(AND($C44="Goal",LR$8&gt;=$G44,LR$8&lt;=$G44+$H44-1),2,IF(AND($C44="Milestone",LR$8&gt;=$G44,LR$8&lt;=$G44+$H44-1),1,""))</f>
        <v/>
      </c>
      <c r="LS44" s="69" t="str">
        <f ca="1">IF(AND($C44="Goal",LS$8&gt;=$G44,LS$8&lt;=$G44+$H44-1),2,IF(AND($C44="Milestone",LS$8&gt;=$G44,LS$8&lt;=$G44+$H44-1),1,""))</f>
        <v/>
      </c>
      <c r="LT44" s="69" t="str">
        <f ca="1">IF(AND($C44="Goal",LT$8&gt;=$G44,LT$8&lt;=$G44+$H44-1),2,IF(AND($C44="Milestone",LT$8&gt;=$G44,LT$8&lt;=$G44+$H44-1),1,""))</f>
        <v/>
      </c>
      <c r="LU44" s="69" t="str">
        <f ca="1">IF(AND($C44="Goal",LU$8&gt;=$G44,LU$8&lt;=$G44+$H44-1),2,IF(AND($C44="Milestone",LU$8&gt;=$G44,LU$8&lt;=$G44+$H44-1),1,""))</f>
        <v/>
      </c>
      <c r="LV44" s="69" t="str">
        <f ca="1">IF(AND($C44="Goal",LV$8&gt;=$G44,LV$8&lt;=$G44+$H44-1),2,IF(AND($C44="Milestone",LV$8&gt;=$G44,LV$8&lt;=$G44+$H44-1),1,""))</f>
        <v/>
      </c>
      <c r="LW44" s="69" t="str">
        <f ca="1">IF(AND($C44="Goal",LW$8&gt;=$G44,LW$8&lt;=$G44+$H44-1),2,IF(AND($C44="Milestone",LW$8&gt;=$G44,LW$8&lt;=$G44+$H44-1),1,""))</f>
        <v/>
      </c>
      <c r="LX44" s="69" t="str">
        <f ca="1">IF(AND($C44="Goal",LX$8&gt;=$G44,LX$8&lt;=$G44+$H44-1),2,IF(AND($C44="Milestone",LX$8&gt;=$G44,LX$8&lt;=$G44+$H44-1),1,""))</f>
        <v/>
      </c>
    </row>
    <row r="45" spans="1:336" s="1" customFormat="1" ht="25.25" customHeight="1" x14ac:dyDescent="0.25">
      <c r="A45" s="6"/>
      <c r="B45" s="47" t="s">
        <v>45</v>
      </c>
      <c r="C45" s="58"/>
      <c r="D45" s="58" t="str">
        <f ca="1">IF(G45="","",
IF(G45+Milestones4352[[#This Row],[Days]]="","",
IF(OR(F45=1,F45=100%),"Complete",
CHOOSE(
  1
  + --(((1-IF(F45&gt;1,F45/100,F45))*POWER(2.718281828,(60-MAX(0,G45+Milestones4352[[#This Row],[Days]]-TODAY()))/12))&gt;=0.6)
  + --(((1-IF(F45&gt;1,F45/100,F45))*POWER(2.718281828,(60-MAX(0,G45+Milestones4352[[#This Row],[Days]]-TODAY()))/12))&gt;=1.2)
  + --(((1-IF(F45&gt;1,F45/100,F45))*POWER(2.718281828,(60-MAX(0,G45+Milestones4352[[#This Row],[Days]]-TODAY()))/12))&gt;=2),
  "On track","Low risk","Medium risk","High risk"
))))</f>
        <v>On track</v>
      </c>
      <c r="E45" s="58"/>
      <c r="F45" s="56">
        <v>0</v>
      </c>
      <c r="G45" s="70">
        <f t="shared" ref="G45:G46" si="214">G44+H44</f>
        <v>46157</v>
      </c>
      <c r="H45" s="57">
        <v>15</v>
      </c>
      <c r="I45" s="57">
        <f t="shared" si="207"/>
        <v>11</v>
      </c>
      <c r="J45" s="12">
        <f ca="1">IF(OR(Milestones4352[[#This Row],[Start]]="",Milestones4352[[#This Row],[Days]]=""),"",(Milestones4352[[#This Row],[Start]]+Milestones4352[[#This Row],[Days]])-TODAY())</f>
        <v>223</v>
      </c>
      <c r="K45" s="9"/>
      <c r="L45" s="69" t="str">
        <f ca="1">IF(AND($C45="Goal",L$8&gt;=$G45,L$8&lt;=$G45+$H45-1),2,IF(AND($C45="Milestone",L$8&gt;=$G45,L$8&lt;=$G45+$H45-1),1,""))</f>
        <v/>
      </c>
      <c r="M45" s="69" t="str">
        <f ca="1">IF(AND($C45="Goal",M$8&gt;=$G45,M$8&lt;=$G45+$H45-1),2,IF(AND($C45="Milestone",M$8&gt;=$G45,M$8&lt;=$G45+$H45-1),1,""))</f>
        <v/>
      </c>
      <c r="N45" s="69" t="str">
        <f ca="1">IF(AND($C45="Goal",N$8&gt;=$G45,N$8&lt;=$G45+$H45-1),2,IF(AND($C45="Milestone",N$8&gt;=$G45,N$8&lt;=$G45+$H45-1),1,""))</f>
        <v/>
      </c>
      <c r="O45" s="69" t="str">
        <f ca="1">IF(AND($C45="Goal",O$8&gt;=$G45,O$8&lt;=$G45+$H45-1),2,IF(AND($C45="Milestone",O$8&gt;=$G45,O$8&lt;=$G45+$H45-1),1,""))</f>
        <v/>
      </c>
      <c r="P45" s="69" t="str">
        <f ca="1">IF(AND($C45="Goal",P$8&gt;=$G45,P$8&lt;=$G45+$H45-1),2,IF(AND($C45="Milestone",P$8&gt;=$G45,P$8&lt;=$G45+$H45-1),1,""))</f>
        <v/>
      </c>
      <c r="Q45" s="69" t="str">
        <f ca="1">IF(AND($C45="Goal",Q$8&gt;=$G45,Q$8&lt;=$G45+$H45-1),2,IF(AND($C45="Milestone",Q$8&gt;=$G45,Q$8&lt;=$G45+$H45-1),1,""))</f>
        <v/>
      </c>
      <c r="R45" s="69" t="str">
        <f ca="1">IF(AND($C45="Goal",R$8&gt;=$G45,R$8&lt;=$G45+$H45-1),2,IF(AND($C45="Milestone",R$8&gt;=$G45,R$8&lt;=$G45+$H45-1),1,""))</f>
        <v/>
      </c>
      <c r="S45" s="69" t="str">
        <f ca="1">IF(AND($C45="Goal",S$8&gt;=$G45,S$8&lt;=$G45+$H45-1),2,IF(AND($C45="Milestone",S$8&gt;=$G45,S$8&lt;=$G45+$H45-1),1,""))</f>
        <v/>
      </c>
      <c r="T45" s="69" t="str">
        <f ca="1">IF(AND($C45="Goal",T$8&gt;=$G45,T$8&lt;=$G45+$H45-1),2,IF(AND($C45="Milestone",T$8&gt;=$G45,T$8&lt;=$G45+$H45-1),1,""))</f>
        <v/>
      </c>
      <c r="U45" s="69" t="str">
        <f ca="1">IF(AND($C45="Goal",U$8&gt;=$G45,U$8&lt;=$G45+$H45-1),2,IF(AND($C45="Milestone",U$8&gt;=$G45,U$8&lt;=$G45+$H45-1),1,""))</f>
        <v/>
      </c>
      <c r="V45" s="69" t="str">
        <f ca="1">IF(AND($C45="Goal",V$8&gt;=$G45,V$8&lt;=$G45+$H45-1),2,IF(AND($C45="Milestone",V$8&gt;=$G45,V$8&lt;=$G45+$H45-1),1,""))</f>
        <v/>
      </c>
      <c r="W45" s="69" t="str">
        <f ca="1">IF(AND($C45="Goal",W$8&gt;=$G45,W$8&lt;=$G45+$H45-1),2,IF(AND($C45="Milestone",W$8&gt;=$G45,W$8&lt;=$G45+$H45-1),1,""))</f>
        <v/>
      </c>
      <c r="X45" s="69" t="str">
        <f ca="1">IF(AND($C45="Goal",X$8&gt;=$G45,X$8&lt;=$G45+$H45-1),2,IF(AND($C45="Milestone",X$8&gt;=$G45,X$8&lt;=$G45+$H45-1),1,""))</f>
        <v/>
      </c>
      <c r="Y45" s="69" t="str">
        <f ca="1">IF(AND($C45="Goal",Y$8&gt;=$G45,Y$8&lt;=$G45+$H45-1),2,IF(AND($C45="Milestone",Y$8&gt;=$G45,Y$8&lt;=$G45+$H45-1),1,""))</f>
        <v/>
      </c>
      <c r="Z45" s="69" t="str">
        <f ca="1">IF(AND($C45="Goal",Z$8&gt;=$G45,Z$8&lt;=$G45+$H45-1),2,IF(AND($C45="Milestone",Z$8&gt;=$G45,Z$8&lt;=$G45+$H45-1),1,""))</f>
        <v/>
      </c>
      <c r="AA45" s="69" t="str">
        <f ca="1">IF(AND($C45="Goal",AA$8&gt;=$G45,AA$8&lt;=$G45+$H45-1),2,IF(AND($C45="Milestone",AA$8&gt;=$G45,AA$8&lt;=$G45+$H45-1),1,""))</f>
        <v/>
      </c>
      <c r="AB45" s="69" t="str">
        <f ca="1">IF(AND($C45="Goal",AB$8&gt;=$G45,AB$8&lt;=$G45+$H45-1),2,IF(AND($C45="Milestone",AB$8&gt;=$G45,AB$8&lt;=$G45+$H45-1),1,""))</f>
        <v/>
      </c>
      <c r="AC45" s="69" t="str">
        <f ca="1">IF(AND($C45="Goal",AC$8&gt;=$G45,AC$8&lt;=$G45+$H45-1),2,IF(AND($C45="Milestone",AC$8&gt;=$G45,AC$8&lt;=$G45+$H45-1),1,""))</f>
        <v/>
      </c>
      <c r="AD45" s="69" t="str">
        <f ca="1">IF(AND($C45="Goal",AD$8&gt;=$G45,AD$8&lt;=$G45+$H45-1),2,IF(AND($C45="Milestone",AD$8&gt;=$G45,AD$8&lt;=$G45+$H45-1),1,""))</f>
        <v/>
      </c>
      <c r="AE45" s="69" t="str">
        <f ca="1">IF(AND($C45="Goal",AE$8&gt;=$G45,AE$8&lt;=$G45+$H45-1),2,IF(AND($C45="Milestone",AE$8&gt;=$G45,AE$8&lt;=$G45+$H45-1),1,""))</f>
        <v/>
      </c>
      <c r="AF45" s="69" t="str">
        <f ca="1">IF(AND($C45="Goal",AF$8&gt;=$G45,AF$8&lt;=$G45+$H45-1),2,IF(AND($C45="Milestone",AF$8&gt;=$G45,AF$8&lt;=$G45+$H45-1),1,""))</f>
        <v/>
      </c>
      <c r="AG45" s="69" t="str">
        <f ca="1">IF(AND($C45="Goal",AG$8&gt;=$G45,AG$8&lt;=$G45+$H45-1),2,IF(AND($C45="Milestone",AG$8&gt;=$G45,AG$8&lt;=$G45+$H45-1),1,""))</f>
        <v/>
      </c>
      <c r="AH45" s="69" t="str">
        <f ca="1">IF(AND($C45="Goal",AH$8&gt;=$G45,AH$8&lt;=$G45+$H45-1),2,IF(AND($C45="Milestone",AH$8&gt;=$G45,AH$8&lt;=$G45+$H45-1),1,""))</f>
        <v/>
      </c>
      <c r="AI45" s="69" t="str">
        <f ca="1">IF(AND($C45="Goal",AI$8&gt;=$G45,AI$8&lt;=$G45+$H45-1),2,IF(AND($C45="Milestone",AI$8&gt;=$G45,AI$8&lt;=$G45+$H45-1),1,""))</f>
        <v/>
      </c>
      <c r="AJ45" s="69" t="str">
        <f ca="1">IF(AND($C45="Goal",AJ$8&gt;=$G45,AJ$8&lt;=$G45+$H45-1),2,IF(AND($C45="Milestone",AJ$8&gt;=$G45,AJ$8&lt;=$G45+$H45-1),1,""))</f>
        <v/>
      </c>
      <c r="AK45" s="69" t="str">
        <f ca="1">IF(AND($C45="Goal",AK$8&gt;=$G45,AK$8&lt;=$G45+$H45-1),2,IF(AND($C45="Milestone",AK$8&gt;=$G45,AK$8&lt;=$G45+$H45-1),1,""))</f>
        <v/>
      </c>
      <c r="AL45" s="69" t="str">
        <f ca="1">IF(AND($C45="Goal",AL$8&gt;=$G45,AL$8&lt;=$G45+$H45-1),2,IF(AND($C45="Milestone",AL$8&gt;=$G45,AL$8&lt;=$G45+$H45-1),1,""))</f>
        <v/>
      </c>
      <c r="AM45" s="69" t="str">
        <f ca="1">IF(AND($C45="Goal",AM$8&gt;=$G45,AM$8&lt;=$G45+$H45-1),2,IF(AND($C45="Milestone",AM$8&gt;=$G45,AM$8&lt;=$G45+$H45-1),1,""))</f>
        <v/>
      </c>
      <c r="AN45" s="69" t="str">
        <f ca="1">IF(AND($C45="Goal",AN$8&gt;=$G45,AN$8&lt;=$G45+$H45-1),2,IF(AND($C45="Milestone",AN$8&gt;=$G45,AN$8&lt;=$G45+$H45-1),1,""))</f>
        <v/>
      </c>
      <c r="AO45" s="69" t="str">
        <f ca="1">IF(AND($C45="Goal",AO$8&gt;=$G45,AO$8&lt;=$G45+$H45-1),2,IF(AND($C45="Milestone",AO$8&gt;=$G45,AO$8&lt;=$G45+$H45-1),1,""))</f>
        <v/>
      </c>
      <c r="AP45" s="69" t="str">
        <f ca="1">IF(AND($C45="Goal",AP$8&gt;=$G45,AP$8&lt;=$G45+$H45-1),2,IF(AND($C45="Milestone",AP$8&gt;=$G45,AP$8&lt;=$G45+$H45-1),1,""))</f>
        <v/>
      </c>
      <c r="AQ45" s="69" t="str">
        <f ca="1">IF(AND($C45="Goal",AQ$8&gt;=$G45,AQ$8&lt;=$G45+$H45-1),2,IF(AND($C45="Milestone",AQ$8&gt;=$G45,AQ$8&lt;=$G45+$H45-1),1,""))</f>
        <v/>
      </c>
      <c r="AR45" s="69" t="str">
        <f ca="1">IF(AND($C45="Goal",AR$8&gt;=$G45,AR$8&lt;=$G45+$H45-1),2,IF(AND($C45="Milestone",AR$8&gt;=$G45,AR$8&lt;=$G45+$H45-1),1,""))</f>
        <v/>
      </c>
      <c r="AS45" s="69" t="str">
        <f ca="1">IF(AND($C45="Goal",AS$8&gt;=$G45,AS$8&lt;=$G45+$H45-1),2,IF(AND($C45="Milestone",AS$8&gt;=$G45,AS$8&lt;=$G45+$H45-1),1,""))</f>
        <v/>
      </c>
      <c r="AT45" s="69" t="str">
        <f ca="1">IF(AND($C45="Goal",AT$8&gt;=$G45,AT$8&lt;=$G45+$H45-1),2,IF(AND($C45="Milestone",AT$8&gt;=$G45,AT$8&lt;=$G45+$H45-1),1,""))</f>
        <v/>
      </c>
      <c r="AU45" s="69" t="str">
        <f ca="1">IF(AND($C45="Goal",AU$8&gt;=$G45,AU$8&lt;=$G45+$H45-1),2,IF(AND($C45="Milestone",AU$8&gt;=$G45,AU$8&lt;=$G45+$H45-1),1,""))</f>
        <v/>
      </c>
      <c r="AV45" s="69" t="str">
        <f ca="1">IF(AND($C45="Goal",AV$8&gt;=$G45,AV$8&lt;=$G45+$H45-1),2,IF(AND($C45="Milestone",AV$8&gt;=$G45,AV$8&lt;=$G45+$H45-1),1,""))</f>
        <v/>
      </c>
      <c r="AW45" s="69" t="str">
        <f ca="1">IF(AND($C45="Goal",AW$8&gt;=$G45,AW$8&lt;=$G45+$H45-1),2,IF(AND($C45="Milestone",AW$8&gt;=$G45,AW$8&lt;=$G45+$H45-1),1,""))</f>
        <v/>
      </c>
      <c r="AX45" s="69" t="str">
        <f ca="1">IF(AND($C45="Goal",AX$8&gt;=$G45,AX$8&lt;=$G45+$H45-1),2,IF(AND($C45="Milestone",AX$8&gt;=$G45,AX$8&lt;=$G45+$H45-1),1,""))</f>
        <v/>
      </c>
      <c r="AY45" s="69" t="str">
        <f ca="1">IF(AND($C45="Goal",AY$8&gt;=$G45,AY$8&lt;=$G45+$H45-1),2,IF(AND($C45="Milestone",AY$8&gt;=$G45,AY$8&lt;=$G45+$H45-1),1,""))</f>
        <v/>
      </c>
      <c r="AZ45" s="69" t="str">
        <f ca="1">IF(AND($C45="Goal",AZ$8&gt;=$G45,AZ$8&lt;=$G45+$H45-1),2,IF(AND($C45="Milestone",AZ$8&gt;=$G45,AZ$8&lt;=$G45+$H45-1),1,""))</f>
        <v/>
      </c>
      <c r="BA45" s="69" t="str">
        <f ca="1">IF(AND($C45="Goal",BA$8&gt;=$G45,BA$8&lt;=$G45+$H45-1),2,IF(AND($C45="Milestone",BA$8&gt;=$G45,BA$8&lt;=$G45+$H45-1),1,""))</f>
        <v/>
      </c>
      <c r="BB45" s="69" t="str">
        <f ca="1">IF(AND($C45="Goal",BB$8&gt;=$G45,BB$8&lt;=$G45+$H45-1),2,IF(AND($C45="Milestone",BB$8&gt;=$G45,BB$8&lt;=$G45+$H45-1),1,""))</f>
        <v/>
      </c>
      <c r="BC45" s="69" t="str">
        <f ca="1">IF(AND($C45="Goal",BC$8&gt;=$G45,BC$8&lt;=$G45+$H45-1),2,IF(AND($C45="Milestone",BC$8&gt;=$G45,BC$8&lt;=$G45+$H45-1),1,""))</f>
        <v/>
      </c>
      <c r="BD45" s="69" t="str">
        <f ca="1">IF(AND($C45="Goal",BD$8&gt;=$G45,BD$8&lt;=$G45+$H45-1),2,IF(AND($C45="Milestone",BD$8&gt;=$G45,BD$8&lt;=$G45+$H45-1),1,""))</f>
        <v/>
      </c>
      <c r="BE45" s="69" t="str">
        <f ca="1">IF(AND($C45="Goal",BE$8&gt;=$G45,BE$8&lt;=$G45+$H45-1),2,IF(AND($C45="Milestone",BE$8&gt;=$G45,BE$8&lt;=$G45+$H45-1),1,""))</f>
        <v/>
      </c>
      <c r="BF45" s="69" t="str">
        <f ca="1">IF(AND($C45="Goal",BF$8&gt;=$G45,BF$8&lt;=$G45+$H45-1),2,IF(AND($C45="Milestone",BF$8&gt;=$G45,BF$8&lt;=$G45+$H45-1),1,""))</f>
        <v/>
      </c>
      <c r="BG45" s="69" t="str">
        <f ca="1">IF(AND($C45="Goal",BG$8&gt;=$G45,BG$8&lt;=$G45+$H45-1),2,IF(AND($C45="Milestone",BG$8&gt;=$G45,BG$8&lt;=$G45+$H45-1),1,""))</f>
        <v/>
      </c>
      <c r="BH45" s="69" t="str">
        <f ca="1">IF(AND($C45="Goal",BH$8&gt;=$G45,BH$8&lt;=$G45+$H45-1),2,IF(AND($C45="Milestone",BH$8&gt;=$G45,BH$8&lt;=$G45+$H45-1),1,""))</f>
        <v/>
      </c>
      <c r="BI45" s="69" t="str">
        <f ca="1">IF(AND($C45="Goal",BI$8&gt;=$G45,BI$8&lt;=$G45+$H45-1),2,IF(AND($C45="Milestone",BI$8&gt;=$G45,BI$8&lt;=$G45+$H45-1),1,""))</f>
        <v/>
      </c>
      <c r="BJ45" s="69" t="str">
        <f ca="1">IF(AND($C45="Goal",BJ$8&gt;=$G45,BJ$8&lt;=$G45+$H45-1),2,IF(AND($C45="Milestone",BJ$8&gt;=$G45,BJ$8&lt;=$G45+$H45-1),1,""))</f>
        <v/>
      </c>
      <c r="BK45" s="69" t="str">
        <f ca="1">IF(AND($C45="Goal",BK$8&gt;=$G45,BK$8&lt;=$G45+$H45-1),2,IF(AND($C45="Milestone",BK$8&gt;=$G45,BK$8&lt;=$G45+$H45-1),1,""))</f>
        <v/>
      </c>
      <c r="BL45" s="69" t="str">
        <f ca="1">IF(AND($C45="Goal",BL$8&gt;=$G45,BL$8&lt;=$G45+$H45-1),2,IF(AND($C45="Milestone",BL$8&gt;=$G45,BL$8&lt;=$G45+$H45-1),1,""))</f>
        <v/>
      </c>
      <c r="BM45" s="69" t="str">
        <f ca="1">IF(AND($C45="Goal",BM$8&gt;=$G45,BM$8&lt;=$G45+$H45-1),2,IF(AND($C45="Milestone",BM$8&gt;=$G45,BM$8&lt;=$G45+$H45-1),1,""))</f>
        <v/>
      </c>
      <c r="BN45" s="69" t="str">
        <f ca="1">IF(AND($C45="Goal",BN$8&gt;=$G45,BN$8&lt;=$G45+$H45-1),2,IF(AND($C45="Milestone",BN$8&gt;=$G45,BN$8&lt;=$G45+$H45-1),1,""))</f>
        <v/>
      </c>
      <c r="BO45" s="69" t="str">
        <f ca="1">IF(AND($C45="Goal",BO$8&gt;=$G45,BO$8&lt;=$G45+$H45-1),2,IF(AND($C45="Milestone",BO$8&gt;=$G45,BO$8&lt;=$G45+$H45-1),1,""))</f>
        <v/>
      </c>
      <c r="BP45" s="69" t="str">
        <f ca="1">IF(AND($C45="Goal",BP$8&gt;=$G45,BP$8&lt;=$G45+$H45-1),2,IF(AND($C45="Milestone",BP$8&gt;=$G45,BP$8&lt;=$G45+$H45-1),1,""))</f>
        <v/>
      </c>
      <c r="BQ45" s="69" t="str">
        <f ca="1">IF(AND($C45="Goal",BQ$8&gt;=$G45,BQ$8&lt;=$G45+$H45-1),2,IF(AND($C45="Milestone",BQ$8&gt;=$G45,BQ$8&lt;=$G45+$H45-1),1,""))</f>
        <v/>
      </c>
      <c r="BR45" s="69" t="str">
        <f ca="1">IF(AND($C45="Goal",BR$8&gt;=$G45,BR$8&lt;=$G45+$H45-1),2,IF(AND($C45="Milestone",BR$8&gt;=$G45,BR$8&lt;=$G45+$H45-1),1,""))</f>
        <v/>
      </c>
      <c r="BS45" s="69" t="str">
        <f ca="1">IF(AND($C45="Goal",BS$8&gt;=$G45,BS$8&lt;=$G45+$H45-1),2,IF(AND($C45="Milestone",BS$8&gt;=$G45,BS$8&lt;=$G45+$H45-1),1,""))</f>
        <v/>
      </c>
      <c r="BT45" s="69" t="str">
        <f ca="1">IF(AND($C45="Goal",BT$8&gt;=$G45,BT$8&lt;=$G45+$H45-1),2,IF(AND($C45="Milestone",BT$8&gt;=$G45,BT$8&lt;=$G45+$H45-1),1,""))</f>
        <v/>
      </c>
      <c r="BU45" s="69" t="str">
        <f ca="1">IF(AND($C45="Goal",BU$8&gt;=$G45,BU$8&lt;=$G45+$H45-1),2,IF(AND($C45="Milestone",BU$8&gt;=$G45,BU$8&lt;=$G45+$H45-1),1,""))</f>
        <v/>
      </c>
      <c r="BV45" s="69" t="str">
        <f ca="1">IF(AND($C45="Goal",BV$8&gt;=$G45,BV$8&lt;=$G45+$H45-1),2,IF(AND($C45="Milestone",BV$8&gt;=$G45,BV$8&lt;=$G45+$H45-1),1,""))</f>
        <v/>
      </c>
      <c r="BW45" s="69" t="str">
        <f ca="1">IF(AND($C45="Goal",BW$8&gt;=$G45,BW$8&lt;=$G45+$H45-1),2,IF(AND($C45="Milestone",BW$8&gt;=$G45,BW$8&lt;=$G45+$H45-1),1,""))</f>
        <v/>
      </c>
      <c r="BX45" s="69" t="str">
        <f ca="1">IF(AND($C45="Goal",BX$8&gt;=$G45,BX$8&lt;=$G45+$H45-1),2,IF(AND($C45="Milestone",BX$8&gt;=$G45,BX$8&lt;=$G45+$H45-1),1,""))</f>
        <v/>
      </c>
      <c r="BY45" s="69" t="str">
        <f ca="1">IF(AND($C45="Goal",BY$8&gt;=$G45,BY$8&lt;=$G45+$H45-1),2,IF(AND($C45="Milestone",BY$8&gt;=$G45,BY$8&lt;=$G45+$H45-1),1,""))</f>
        <v/>
      </c>
      <c r="BZ45" s="69" t="str">
        <f ca="1">IF(AND($C45="Goal",BZ$8&gt;=$G45,BZ$8&lt;=$G45+$H45-1),2,IF(AND($C45="Milestone",BZ$8&gt;=$G45,BZ$8&lt;=$G45+$H45-1),1,""))</f>
        <v/>
      </c>
      <c r="CA45" s="69" t="str">
        <f ca="1">IF(AND($C45="Goal",CA$8&gt;=$G45,CA$8&lt;=$G45+$H45-1),2,IF(AND($C45="Milestone",CA$8&gt;=$G45,CA$8&lt;=$G45+$H45-1),1,""))</f>
        <v/>
      </c>
      <c r="CB45" s="69" t="str">
        <f ca="1">IF(AND($C45="Goal",CB$8&gt;=$G45,CB$8&lt;=$G45+$H45-1),2,IF(AND($C45="Milestone",CB$8&gt;=$G45,CB$8&lt;=$G45+$H45-1),1,""))</f>
        <v/>
      </c>
      <c r="CC45" s="69" t="str">
        <f ca="1">IF(AND($C45="Goal",CC$8&gt;=$G45,CC$8&lt;=$G45+$H45-1),2,IF(AND($C45="Milestone",CC$8&gt;=$G45,CC$8&lt;=$G45+$H45-1),1,""))</f>
        <v/>
      </c>
      <c r="CD45" s="69" t="str">
        <f ca="1">IF(AND($C45="Goal",CD$8&gt;=$G45,CD$8&lt;=$G45+$H45-1),2,IF(AND($C45="Milestone",CD$8&gt;=$G45,CD$8&lt;=$G45+$H45-1),1,""))</f>
        <v/>
      </c>
      <c r="CE45" s="69" t="str">
        <f ca="1">IF(AND($C45="Goal",CE$8&gt;=$G45,CE$8&lt;=$G45+$H45-1),2,IF(AND($C45="Milestone",CE$8&gt;=$G45,CE$8&lt;=$G45+$H45-1),1,""))</f>
        <v/>
      </c>
      <c r="CF45" s="69" t="str">
        <f ca="1">IF(AND($C45="Goal",CF$8&gt;=$G45,CF$8&lt;=$G45+$H45-1),2,IF(AND($C45="Milestone",CF$8&gt;=$G45,CF$8&lt;=$G45+$H45-1),1,""))</f>
        <v/>
      </c>
      <c r="CG45" s="69" t="str">
        <f ca="1">IF(AND($C45="Goal",CG$8&gt;=$G45,CG$8&lt;=$G45+$H45-1),2,IF(AND($C45="Milestone",CG$8&gt;=$G45,CG$8&lt;=$G45+$H45-1),1,""))</f>
        <v/>
      </c>
      <c r="CH45" s="69" t="str">
        <f ca="1">IF(AND($C45="Goal",CH$8&gt;=$G45,CH$8&lt;=$G45+$H45-1),2,IF(AND($C45="Milestone",CH$8&gt;=$G45,CH$8&lt;=$G45+$H45-1),1,""))</f>
        <v/>
      </c>
      <c r="CI45" s="69" t="str">
        <f ca="1">IF(AND($C45="Goal",CI$8&gt;=$G45,CI$8&lt;=$G45+$H45-1),2,IF(AND($C45="Milestone",CI$8&gt;=$G45,CI$8&lt;=$G45+$H45-1),1,""))</f>
        <v/>
      </c>
      <c r="CJ45" s="69" t="str">
        <f ca="1">IF(AND($C45="Goal",CJ$8&gt;=$G45,CJ$8&lt;=$G45+$H45-1),2,IF(AND($C45="Milestone",CJ$8&gt;=$G45,CJ$8&lt;=$G45+$H45-1),1,""))</f>
        <v/>
      </c>
      <c r="CK45" s="69" t="str">
        <f ca="1">IF(AND($C45="Goal",CK$8&gt;=$G45,CK$8&lt;=$G45+$H45-1),2,IF(AND($C45="Milestone",CK$8&gt;=$G45,CK$8&lt;=$G45+$H45-1),1,""))</f>
        <v/>
      </c>
      <c r="CL45" s="69" t="str">
        <f ca="1">IF(AND($C45="Goal",CL$8&gt;=$G45,CL$8&lt;=$G45+$H45-1),2,IF(AND($C45="Milestone",CL$8&gt;=$G45,CL$8&lt;=$G45+$H45-1),1,""))</f>
        <v/>
      </c>
      <c r="CM45" s="69" t="str">
        <f ca="1">IF(AND($C45="Goal",CM$8&gt;=$G45,CM$8&lt;=$G45+$H45-1),2,IF(AND($C45="Milestone",CM$8&gt;=$G45,CM$8&lt;=$G45+$H45-1),1,""))</f>
        <v/>
      </c>
      <c r="CN45" s="69" t="str">
        <f ca="1">IF(AND($C45="Goal",CN$8&gt;=$G45,CN$8&lt;=$G45+$H45-1),2,IF(AND($C45="Milestone",CN$8&gt;=$G45,CN$8&lt;=$G45+$H45-1),1,""))</f>
        <v/>
      </c>
      <c r="CO45" s="69" t="str">
        <f ca="1">IF(AND($C45="Goal",CO$8&gt;=$G45,CO$8&lt;=$G45+$H45-1),2,IF(AND($C45="Milestone",CO$8&gt;=$G45,CO$8&lt;=$G45+$H45-1),1,""))</f>
        <v/>
      </c>
      <c r="CP45" s="69" t="str">
        <f ca="1">IF(AND($C45="Goal",CP$8&gt;=$G45,CP$8&lt;=$G45+$H45-1),2,IF(AND($C45="Milestone",CP$8&gt;=$G45,CP$8&lt;=$G45+$H45-1),1,""))</f>
        <v/>
      </c>
      <c r="CQ45" s="69" t="str">
        <f ca="1">IF(AND($C45="Goal",CQ$8&gt;=$G45,CQ$8&lt;=$G45+$H45-1),2,IF(AND($C45="Milestone",CQ$8&gt;=$G45,CQ$8&lt;=$G45+$H45-1),1,""))</f>
        <v/>
      </c>
      <c r="CR45" s="69" t="str">
        <f ca="1">IF(AND($C45="Goal",CR$8&gt;=$G45,CR$8&lt;=$G45+$H45-1),2,IF(AND($C45="Milestone",CR$8&gt;=$G45,CR$8&lt;=$G45+$H45-1),1,""))</f>
        <v/>
      </c>
      <c r="CS45" s="69" t="str">
        <f ca="1">IF(AND($C45="Goal",CS$8&gt;=$G45,CS$8&lt;=$G45+$H45-1),2,IF(AND($C45="Milestone",CS$8&gt;=$G45,CS$8&lt;=$G45+$H45-1),1,""))</f>
        <v/>
      </c>
      <c r="CT45" s="69" t="str">
        <f ca="1">IF(AND($C45="Goal",CT$8&gt;=$G45,CT$8&lt;=$G45+$H45-1),2,IF(AND($C45="Milestone",CT$8&gt;=$G45,CT$8&lt;=$G45+$H45-1),1,""))</f>
        <v/>
      </c>
      <c r="CU45" s="69" t="str">
        <f ca="1">IF(AND($C45="Goal",CU$8&gt;=$G45,CU$8&lt;=$G45+$H45-1),2,IF(AND($C45="Milestone",CU$8&gt;=$G45,CU$8&lt;=$G45+$H45-1),1,""))</f>
        <v/>
      </c>
      <c r="CV45" s="69" t="str">
        <f ca="1">IF(AND($C45="Goal",CV$8&gt;=$G45,CV$8&lt;=$G45+$H45-1),2,IF(AND($C45="Milestone",CV$8&gt;=$G45,CV$8&lt;=$G45+$H45-1),1,""))</f>
        <v/>
      </c>
      <c r="CW45" s="69" t="str">
        <f ca="1">IF(AND($C45="Goal",CW$8&gt;=$G45,CW$8&lt;=$G45+$H45-1),2,IF(AND($C45="Milestone",CW$8&gt;=$G45,CW$8&lt;=$G45+$H45-1),1,""))</f>
        <v/>
      </c>
      <c r="CX45" s="69" t="str">
        <f ca="1">IF(AND($C45="Goal",CX$8&gt;=$G45,CX$8&lt;=$G45+$H45-1),2,IF(AND($C45="Milestone",CX$8&gt;=$G45,CX$8&lt;=$G45+$H45-1),1,""))</f>
        <v/>
      </c>
      <c r="CY45" s="69" t="str">
        <f ca="1">IF(AND($C45="Goal",CY$8&gt;=$G45,CY$8&lt;=$G45+$H45-1),2,IF(AND($C45="Milestone",CY$8&gt;=$G45,CY$8&lt;=$G45+$H45-1),1,""))</f>
        <v/>
      </c>
      <c r="CZ45" s="69" t="str">
        <f ca="1">IF(AND($C45="Goal",CZ$8&gt;=$G45,CZ$8&lt;=$G45+$H45-1),2,IF(AND($C45="Milestone",CZ$8&gt;=$G45,CZ$8&lt;=$G45+$H45-1),1,""))</f>
        <v/>
      </c>
      <c r="DA45" s="69" t="str">
        <f ca="1">IF(AND($C45="Goal",DA$8&gt;=$G45,DA$8&lt;=$G45+$H45-1),2,IF(AND($C45="Milestone",DA$8&gt;=$G45,DA$8&lt;=$G45+$H45-1),1,""))</f>
        <v/>
      </c>
      <c r="DB45" s="69" t="str">
        <f ca="1">IF(AND($C45="Goal",DB$8&gt;=$G45,DB$8&lt;=$G45+$H45-1),2,IF(AND($C45="Milestone",DB$8&gt;=$G45,DB$8&lt;=$G45+$H45-1),1,""))</f>
        <v/>
      </c>
      <c r="DC45" s="69" t="str">
        <f ca="1">IF(AND($C45="Goal",DC$8&gt;=$G45,DC$8&lt;=$G45+$H45-1),2,IF(AND($C45="Milestone",DC$8&gt;=$G45,DC$8&lt;=$G45+$H45-1),1,""))</f>
        <v/>
      </c>
      <c r="DD45" s="69" t="str">
        <f ca="1">IF(AND($C45="Goal",DD$8&gt;=$G45,DD$8&lt;=$G45+$H45-1),2,IF(AND($C45="Milestone",DD$8&gt;=$G45,DD$8&lt;=$G45+$H45-1),1,""))</f>
        <v/>
      </c>
      <c r="DE45" s="69" t="str">
        <f ca="1">IF(AND($C45="Goal",DE$8&gt;=$G45,DE$8&lt;=$G45+$H45-1),2,IF(AND($C45="Milestone",DE$8&gt;=$G45,DE$8&lt;=$G45+$H45-1),1,""))</f>
        <v/>
      </c>
      <c r="DF45" s="69" t="str">
        <f ca="1">IF(AND($C45="Goal",DF$8&gt;=$G45,DF$8&lt;=$G45+$H45-1),2,IF(AND($C45="Milestone",DF$8&gt;=$G45,DF$8&lt;=$G45+$H45-1),1,""))</f>
        <v/>
      </c>
      <c r="DG45" s="69" t="str">
        <f ca="1">IF(AND($C45="Goal",DG$8&gt;=$G45,DG$8&lt;=$G45+$H45-1),2,IF(AND($C45="Milestone",DG$8&gt;=$G45,DG$8&lt;=$G45+$H45-1),1,""))</f>
        <v/>
      </c>
      <c r="DH45" s="69" t="str">
        <f ca="1">IF(AND($C45="Goal",DH$8&gt;=$G45,DH$8&lt;=$G45+$H45-1),2,IF(AND($C45="Milestone",DH$8&gt;=$G45,DH$8&lt;=$G45+$H45-1),1,""))</f>
        <v/>
      </c>
      <c r="DI45" s="69" t="str">
        <f ca="1">IF(AND($C45="Goal",DI$8&gt;=$G45,DI$8&lt;=$G45+$H45-1),2,IF(AND($C45="Milestone",DI$8&gt;=$G45,DI$8&lt;=$G45+$H45-1),1,""))</f>
        <v/>
      </c>
      <c r="DJ45" s="69" t="str">
        <f ca="1">IF(AND($C45="Goal",DJ$8&gt;=$G45,DJ$8&lt;=$G45+$H45-1),2,IF(AND($C45="Milestone",DJ$8&gt;=$G45,DJ$8&lt;=$G45+$H45-1),1,""))</f>
        <v/>
      </c>
      <c r="DK45" s="69" t="str">
        <f ca="1">IF(AND($C45="Goal",DK$8&gt;=$G45,DK$8&lt;=$G45+$H45-1),2,IF(AND($C45="Milestone",DK$8&gt;=$G45,DK$8&lt;=$G45+$H45-1),1,""))</f>
        <v/>
      </c>
      <c r="DL45" s="69" t="str">
        <f ca="1">IF(AND($C45="Goal",DL$8&gt;=$G45,DL$8&lt;=$G45+$H45-1),2,IF(AND($C45="Milestone",DL$8&gt;=$G45,DL$8&lt;=$G45+$H45-1),1,""))</f>
        <v/>
      </c>
      <c r="DM45" s="69" t="str">
        <f ca="1">IF(AND($C45="Goal",DM$8&gt;=$G45,DM$8&lt;=$G45+$H45-1),2,IF(AND($C45="Milestone",DM$8&gt;=$G45,DM$8&lt;=$G45+$H45-1),1,""))</f>
        <v/>
      </c>
      <c r="DN45" s="69" t="str">
        <f ca="1">IF(AND($C45="Goal",DN$8&gt;=$G45,DN$8&lt;=$G45+$H45-1),2,IF(AND($C45="Milestone",DN$8&gt;=$G45,DN$8&lt;=$G45+$H45-1),1,""))</f>
        <v/>
      </c>
      <c r="DO45" s="69" t="str">
        <f ca="1">IF(AND($C45="Goal",DO$8&gt;=$G45,DO$8&lt;=$G45+$H45-1),2,IF(AND($C45="Milestone",DO$8&gt;=$G45,DO$8&lt;=$G45+$H45-1),1,""))</f>
        <v/>
      </c>
      <c r="DP45" s="69" t="str">
        <f ca="1">IF(AND($C45="Goal",DP$8&gt;=$G45,DP$8&lt;=$G45+$H45-1),2,IF(AND($C45="Milestone",DP$8&gt;=$G45,DP$8&lt;=$G45+$H45-1),1,""))</f>
        <v/>
      </c>
      <c r="DQ45" s="69" t="str">
        <f ca="1">IF(AND($C45="Goal",DQ$8&gt;=$G45,DQ$8&lt;=$G45+$H45-1),2,IF(AND($C45="Milestone",DQ$8&gt;=$G45,DQ$8&lt;=$G45+$H45-1),1,""))</f>
        <v/>
      </c>
      <c r="DR45" s="69" t="str">
        <f ca="1">IF(AND($C45="Goal",DR$8&gt;=$G45,DR$8&lt;=$G45+$H45-1),2,IF(AND($C45="Milestone",DR$8&gt;=$G45,DR$8&lt;=$G45+$H45-1),1,""))</f>
        <v/>
      </c>
      <c r="DS45" s="69" t="str">
        <f ca="1">IF(AND($C45="Goal",DS$8&gt;=$G45,DS$8&lt;=$G45+$H45-1),2,IF(AND($C45="Milestone",DS$8&gt;=$G45,DS$8&lt;=$G45+$H45-1),1,""))</f>
        <v/>
      </c>
      <c r="DT45" s="69" t="str">
        <f ca="1">IF(AND($C45="Goal",DT$8&gt;=$G45,DT$8&lt;=$G45+$H45-1),2,IF(AND($C45="Milestone",DT$8&gt;=$G45,DT$8&lt;=$G45+$H45-1),1,""))</f>
        <v/>
      </c>
      <c r="DU45" s="69" t="str">
        <f ca="1">IF(AND($C45="Goal",DU$8&gt;=$G45,DU$8&lt;=$G45+$H45-1),2,IF(AND($C45="Milestone",DU$8&gt;=$G45,DU$8&lt;=$G45+$H45-1),1,""))</f>
        <v/>
      </c>
      <c r="DV45" s="69" t="str">
        <f ca="1">IF(AND($C45="Goal",DV$8&gt;=$G45,DV$8&lt;=$G45+$H45-1),2,IF(AND($C45="Milestone",DV$8&gt;=$G45,DV$8&lt;=$G45+$H45-1),1,""))</f>
        <v/>
      </c>
      <c r="DW45" s="69" t="str">
        <f ca="1">IF(AND($C45="Goal",DW$8&gt;=$G45,DW$8&lt;=$G45+$H45-1),2,IF(AND($C45="Milestone",DW$8&gt;=$G45,DW$8&lt;=$G45+$H45-1),1,""))</f>
        <v/>
      </c>
      <c r="DX45" s="69" t="str">
        <f ca="1">IF(AND($C45="Goal",DX$8&gt;=$G45,DX$8&lt;=$G45+$H45-1),2,IF(AND($C45="Milestone",DX$8&gt;=$G45,DX$8&lt;=$G45+$H45-1),1,""))</f>
        <v/>
      </c>
      <c r="DY45" s="69" t="str">
        <f ca="1">IF(AND($C45="Goal",DY$8&gt;=$G45,DY$8&lt;=$G45+$H45-1),2,IF(AND($C45="Milestone",DY$8&gt;=$G45,DY$8&lt;=$G45+$H45-1),1,""))</f>
        <v/>
      </c>
      <c r="DZ45" s="69" t="str">
        <f ca="1">IF(AND($C45="Goal",DZ$8&gt;=$G45,DZ$8&lt;=$G45+$H45-1),2,IF(AND($C45="Milestone",DZ$8&gt;=$G45,DZ$8&lt;=$G45+$H45-1),1,""))</f>
        <v/>
      </c>
      <c r="EA45" s="69" t="str">
        <f ca="1">IF(AND($C45="Goal",EA$8&gt;=$G45,EA$8&lt;=$G45+$H45-1),2,IF(AND($C45="Milestone",EA$8&gt;=$G45,EA$8&lt;=$G45+$H45-1),1,""))</f>
        <v/>
      </c>
      <c r="EB45" s="69" t="str">
        <f ca="1">IF(AND($C45="Goal",EB$8&gt;=$G45,EB$8&lt;=$G45+$H45-1),2,IF(AND($C45="Milestone",EB$8&gt;=$G45,EB$8&lt;=$G45+$H45-1),1,""))</f>
        <v/>
      </c>
      <c r="EC45" s="69" t="str">
        <f ca="1">IF(AND($C45="Goal",EC$8&gt;=$G45,EC$8&lt;=$G45+$H45-1),2,IF(AND($C45="Milestone",EC$8&gt;=$G45,EC$8&lt;=$G45+$H45-1),1,""))</f>
        <v/>
      </c>
      <c r="ED45" s="69" t="str">
        <f ca="1">IF(AND($C45="Goal",ED$8&gt;=$G45,ED$8&lt;=$G45+$H45-1),2,IF(AND($C45="Milestone",ED$8&gt;=$G45,ED$8&lt;=$G45+$H45-1),1,""))</f>
        <v/>
      </c>
      <c r="EE45" s="69" t="str">
        <f ca="1">IF(AND($C45="Goal",EE$8&gt;=$G45,EE$8&lt;=$G45+$H45-1),2,IF(AND($C45="Milestone",EE$8&gt;=$G45,EE$8&lt;=$G45+$H45-1),1,""))</f>
        <v/>
      </c>
      <c r="EF45" s="69" t="str">
        <f ca="1">IF(AND($C45="Goal",EF$8&gt;=$G45,EF$8&lt;=$G45+$H45-1),2,IF(AND($C45="Milestone",EF$8&gt;=$G45,EF$8&lt;=$G45+$H45-1),1,""))</f>
        <v/>
      </c>
      <c r="EG45" s="69" t="str">
        <f ca="1">IF(AND($C45="Goal",EG$8&gt;=$G45,EG$8&lt;=$G45+$H45-1),2,IF(AND($C45="Milestone",EG$8&gt;=$G45,EG$8&lt;=$G45+$H45-1),1,""))</f>
        <v/>
      </c>
      <c r="EH45" s="69" t="str">
        <f ca="1">IF(AND($C45="Goal",EH$8&gt;=$G45,EH$8&lt;=$G45+$H45-1),2,IF(AND($C45="Milestone",EH$8&gt;=$G45,EH$8&lt;=$G45+$H45-1),1,""))</f>
        <v/>
      </c>
      <c r="EI45" s="69" t="str">
        <f ca="1">IF(AND($C45="Goal",EI$8&gt;=$G45,EI$8&lt;=$G45+$H45-1),2,IF(AND($C45="Milestone",EI$8&gt;=$G45,EI$8&lt;=$G45+$H45-1),1,""))</f>
        <v/>
      </c>
      <c r="EJ45" s="69" t="str">
        <f ca="1">IF(AND($C45="Goal",EJ$8&gt;=$G45,EJ$8&lt;=$G45+$H45-1),2,IF(AND($C45="Milestone",EJ$8&gt;=$G45,EJ$8&lt;=$G45+$H45-1),1,""))</f>
        <v/>
      </c>
      <c r="EK45" s="69" t="str">
        <f ca="1">IF(AND($C45="Goal",EK$8&gt;=$G45,EK$8&lt;=$G45+$H45-1),2,IF(AND($C45="Milestone",EK$8&gt;=$G45,EK$8&lt;=$G45+$H45-1),1,""))</f>
        <v/>
      </c>
      <c r="EL45" s="69" t="str">
        <f ca="1">IF(AND($C45="Goal",EL$8&gt;=$G45,EL$8&lt;=$G45+$H45-1),2,IF(AND($C45="Milestone",EL$8&gt;=$G45,EL$8&lt;=$G45+$H45-1),1,""))</f>
        <v/>
      </c>
      <c r="EM45" s="69" t="str">
        <f ca="1">IF(AND($C45="Goal",EM$8&gt;=$G45,EM$8&lt;=$G45+$H45-1),2,IF(AND($C45="Milestone",EM$8&gt;=$G45,EM$8&lt;=$G45+$H45-1),1,""))</f>
        <v/>
      </c>
      <c r="EN45" s="69" t="str">
        <f ca="1">IF(AND($C45="Goal",EN$8&gt;=$G45,EN$8&lt;=$G45+$H45-1),2,IF(AND($C45="Milestone",EN$8&gt;=$G45,EN$8&lt;=$G45+$H45-1),1,""))</f>
        <v/>
      </c>
      <c r="EO45" s="69" t="str">
        <f ca="1">IF(AND($C45="Goal",EO$8&gt;=$G45,EO$8&lt;=$G45+$H45-1),2,IF(AND($C45="Milestone",EO$8&gt;=$G45,EO$8&lt;=$G45+$H45-1),1,""))</f>
        <v/>
      </c>
      <c r="EP45" s="69" t="str">
        <f ca="1">IF(AND($C45="Goal",EP$8&gt;=$G45,EP$8&lt;=$G45+$H45-1),2,IF(AND($C45="Milestone",EP$8&gt;=$G45,EP$8&lt;=$G45+$H45-1),1,""))</f>
        <v/>
      </c>
      <c r="EQ45" s="69" t="str">
        <f ca="1">IF(AND($C45="Goal",EQ$8&gt;=$G45,EQ$8&lt;=$G45+$H45-1),2,IF(AND($C45="Milestone",EQ$8&gt;=$G45,EQ$8&lt;=$G45+$H45-1),1,""))</f>
        <v/>
      </c>
      <c r="ER45" s="69" t="str">
        <f ca="1">IF(AND($C45="Goal",ER$8&gt;=$G45,ER$8&lt;=$G45+$H45-1),2,IF(AND($C45="Milestone",ER$8&gt;=$G45,ER$8&lt;=$G45+$H45-1),1,""))</f>
        <v/>
      </c>
      <c r="ES45" s="69" t="str">
        <f ca="1">IF(AND($C45="Goal",ES$8&gt;=$G45,ES$8&lt;=$G45+$H45-1),2,IF(AND($C45="Milestone",ES$8&gt;=$G45,ES$8&lt;=$G45+$H45-1),1,""))</f>
        <v/>
      </c>
      <c r="ET45" s="69" t="str">
        <f ca="1">IF(AND($C45="Goal",ET$8&gt;=$G45,ET$8&lt;=$G45+$H45-1),2,IF(AND($C45="Milestone",ET$8&gt;=$G45,ET$8&lt;=$G45+$H45-1),1,""))</f>
        <v/>
      </c>
      <c r="EU45" s="69" t="str">
        <f ca="1">IF(AND($C45="Goal",EU$8&gt;=$G45,EU$8&lt;=$G45+$H45-1),2,IF(AND($C45="Milestone",EU$8&gt;=$G45,EU$8&lt;=$G45+$H45-1),1,""))</f>
        <v/>
      </c>
      <c r="EV45" s="69" t="str">
        <f ca="1">IF(AND($C45="Goal",EV$8&gt;=$G45,EV$8&lt;=$G45+$H45-1),2,IF(AND($C45="Milestone",EV$8&gt;=$G45,EV$8&lt;=$G45+$H45-1),1,""))</f>
        <v/>
      </c>
      <c r="EW45" s="69" t="str">
        <f ca="1">IF(AND($C45="Goal",EW$8&gt;=$G45,EW$8&lt;=$G45+$H45-1),2,IF(AND($C45="Milestone",EW$8&gt;=$G45,EW$8&lt;=$G45+$H45-1),1,""))</f>
        <v/>
      </c>
      <c r="EX45" s="69" t="str">
        <f ca="1">IF(AND($C45="Goal",EX$8&gt;=$G45,EX$8&lt;=$G45+$H45-1),2,IF(AND($C45="Milestone",EX$8&gt;=$G45,EX$8&lt;=$G45+$H45-1),1,""))</f>
        <v/>
      </c>
      <c r="EY45" s="69" t="str">
        <f ca="1">IF(AND($C45="Goal",EY$8&gt;=$G45,EY$8&lt;=$G45+$H45-1),2,IF(AND($C45="Milestone",EY$8&gt;=$G45,EY$8&lt;=$G45+$H45-1),1,""))</f>
        <v/>
      </c>
      <c r="EZ45" s="69" t="str">
        <f ca="1">IF(AND($C45="Goal",EZ$8&gt;=$G45,EZ$8&lt;=$G45+$H45-1),2,IF(AND($C45="Milestone",EZ$8&gt;=$G45,EZ$8&lt;=$G45+$H45-1),1,""))</f>
        <v/>
      </c>
      <c r="FA45" s="69" t="str">
        <f ca="1">IF(AND($C45="Goal",FA$8&gt;=$G45,FA$8&lt;=$G45+$H45-1),2,IF(AND($C45="Milestone",FA$8&gt;=$G45,FA$8&lt;=$G45+$H45-1),1,""))</f>
        <v/>
      </c>
      <c r="FB45" s="69" t="str">
        <f ca="1">IF(AND($C45="Goal",FB$8&gt;=$G45,FB$8&lt;=$G45+$H45-1),2,IF(AND($C45="Milestone",FB$8&gt;=$G45,FB$8&lt;=$G45+$H45-1),1,""))</f>
        <v/>
      </c>
      <c r="FC45" s="69" t="str">
        <f ca="1">IF(AND($C45="Goal",FC$8&gt;=$G45,FC$8&lt;=$G45+$H45-1),2,IF(AND($C45="Milestone",FC$8&gt;=$G45,FC$8&lt;=$G45+$H45-1),1,""))</f>
        <v/>
      </c>
      <c r="FD45" s="69" t="str">
        <f ca="1">IF(AND($C45="Goal",FD$8&gt;=$G45,FD$8&lt;=$G45+$H45-1),2,IF(AND($C45="Milestone",FD$8&gt;=$G45,FD$8&lt;=$G45+$H45-1),1,""))</f>
        <v/>
      </c>
      <c r="FE45" s="69" t="str">
        <f ca="1">IF(AND($C45="Goal",FE$8&gt;=$G45,FE$8&lt;=$G45+$H45-1),2,IF(AND($C45="Milestone",FE$8&gt;=$G45,FE$8&lt;=$G45+$H45-1),1,""))</f>
        <v/>
      </c>
      <c r="FF45" s="69" t="str">
        <f ca="1">IF(AND($C45="Goal",FF$8&gt;=$G45,FF$8&lt;=$G45+$H45-1),2,IF(AND($C45="Milestone",FF$8&gt;=$G45,FF$8&lt;=$G45+$H45-1),1,""))</f>
        <v/>
      </c>
      <c r="FG45" s="69" t="str">
        <f ca="1">IF(AND($C45="Goal",FG$8&gt;=$G45,FG$8&lt;=$G45+$H45-1),2,IF(AND($C45="Milestone",FG$8&gt;=$G45,FG$8&lt;=$G45+$H45-1),1,""))</f>
        <v/>
      </c>
      <c r="FH45" s="69" t="str">
        <f ca="1">IF(AND($C45="Goal",FH$8&gt;=$G45,FH$8&lt;=$G45+$H45-1),2,IF(AND($C45="Milestone",FH$8&gt;=$G45,FH$8&lt;=$G45+$H45-1),1,""))</f>
        <v/>
      </c>
      <c r="FI45" s="69" t="str">
        <f ca="1">IF(AND($C45="Goal",FI$8&gt;=$G45,FI$8&lt;=$G45+$H45-1),2,IF(AND($C45="Milestone",FI$8&gt;=$G45,FI$8&lt;=$G45+$H45-1),1,""))</f>
        <v/>
      </c>
      <c r="FJ45" s="69" t="str">
        <f ca="1">IF(AND($C45="Goal",FJ$8&gt;=$G45,FJ$8&lt;=$G45+$H45-1),2,IF(AND($C45="Milestone",FJ$8&gt;=$G45,FJ$8&lt;=$G45+$H45-1),1,""))</f>
        <v/>
      </c>
      <c r="FK45" s="69" t="str">
        <f ca="1">IF(AND($C45="Goal",FK$8&gt;=$G45,FK$8&lt;=$G45+$H45-1),2,IF(AND($C45="Milestone",FK$8&gt;=$G45,FK$8&lt;=$G45+$H45-1),1,""))</f>
        <v/>
      </c>
      <c r="FL45" s="69" t="str">
        <f ca="1">IF(AND($C45="Goal",FL$8&gt;=$G45,FL$8&lt;=$G45+$H45-1),2,IF(AND($C45="Milestone",FL$8&gt;=$G45,FL$8&lt;=$G45+$H45-1),1,""))</f>
        <v/>
      </c>
      <c r="FM45" s="69" t="str">
        <f ca="1">IF(AND($C45="Goal",FM$8&gt;=$G45,FM$8&lt;=$G45+$H45-1),2,IF(AND($C45="Milestone",FM$8&gt;=$G45,FM$8&lt;=$G45+$H45-1),1,""))</f>
        <v/>
      </c>
      <c r="FN45" s="69" t="str">
        <f ca="1">IF(AND($C45="Goal",FN$8&gt;=$G45,FN$8&lt;=$G45+$H45-1),2,IF(AND($C45="Milestone",FN$8&gt;=$G45,FN$8&lt;=$G45+$H45-1),1,""))</f>
        <v/>
      </c>
      <c r="FO45" s="69" t="str">
        <f ca="1">IF(AND($C45="Goal",FO$8&gt;=$G45,FO$8&lt;=$G45+$H45-1),2,IF(AND($C45="Milestone",FO$8&gt;=$G45,FO$8&lt;=$G45+$H45-1),1,""))</f>
        <v/>
      </c>
      <c r="FP45" s="69" t="str">
        <f ca="1">IF(AND($C45="Goal",FP$8&gt;=$G45,FP$8&lt;=$G45+$H45-1),2,IF(AND($C45="Milestone",FP$8&gt;=$G45,FP$8&lt;=$G45+$H45-1),1,""))</f>
        <v/>
      </c>
      <c r="FQ45" s="69" t="str">
        <f ca="1">IF(AND($C45="Goal",FQ$8&gt;=$G45,FQ$8&lt;=$G45+$H45-1),2,IF(AND($C45="Milestone",FQ$8&gt;=$G45,FQ$8&lt;=$G45+$H45-1),1,""))</f>
        <v/>
      </c>
      <c r="FR45" s="69" t="str">
        <f ca="1">IF(AND($C45="Goal",FR$8&gt;=$G45,FR$8&lt;=$G45+$H45-1),2,IF(AND($C45="Milestone",FR$8&gt;=$G45,FR$8&lt;=$G45+$H45-1),1,""))</f>
        <v/>
      </c>
      <c r="FS45" s="69" t="str">
        <f ca="1">IF(AND($C45="Goal",FS$8&gt;=$G45,FS$8&lt;=$G45+$H45-1),2,IF(AND($C45="Milestone",FS$8&gt;=$G45,FS$8&lt;=$G45+$H45-1),1,""))</f>
        <v/>
      </c>
      <c r="FT45" s="69" t="str">
        <f ca="1">IF(AND($C45="Goal",FT$8&gt;=$G45,FT$8&lt;=$G45+$H45-1),2,IF(AND($C45="Milestone",FT$8&gt;=$G45,FT$8&lt;=$G45+$H45-1),1,""))</f>
        <v/>
      </c>
      <c r="FU45" s="69" t="str">
        <f ca="1">IF(AND($C45="Goal",FU$8&gt;=$G45,FU$8&lt;=$G45+$H45-1),2,IF(AND($C45="Milestone",FU$8&gt;=$G45,FU$8&lt;=$G45+$H45-1),1,""))</f>
        <v/>
      </c>
      <c r="FV45" s="69" t="str">
        <f ca="1">IF(AND($C45="Goal",FV$8&gt;=$G45,FV$8&lt;=$G45+$H45-1),2,IF(AND($C45="Milestone",FV$8&gt;=$G45,FV$8&lt;=$G45+$H45-1),1,""))</f>
        <v/>
      </c>
      <c r="FW45" s="69" t="str">
        <f ca="1">IF(AND($C45="Goal",FW$8&gt;=$G45,FW$8&lt;=$G45+$H45-1),2,IF(AND($C45="Milestone",FW$8&gt;=$G45,FW$8&lt;=$G45+$H45-1),1,""))</f>
        <v/>
      </c>
      <c r="FX45" s="69" t="str">
        <f ca="1">IF(AND($C45="Goal",FX$8&gt;=$G45,FX$8&lt;=$G45+$H45-1),2,IF(AND($C45="Milestone",FX$8&gt;=$G45,FX$8&lt;=$G45+$H45-1),1,""))</f>
        <v/>
      </c>
      <c r="FY45" s="69" t="str">
        <f ca="1">IF(AND($C45="Goal",FY$8&gt;=$G45,FY$8&lt;=$G45+$H45-1),2,IF(AND($C45="Milestone",FY$8&gt;=$G45,FY$8&lt;=$G45+$H45-1),1,""))</f>
        <v/>
      </c>
      <c r="FZ45" s="69" t="str">
        <f ca="1">IF(AND($C45="Goal",FZ$8&gt;=$G45,FZ$8&lt;=$G45+$H45-1),2,IF(AND($C45="Milestone",FZ$8&gt;=$G45,FZ$8&lt;=$G45+$H45-1),1,""))</f>
        <v/>
      </c>
      <c r="GA45" s="69" t="str">
        <f ca="1">IF(AND($C45="Goal",GA$8&gt;=$G45,GA$8&lt;=$G45+$H45-1),2,IF(AND($C45="Milestone",GA$8&gt;=$G45,GA$8&lt;=$G45+$H45-1),1,""))</f>
        <v/>
      </c>
      <c r="GB45" s="69" t="str">
        <f ca="1">IF(AND($C45="Goal",GB$8&gt;=$G45,GB$8&lt;=$G45+$H45-1),2,IF(AND($C45="Milestone",GB$8&gt;=$G45,GB$8&lt;=$G45+$H45-1),1,""))</f>
        <v/>
      </c>
      <c r="GC45" s="69" t="str">
        <f ca="1">IF(AND($C45="Goal",GC$8&gt;=$G45,GC$8&lt;=$G45+$H45-1),2,IF(AND($C45="Milestone",GC$8&gt;=$G45,GC$8&lt;=$G45+$H45-1),1,""))</f>
        <v/>
      </c>
      <c r="GD45" s="69" t="str">
        <f ca="1">IF(AND($C45="Goal",GD$8&gt;=$G45,GD$8&lt;=$G45+$H45-1),2,IF(AND($C45="Milestone",GD$8&gt;=$G45,GD$8&lt;=$G45+$H45-1),1,""))</f>
        <v/>
      </c>
      <c r="GE45" s="69" t="str">
        <f ca="1">IF(AND($C45="Goal",GE$8&gt;=$G45,GE$8&lt;=$G45+$H45-1),2,IF(AND($C45="Milestone",GE$8&gt;=$G45,GE$8&lt;=$G45+$H45-1),1,""))</f>
        <v/>
      </c>
      <c r="GF45" s="69" t="str">
        <f ca="1">IF(AND($C45="Goal",GF$8&gt;=$G45,GF$8&lt;=$G45+$H45-1),2,IF(AND($C45="Milestone",GF$8&gt;=$G45,GF$8&lt;=$G45+$H45-1),1,""))</f>
        <v/>
      </c>
      <c r="GG45" s="69" t="str">
        <f ca="1">IF(AND($C45="Goal",GG$8&gt;=$G45,GG$8&lt;=$G45+$H45-1),2,IF(AND($C45="Milestone",GG$8&gt;=$G45,GG$8&lt;=$G45+$H45-1),1,""))</f>
        <v/>
      </c>
      <c r="GH45" s="69" t="str">
        <f ca="1">IF(AND($C45="Goal",GH$8&gt;=$G45,GH$8&lt;=$G45+$H45-1),2,IF(AND($C45="Milestone",GH$8&gt;=$G45,GH$8&lt;=$G45+$H45-1),1,""))</f>
        <v/>
      </c>
      <c r="GI45" s="69" t="str">
        <f ca="1">IF(AND($C45="Goal",GI$8&gt;=$G45,GI$8&lt;=$G45+$H45-1),2,IF(AND($C45="Milestone",GI$8&gt;=$G45,GI$8&lt;=$G45+$H45-1),1,""))</f>
        <v/>
      </c>
      <c r="GJ45" s="69" t="str">
        <f ca="1">IF(AND($C45="Goal",GJ$8&gt;=$G45,GJ$8&lt;=$G45+$H45-1),2,IF(AND($C45="Milestone",GJ$8&gt;=$G45,GJ$8&lt;=$G45+$H45-1),1,""))</f>
        <v/>
      </c>
      <c r="GK45" s="69" t="str">
        <f ca="1">IF(AND($C45="Goal",GK$8&gt;=$G45,GK$8&lt;=$G45+$H45-1),2,IF(AND($C45="Milestone",GK$8&gt;=$G45,GK$8&lt;=$G45+$H45-1),1,""))</f>
        <v/>
      </c>
      <c r="GL45" s="69" t="str">
        <f ca="1">IF(AND($C45="Goal",GL$8&gt;=$G45,GL$8&lt;=$G45+$H45-1),2,IF(AND($C45="Milestone",GL$8&gt;=$G45,GL$8&lt;=$G45+$H45-1),1,""))</f>
        <v/>
      </c>
      <c r="GM45" s="69" t="str">
        <f ca="1">IF(AND($C45="Goal",GM$8&gt;=$G45,GM$8&lt;=$G45+$H45-1),2,IF(AND($C45="Milestone",GM$8&gt;=$G45,GM$8&lt;=$G45+$H45-1),1,""))</f>
        <v/>
      </c>
      <c r="GN45" s="69" t="str">
        <f ca="1">IF(AND($C45="Goal",GN$8&gt;=$G45,GN$8&lt;=$G45+$H45-1),2,IF(AND($C45="Milestone",GN$8&gt;=$G45,GN$8&lt;=$G45+$H45-1),1,""))</f>
        <v/>
      </c>
      <c r="GO45" s="69" t="str">
        <f ca="1">IF(AND($C45="Goal",GO$8&gt;=$G45,GO$8&lt;=$G45+$H45-1),2,IF(AND($C45="Milestone",GO$8&gt;=$G45,GO$8&lt;=$G45+$H45-1),1,""))</f>
        <v/>
      </c>
      <c r="GP45" s="69" t="str">
        <f ca="1">IF(AND($C45="Goal",GP$8&gt;=$G45,GP$8&lt;=$G45+$H45-1),2,IF(AND($C45="Milestone",GP$8&gt;=$G45,GP$8&lt;=$G45+$H45-1),1,""))</f>
        <v/>
      </c>
      <c r="GQ45" s="69" t="str">
        <f ca="1">IF(AND($C45="Goal",GQ$8&gt;=$G45,GQ$8&lt;=$G45+$H45-1),2,IF(AND($C45="Milestone",GQ$8&gt;=$G45,GQ$8&lt;=$G45+$H45-1),1,""))</f>
        <v/>
      </c>
      <c r="GR45" s="69" t="str">
        <f ca="1">IF(AND($C45="Goal",GR$8&gt;=$G45,GR$8&lt;=$G45+$H45-1),2,IF(AND($C45="Milestone",GR$8&gt;=$G45,GR$8&lt;=$G45+$H45-1),1,""))</f>
        <v/>
      </c>
      <c r="GS45" s="69" t="str">
        <f ca="1">IF(AND($C45="Goal",GS$8&gt;=$G45,GS$8&lt;=$G45+$H45-1),2,IF(AND($C45="Milestone",GS$8&gt;=$G45,GS$8&lt;=$G45+$H45-1),1,""))</f>
        <v/>
      </c>
      <c r="GT45" s="69" t="str">
        <f ca="1">IF(AND($C45="Goal",GT$8&gt;=$G45,GT$8&lt;=$G45+$H45-1),2,IF(AND($C45="Milestone",GT$8&gt;=$G45,GT$8&lt;=$G45+$H45-1),1,""))</f>
        <v/>
      </c>
      <c r="GU45" s="69" t="str">
        <f ca="1">IF(AND($C45="Goal",GU$8&gt;=$G45,GU$8&lt;=$G45+$H45-1),2,IF(AND($C45="Milestone",GU$8&gt;=$G45,GU$8&lt;=$G45+$H45-1),1,""))</f>
        <v/>
      </c>
      <c r="GV45" s="69" t="str">
        <f ca="1">IF(AND($C45="Goal",GV$8&gt;=$G45,GV$8&lt;=$G45+$H45-1),2,IF(AND($C45="Milestone",GV$8&gt;=$G45,GV$8&lt;=$G45+$H45-1),1,""))</f>
        <v/>
      </c>
      <c r="GW45" s="69" t="str">
        <f ca="1">IF(AND($C45="Goal",GW$8&gt;=$G45,GW$8&lt;=$G45+$H45-1),2,IF(AND($C45="Milestone",GW$8&gt;=$G45,GW$8&lt;=$G45+$H45-1),1,""))</f>
        <v/>
      </c>
      <c r="GX45" s="69" t="str">
        <f ca="1">IF(AND($C45="Goal",GX$8&gt;=$G45,GX$8&lt;=$G45+$H45-1),2,IF(AND($C45="Milestone",GX$8&gt;=$G45,GX$8&lt;=$G45+$H45-1),1,""))</f>
        <v/>
      </c>
      <c r="GY45" s="69" t="str">
        <f ca="1">IF(AND($C45="Goal",GY$8&gt;=$G45,GY$8&lt;=$G45+$H45-1),2,IF(AND($C45="Milestone",GY$8&gt;=$G45,GY$8&lt;=$G45+$H45-1),1,""))</f>
        <v/>
      </c>
      <c r="GZ45" s="69" t="str">
        <f ca="1">IF(AND($C45="Goal",GZ$8&gt;=$G45,GZ$8&lt;=$G45+$H45-1),2,IF(AND($C45="Milestone",GZ$8&gt;=$G45,GZ$8&lt;=$G45+$H45-1),1,""))</f>
        <v/>
      </c>
      <c r="HA45" s="69" t="str">
        <f ca="1">IF(AND($C45="Goal",HA$8&gt;=$G45,HA$8&lt;=$G45+$H45-1),2,IF(AND($C45="Milestone",HA$8&gt;=$G45,HA$8&lt;=$G45+$H45-1),1,""))</f>
        <v/>
      </c>
      <c r="HB45" s="69" t="str">
        <f ca="1">IF(AND($C45="Goal",HB$8&gt;=$G45,HB$8&lt;=$G45+$H45-1),2,IF(AND($C45="Milestone",HB$8&gt;=$G45,HB$8&lt;=$G45+$H45-1),1,""))</f>
        <v/>
      </c>
      <c r="HC45" s="69" t="str">
        <f ca="1">IF(AND($C45="Goal",HC$8&gt;=$G45,HC$8&lt;=$G45+$H45-1),2,IF(AND($C45="Milestone",HC$8&gt;=$G45,HC$8&lt;=$G45+$H45-1),1,""))</f>
        <v/>
      </c>
      <c r="HD45" s="69" t="str">
        <f ca="1">IF(AND($C45="Goal",HD$8&gt;=$G45,HD$8&lt;=$G45+$H45-1),2,IF(AND($C45="Milestone",HD$8&gt;=$G45,HD$8&lt;=$G45+$H45-1),1,""))</f>
        <v/>
      </c>
      <c r="HE45" s="69" t="str">
        <f ca="1">IF(AND($C45="Goal",HE$8&gt;=$G45,HE$8&lt;=$G45+$H45-1),2,IF(AND($C45="Milestone",HE$8&gt;=$G45,HE$8&lt;=$G45+$H45-1),1,""))</f>
        <v/>
      </c>
      <c r="HF45" s="69" t="str">
        <f ca="1">IF(AND($C45="Goal",HF$8&gt;=$G45,HF$8&lt;=$G45+$H45-1),2,IF(AND($C45="Milestone",HF$8&gt;=$G45,HF$8&lt;=$G45+$H45-1),1,""))</f>
        <v/>
      </c>
      <c r="HG45" s="69" t="str">
        <f ca="1">IF(AND($C45="Goal",HG$8&gt;=$G45,HG$8&lt;=$G45+$H45-1),2,IF(AND($C45="Milestone",HG$8&gt;=$G45,HG$8&lt;=$G45+$H45-1),1,""))</f>
        <v/>
      </c>
      <c r="HH45" s="69" t="str">
        <f ca="1">IF(AND($C45="Goal",HH$8&gt;=$G45,HH$8&lt;=$G45+$H45-1),2,IF(AND($C45="Milestone",HH$8&gt;=$G45,HH$8&lt;=$G45+$H45-1),1,""))</f>
        <v/>
      </c>
      <c r="HI45" s="69" t="str">
        <f ca="1">IF(AND($C45="Goal",HI$8&gt;=$G45,HI$8&lt;=$G45+$H45-1),2,IF(AND($C45="Milestone",HI$8&gt;=$G45,HI$8&lt;=$G45+$H45-1),1,""))</f>
        <v/>
      </c>
      <c r="HJ45" s="69" t="str">
        <f ca="1">IF(AND($C45="Goal",HJ$8&gt;=$G45,HJ$8&lt;=$G45+$H45-1),2,IF(AND($C45="Milestone",HJ$8&gt;=$G45,HJ$8&lt;=$G45+$H45-1),1,""))</f>
        <v/>
      </c>
      <c r="HK45" s="69" t="str">
        <f ca="1">IF(AND($C45="Goal",HK$8&gt;=$G45,HK$8&lt;=$G45+$H45-1),2,IF(AND($C45="Milestone",HK$8&gt;=$G45,HK$8&lt;=$G45+$H45-1),1,""))</f>
        <v/>
      </c>
      <c r="HL45" s="69" t="str">
        <f ca="1">IF(AND($C45="Goal",HL$8&gt;=$G45,HL$8&lt;=$G45+$H45-1),2,IF(AND($C45="Milestone",HL$8&gt;=$G45,HL$8&lt;=$G45+$H45-1),1,""))</f>
        <v/>
      </c>
      <c r="HM45" s="69" t="str">
        <f ca="1">IF(AND($C45="Goal",HM$8&gt;=$G45,HM$8&lt;=$G45+$H45-1),2,IF(AND($C45="Milestone",HM$8&gt;=$G45,HM$8&lt;=$G45+$H45-1),1,""))</f>
        <v/>
      </c>
      <c r="HN45" s="69" t="str">
        <f ca="1">IF(AND($C45="Goal",HN$8&gt;=$G45,HN$8&lt;=$G45+$H45-1),2,IF(AND($C45="Milestone",HN$8&gt;=$G45,HN$8&lt;=$G45+$H45-1),1,""))</f>
        <v/>
      </c>
      <c r="HO45" s="69" t="str">
        <f ca="1">IF(AND($C45="Goal",HO$8&gt;=$G45,HO$8&lt;=$G45+$H45-1),2,IF(AND($C45="Milestone",HO$8&gt;=$G45,HO$8&lt;=$G45+$H45-1),1,""))</f>
        <v/>
      </c>
      <c r="HP45" s="69" t="str">
        <f ca="1">IF(AND($C45="Goal",HP$8&gt;=$G45,HP$8&lt;=$G45+$H45-1),2,IF(AND($C45="Milestone",HP$8&gt;=$G45,HP$8&lt;=$G45+$H45-1),1,""))</f>
        <v/>
      </c>
      <c r="HQ45" s="69" t="str">
        <f ca="1">IF(AND($C45="Goal",HQ$8&gt;=$G45,HQ$8&lt;=$G45+$H45-1),2,IF(AND($C45="Milestone",HQ$8&gt;=$G45,HQ$8&lt;=$G45+$H45-1),1,""))</f>
        <v/>
      </c>
      <c r="HR45" s="69" t="str">
        <f ca="1">IF(AND($C45="Goal",HR$8&gt;=$G45,HR$8&lt;=$G45+$H45-1),2,IF(AND($C45="Milestone",HR$8&gt;=$G45,HR$8&lt;=$G45+$H45-1),1,""))</f>
        <v/>
      </c>
      <c r="HS45" s="69" t="str">
        <f ca="1">IF(AND($C45="Goal",HS$8&gt;=$G45,HS$8&lt;=$G45+$H45-1),2,IF(AND($C45="Milestone",HS$8&gt;=$G45,HS$8&lt;=$G45+$H45-1),1,""))</f>
        <v/>
      </c>
      <c r="HT45" s="69" t="str">
        <f ca="1">IF(AND($C45="Goal",HT$8&gt;=$G45,HT$8&lt;=$G45+$H45-1),2,IF(AND($C45="Milestone",HT$8&gt;=$G45,HT$8&lt;=$G45+$H45-1),1,""))</f>
        <v/>
      </c>
      <c r="HU45" s="69" t="str">
        <f ca="1">IF(AND($C45="Goal",HU$8&gt;=$G45,HU$8&lt;=$G45+$H45-1),2,IF(AND($C45="Milestone",HU$8&gt;=$G45,HU$8&lt;=$G45+$H45-1),1,""))</f>
        <v/>
      </c>
      <c r="HV45" s="69" t="str">
        <f ca="1">IF(AND($C45="Goal",HV$8&gt;=$G45,HV$8&lt;=$G45+$H45-1),2,IF(AND($C45="Milestone",HV$8&gt;=$G45,HV$8&lt;=$G45+$H45-1),1,""))</f>
        <v/>
      </c>
      <c r="HW45" s="69" t="str">
        <f ca="1">IF(AND($C45="Goal",HW$8&gt;=$G45,HW$8&lt;=$G45+$H45-1),2,IF(AND($C45="Milestone",HW$8&gt;=$G45,HW$8&lt;=$G45+$H45-1),1,""))</f>
        <v/>
      </c>
      <c r="HX45" s="69" t="str">
        <f ca="1">IF(AND($C45="Goal",HX$8&gt;=$G45,HX$8&lt;=$G45+$H45-1),2,IF(AND($C45="Milestone",HX$8&gt;=$G45,HX$8&lt;=$G45+$H45-1),1,""))</f>
        <v/>
      </c>
      <c r="HY45" s="69" t="str">
        <f ca="1">IF(AND($C45="Goal",HY$8&gt;=$G45,HY$8&lt;=$G45+$H45-1),2,IF(AND($C45="Milestone",HY$8&gt;=$G45,HY$8&lt;=$G45+$H45-1),1,""))</f>
        <v/>
      </c>
      <c r="HZ45" s="69" t="str">
        <f ca="1">IF(AND($C45="Goal",HZ$8&gt;=$G45,HZ$8&lt;=$G45+$H45-1),2,IF(AND($C45="Milestone",HZ$8&gt;=$G45,HZ$8&lt;=$G45+$H45-1),1,""))</f>
        <v/>
      </c>
      <c r="IA45" s="69" t="str">
        <f ca="1">IF(AND($C45="Goal",IA$8&gt;=$G45,IA$8&lt;=$G45+$H45-1),2,IF(AND($C45="Milestone",IA$8&gt;=$G45,IA$8&lt;=$G45+$H45-1),1,""))</f>
        <v/>
      </c>
      <c r="IB45" s="69" t="str">
        <f ca="1">IF(AND($C45="Goal",IB$8&gt;=$G45,IB$8&lt;=$G45+$H45-1),2,IF(AND($C45="Milestone",IB$8&gt;=$G45,IB$8&lt;=$G45+$H45-1),1,""))</f>
        <v/>
      </c>
      <c r="IC45" s="69" t="str">
        <f ca="1">IF(AND($C45="Goal",IC$8&gt;=$G45,IC$8&lt;=$G45+$H45-1),2,IF(AND($C45="Milestone",IC$8&gt;=$G45,IC$8&lt;=$G45+$H45-1),1,""))</f>
        <v/>
      </c>
      <c r="ID45" s="69" t="str">
        <f ca="1">IF(AND($C45="Goal",ID$8&gt;=$G45,ID$8&lt;=$G45+$H45-1),2,IF(AND($C45="Milestone",ID$8&gt;=$G45,ID$8&lt;=$G45+$H45-1),1,""))</f>
        <v/>
      </c>
      <c r="IE45" s="69" t="str">
        <f ca="1">IF(AND($C45="Goal",IE$8&gt;=$G45,IE$8&lt;=$G45+$H45-1),2,IF(AND($C45="Milestone",IE$8&gt;=$G45,IE$8&lt;=$G45+$H45-1),1,""))</f>
        <v/>
      </c>
      <c r="IF45" s="69" t="str">
        <f ca="1">IF(AND($C45="Goal",IF$8&gt;=$G45,IF$8&lt;=$G45+$H45-1),2,IF(AND($C45="Milestone",IF$8&gt;=$G45,IF$8&lt;=$G45+$H45-1),1,""))</f>
        <v/>
      </c>
      <c r="IG45" s="69" t="str">
        <f ca="1">IF(AND($C45="Goal",IG$8&gt;=$G45,IG$8&lt;=$G45+$H45-1),2,IF(AND($C45="Milestone",IG$8&gt;=$G45,IG$8&lt;=$G45+$H45-1),1,""))</f>
        <v/>
      </c>
      <c r="IH45" s="69" t="str">
        <f ca="1">IF(AND($C45="Goal",IH$8&gt;=$G45,IH$8&lt;=$G45+$H45-1),2,IF(AND($C45="Milestone",IH$8&gt;=$G45,IH$8&lt;=$G45+$H45-1),1,""))</f>
        <v/>
      </c>
      <c r="II45" s="69" t="str">
        <f ca="1">IF(AND($C45="Goal",II$8&gt;=$G45,II$8&lt;=$G45+$H45-1),2,IF(AND($C45="Milestone",II$8&gt;=$G45,II$8&lt;=$G45+$H45-1),1,""))</f>
        <v/>
      </c>
      <c r="IJ45" s="69" t="str">
        <f ca="1">IF(AND($C45="Goal",IJ$8&gt;=$G45,IJ$8&lt;=$G45+$H45-1),2,IF(AND($C45="Milestone",IJ$8&gt;=$G45,IJ$8&lt;=$G45+$H45-1),1,""))</f>
        <v/>
      </c>
      <c r="IK45" s="69" t="str">
        <f ca="1">IF(AND($C45="Goal",IK$8&gt;=$G45,IK$8&lt;=$G45+$H45-1),2,IF(AND($C45="Milestone",IK$8&gt;=$G45,IK$8&lt;=$G45+$H45-1),1,""))</f>
        <v/>
      </c>
      <c r="IL45" s="69" t="str">
        <f ca="1">IF(AND($C45="Goal",IL$8&gt;=$G45,IL$8&lt;=$G45+$H45-1),2,IF(AND($C45="Milestone",IL$8&gt;=$G45,IL$8&lt;=$G45+$H45-1),1,""))</f>
        <v/>
      </c>
      <c r="IM45" s="69" t="str">
        <f ca="1">IF(AND($C45="Goal",IM$8&gt;=$G45,IM$8&lt;=$G45+$H45-1),2,IF(AND($C45="Milestone",IM$8&gt;=$G45,IM$8&lt;=$G45+$H45-1),1,""))</f>
        <v/>
      </c>
      <c r="IN45" s="69" t="str">
        <f ca="1">IF(AND($C45="Goal",IN$8&gt;=$G45,IN$8&lt;=$G45+$H45-1),2,IF(AND($C45="Milestone",IN$8&gt;=$G45,IN$8&lt;=$G45+$H45-1),1,""))</f>
        <v/>
      </c>
      <c r="IO45" s="69" t="str">
        <f ca="1">IF(AND($C45="Goal",IO$8&gt;=$G45,IO$8&lt;=$G45+$H45-1),2,IF(AND($C45="Milestone",IO$8&gt;=$G45,IO$8&lt;=$G45+$H45-1),1,""))</f>
        <v/>
      </c>
      <c r="IP45" s="69" t="str">
        <f ca="1">IF(AND($C45="Goal",IP$8&gt;=$G45,IP$8&lt;=$G45+$H45-1),2,IF(AND($C45="Milestone",IP$8&gt;=$G45,IP$8&lt;=$G45+$H45-1),1,""))</f>
        <v/>
      </c>
      <c r="IQ45" s="69" t="str">
        <f ca="1">IF(AND($C45="Goal",IQ$8&gt;=$G45,IQ$8&lt;=$G45+$H45-1),2,IF(AND($C45="Milestone",IQ$8&gt;=$G45,IQ$8&lt;=$G45+$H45-1),1,""))</f>
        <v/>
      </c>
      <c r="IR45" s="69" t="str">
        <f ca="1">IF(AND($C45="Goal",IR$8&gt;=$G45,IR$8&lt;=$G45+$H45-1),2,IF(AND($C45="Milestone",IR$8&gt;=$G45,IR$8&lt;=$G45+$H45-1),1,""))</f>
        <v/>
      </c>
      <c r="IS45" s="69" t="str">
        <f ca="1">IF(AND($C45="Goal",IS$8&gt;=$G45,IS$8&lt;=$G45+$H45-1),2,IF(AND($C45="Milestone",IS$8&gt;=$G45,IS$8&lt;=$G45+$H45-1),1,""))</f>
        <v/>
      </c>
      <c r="IT45" s="69" t="str">
        <f ca="1">IF(AND($C45="Goal",IT$8&gt;=$G45,IT$8&lt;=$G45+$H45-1),2,IF(AND($C45="Milestone",IT$8&gt;=$G45,IT$8&lt;=$G45+$H45-1),1,""))</f>
        <v/>
      </c>
      <c r="IU45" s="69" t="str">
        <f ca="1">IF(AND($C45="Goal",IU$8&gt;=$G45,IU$8&lt;=$G45+$H45-1),2,IF(AND($C45="Milestone",IU$8&gt;=$G45,IU$8&lt;=$G45+$H45-1),1,""))</f>
        <v/>
      </c>
      <c r="IV45" s="69" t="str">
        <f ca="1">IF(AND($C45="Goal",IV$8&gt;=$G45,IV$8&lt;=$G45+$H45-1),2,IF(AND($C45="Milestone",IV$8&gt;=$G45,IV$8&lt;=$G45+$H45-1),1,""))</f>
        <v/>
      </c>
      <c r="IW45" s="69" t="str">
        <f ca="1">IF(AND($C45="Goal",IW$8&gt;=$G45,IW$8&lt;=$G45+$H45-1),2,IF(AND($C45="Milestone",IW$8&gt;=$G45,IW$8&lt;=$G45+$H45-1),1,""))</f>
        <v/>
      </c>
      <c r="IX45" s="69" t="str">
        <f ca="1">IF(AND($C45="Goal",IX$8&gt;=$G45,IX$8&lt;=$G45+$H45-1),2,IF(AND($C45="Milestone",IX$8&gt;=$G45,IX$8&lt;=$G45+$H45-1),1,""))</f>
        <v/>
      </c>
      <c r="IY45" s="69" t="str">
        <f ca="1">IF(AND($C45="Goal",IY$8&gt;=$G45,IY$8&lt;=$G45+$H45-1),2,IF(AND($C45="Milestone",IY$8&gt;=$G45,IY$8&lt;=$G45+$H45-1),1,""))</f>
        <v/>
      </c>
      <c r="IZ45" s="69" t="str">
        <f ca="1">IF(AND($C45="Goal",IZ$8&gt;=$G45,IZ$8&lt;=$G45+$H45-1),2,IF(AND($C45="Milestone",IZ$8&gt;=$G45,IZ$8&lt;=$G45+$H45-1),1,""))</f>
        <v/>
      </c>
      <c r="JA45" s="69" t="str">
        <f ca="1">IF(AND($C45="Goal",JA$8&gt;=$G45,JA$8&lt;=$G45+$H45-1),2,IF(AND($C45="Milestone",JA$8&gt;=$G45,JA$8&lt;=$G45+$H45-1),1,""))</f>
        <v/>
      </c>
      <c r="JB45" s="69" t="str">
        <f ca="1">IF(AND($C45="Goal",JB$8&gt;=$G45,JB$8&lt;=$G45+$H45-1),2,IF(AND($C45="Milestone",JB$8&gt;=$G45,JB$8&lt;=$G45+$H45-1),1,""))</f>
        <v/>
      </c>
      <c r="JC45" s="69" t="str">
        <f ca="1">IF(AND($C45="Goal",JC$8&gt;=$G45,JC$8&lt;=$G45+$H45-1),2,IF(AND($C45="Milestone",JC$8&gt;=$G45,JC$8&lt;=$G45+$H45-1),1,""))</f>
        <v/>
      </c>
      <c r="JD45" s="69" t="str">
        <f ca="1">IF(AND($C45="Goal",JD$8&gt;=$G45,JD$8&lt;=$G45+$H45-1),2,IF(AND($C45="Milestone",JD$8&gt;=$G45,JD$8&lt;=$G45+$H45-1),1,""))</f>
        <v/>
      </c>
      <c r="JE45" s="69" t="str">
        <f ca="1">IF(AND($C45="Goal",JE$8&gt;=$G45,JE$8&lt;=$G45+$H45-1),2,IF(AND($C45="Milestone",JE$8&gt;=$G45,JE$8&lt;=$G45+$H45-1),1,""))</f>
        <v/>
      </c>
      <c r="JF45" s="69" t="str">
        <f ca="1">IF(AND($C45="Goal",JF$8&gt;=$G45,JF$8&lt;=$G45+$H45-1),2,IF(AND($C45="Milestone",JF$8&gt;=$G45,JF$8&lt;=$G45+$H45-1),1,""))</f>
        <v/>
      </c>
      <c r="JG45" s="69" t="str">
        <f ca="1">IF(AND($C45="Goal",JG$8&gt;=$G45,JG$8&lt;=$G45+$H45-1),2,IF(AND($C45="Milestone",JG$8&gt;=$G45,JG$8&lt;=$G45+$H45-1),1,""))</f>
        <v/>
      </c>
      <c r="JH45" s="69" t="str">
        <f ca="1">IF(AND($C45="Goal",JH$8&gt;=$G45,JH$8&lt;=$G45+$H45-1),2,IF(AND($C45="Milestone",JH$8&gt;=$G45,JH$8&lt;=$G45+$H45-1),1,""))</f>
        <v/>
      </c>
      <c r="JI45" s="69" t="str">
        <f ca="1">IF(AND($C45="Goal",JI$8&gt;=$G45,JI$8&lt;=$G45+$H45-1),2,IF(AND($C45="Milestone",JI$8&gt;=$G45,JI$8&lt;=$G45+$H45-1),1,""))</f>
        <v/>
      </c>
      <c r="JJ45" s="69" t="str">
        <f ca="1">IF(AND($C45="Goal",JJ$8&gt;=$G45,JJ$8&lt;=$G45+$H45-1),2,IF(AND($C45="Milestone",JJ$8&gt;=$G45,JJ$8&lt;=$G45+$H45-1),1,""))</f>
        <v/>
      </c>
      <c r="JK45" s="69" t="str">
        <f ca="1">IF(AND($C45="Goal",JK$8&gt;=$G45,JK$8&lt;=$G45+$H45-1),2,IF(AND($C45="Milestone",JK$8&gt;=$G45,JK$8&lt;=$G45+$H45-1),1,""))</f>
        <v/>
      </c>
      <c r="JL45" s="69" t="str">
        <f ca="1">IF(AND($C45="Goal",JL$8&gt;=$G45,JL$8&lt;=$G45+$H45-1),2,IF(AND($C45="Milestone",JL$8&gt;=$G45,JL$8&lt;=$G45+$H45-1),1,""))</f>
        <v/>
      </c>
      <c r="JM45" s="69" t="str">
        <f ca="1">IF(AND($C45="Goal",JM$8&gt;=$G45,JM$8&lt;=$G45+$H45-1),2,IF(AND($C45="Milestone",JM$8&gt;=$G45,JM$8&lt;=$G45+$H45-1),1,""))</f>
        <v/>
      </c>
      <c r="JN45" s="69" t="str">
        <f ca="1">IF(AND($C45="Goal",JN$8&gt;=$G45,JN$8&lt;=$G45+$H45-1),2,IF(AND($C45="Milestone",JN$8&gt;=$G45,JN$8&lt;=$G45+$H45-1),1,""))</f>
        <v/>
      </c>
      <c r="JO45" s="69" t="str">
        <f ca="1">IF(AND($C45="Goal",JO$8&gt;=$G45,JO$8&lt;=$G45+$H45-1),2,IF(AND($C45="Milestone",JO$8&gt;=$G45,JO$8&lt;=$G45+$H45-1),1,""))</f>
        <v/>
      </c>
      <c r="JP45" s="69" t="str">
        <f ca="1">IF(AND($C45="Goal",JP$8&gt;=$G45,JP$8&lt;=$G45+$H45-1),2,IF(AND($C45="Milestone",JP$8&gt;=$G45,JP$8&lt;=$G45+$H45-1),1,""))</f>
        <v/>
      </c>
      <c r="JQ45" s="69" t="str">
        <f ca="1">IF(AND($C45="Goal",JQ$8&gt;=$G45,JQ$8&lt;=$G45+$H45-1),2,IF(AND($C45="Milestone",JQ$8&gt;=$G45,JQ$8&lt;=$G45+$H45-1),1,""))</f>
        <v/>
      </c>
      <c r="JR45" s="69" t="str">
        <f ca="1">IF(AND($C45="Goal",JR$8&gt;=$G45,JR$8&lt;=$G45+$H45-1),2,IF(AND($C45="Milestone",JR$8&gt;=$G45,JR$8&lt;=$G45+$H45-1),1,""))</f>
        <v/>
      </c>
      <c r="JS45" s="69" t="str">
        <f ca="1">IF(AND($C45="Goal",JS$8&gt;=$G45,JS$8&lt;=$G45+$H45-1),2,IF(AND($C45="Milestone",JS$8&gt;=$G45,JS$8&lt;=$G45+$H45-1),1,""))</f>
        <v/>
      </c>
      <c r="JT45" s="69" t="str">
        <f ca="1">IF(AND($C45="Goal",JT$8&gt;=$G45,JT$8&lt;=$G45+$H45-1),2,IF(AND($C45="Milestone",JT$8&gt;=$G45,JT$8&lt;=$G45+$H45-1),1,""))</f>
        <v/>
      </c>
      <c r="JU45" s="69" t="str">
        <f ca="1">IF(AND($C45="Goal",JU$8&gt;=$G45,JU$8&lt;=$G45+$H45-1),2,IF(AND($C45="Milestone",JU$8&gt;=$G45,JU$8&lt;=$G45+$H45-1),1,""))</f>
        <v/>
      </c>
      <c r="JV45" s="69" t="str">
        <f ca="1">IF(AND($C45="Goal",JV$8&gt;=$G45,JV$8&lt;=$G45+$H45-1),2,IF(AND($C45="Milestone",JV$8&gt;=$G45,JV$8&lt;=$G45+$H45-1),1,""))</f>
        <v/>
      </c>
      <c r="JW45" s="69" t="str">
        <f ca="1">IF(AND($C45="Goal",JW$8&gt;=$G45,JW$8&lt;=$G45+$H45-1),2,IF(AND($C45="Milestone",JW$8&gt;=$G45,JW$8&lt;=$G45+$H45-1),1,""))</f>
        <v/>
      </c>
      <c r="JX45" s="69" t="str">
        <f ca="1">IF(AND($C45="Goal",JX$8&gt;=$G45,JX$8&lt;=$G45+$H45-1),2,IF(AND($C45="Milestone",JX$8&gt;=$G45,JX$8&lt;=$G45+$H45-1),1,""))</f>
        <v/>
      </c>
      <c r="JY45" s="69" t="str">
        <f ca="1">IF(AND($C45="Goal",JY$8&gt;=$G45,JY$8&lt;=$G45+$H45-1),2,IF(AND($C45="Milestone",JY$8&gt;=$G45,JY$8&lt;=$G45+$H45-1),1,""))</f>
        <v/>
      </c>
      <c r="JZ45" s="69" t="str">
        <f ca="1">IF(AND($C45="Goal",JZ$8&gt;=$G45,JZ$8&lt;=$G45+$H45-1),2,IF(AND($C45="Milestone",JZ$8&gt;=$G45,JZ$8&lt;=$G45+$H45-1),1,""))</f>
        <v/>
      </c>
      <c r="KA45" s="69" t="str">
        <f ca="1">IF(AND($C45="Goal",KA$8&gt;=$G45,KA$8&lt;=$G45+$H45-1),2,IF(AND($C45="Milestone",KA$8&gt;=$G45,KA$8&lt;=$G45+$H45-1),1,""))</f>
        <v/>
      </c>
      <c r="KB45" s="69" t="str">
        <f ca="1">IF(AND($C45="Goal",KB$8&gt;=$G45,KB$8&lt;=$G45+$H45-1),2,IF(AND($C45="Milestone",KB$8&gt;=$G45,KB$8&lt;=$G45+$H45-1),1,""))</f>
        <v/>
      </c>
      <c r="KC45" s="69" t="str">
        <f ca="1">IF(AND($C45="Goal",KC$8&gt;=$G45,KC$8&lt;=$G45+$H45-1),2,IF(AND($C45="Milestone",KC$8&gt;=$G45,KC$8&lt;=$G45+$H45-1),1,""))</f>
        <v/>
      </c>
      <c r="KD45" s="69" t="str">
        <f ca="1">IF(AND($C45="Goal",KD$8&gt;=$G45,KD$8&lt;=$G45+$H45-1),2,IF(AND($C45="Milestone",KD$8&gt;=$G45,KD$8&lt;=$G45+$H45-1),1,""))</f>
        <v/>
      </c>
      <c r="KE45" s="69" t="str">
        <f ca="1">IF(AND($C45="Goal",KE$8&gt;=$G45,KE$8&lt;=$G45+$H45-1),2,IF(AND($C45="Milestone",KE$8&gt;=$G45,KE$8&lt;=$G45+$H45-1),1,""))</f>
        <v/>
      </c>
      <c r="KF45" s="69" t="str">
        <f ca="1">IF(AND($C45="Goal",KF$8&gt;=$G45,KF$8&lt;=$G45+$H45-1),2,IF(AND($C45="Milestone",KF$8&gt;=$G45,KF$8&lt;=$G45+$H45-1),1,""))</f>
        <v/>
      </c>
      <c r="KG45" s="69" t="str">
        <f ca="1">IF(AND($C45="Goal",KG$8&gt;=$G45,KG$8&lt;=$G45+$H45-1),2,IF(AND($C45="Milestone",KG$8&gt;=$G45,KG$8&lt;=$G45+$H45-1),1,""))</f>
        <v/>
      </c>
      <c r="KH45" s="69" t="str">
        <f ca="1">IF(AND($C45="Goal",KH$8&gt;=$G45,KH$8&lt;=$G45+$H45-1),2,IF(AND($C45="Milestone",KH$8&gt;=$G45,KH$8&lt;=$G45+$H45-1),1,""))</f>
        <v/>
      </c>
      <c r="KI45" s="69" t="str">
        <f ca="1">IF(AND($C45="Goal",KI$8&gt;=$G45,KI$8&lt;=$G45+$H45-1),2,IF(AND($C45="Milestone",KI$8&gt;=$G45,KI$8&lt;=$G45+$H45-1),1,""))</f>
        <v/>
      </c>
      <c r="KJ45" s="69" t="str">
        <f ca="1">IF(AND($C45="Goal",KJ$8&gt;=$G45,KJ$8&lt;=$G45+$H45-1),2,IF(AND($C45="Milestone",KJ$8&gt;=$G45,KJ$8&lt;=$G45+$H45-1),1,""))</f>
        <v/>
      </c>
      <c r="KK45" s="69" t="str">
        <f ca="1">IF(AND($C45="Goal",KK$8&gt;=$G45,KK$8&lt;=$G45+$H45-1),2,IF(AND($C45="Milestone",KK$8&gt;=$G45,KK$8&lt;=$G45+$H45-1),1,""))</f>
        <v/>
      </c>
      <c r="KL45" s="69" t="str">
        <f ca="1">IF(AND($C45="Goal",KL$8&gt;=$G45,KL$8&lt;=$G45+$H45-1),2,IF(AND($C45="Milestone",KL$8&gt;=$G45,KL$8&lt;=$G45+$H45-1),1,""))</f>
        <v/>
      </c>
      <c r="KM45" s="69" t="str">
        <f ca="1">IF(AND($C45="Goal",KM$8&gt;=$G45,KM$8&lt;=$G45+$H45-1),2,IF(AND($C45="Milestone",KM$8&gt;=$G45,KM$8&lt;=$G45+$H45-1),1,""))</f>
        <v/>
      </c>
      <c r="KN45" s="69" t="str">
        <f ca="1">IF(AND($C45="Goal",KN$8&gt;=$G45,KN$8&lt;=$G45+$H45-1),2,IF(AND($C45="Milestone",KN$8&gt;=$G45,KN$8&lt;=$G45+$H45-1),1,""))</f>
        <v/>
      </c>
      <c r="KO45" s="69" t="str">
        <f ca="1">IF(AND($C45="Goal",KO$8&gt;=$G45,KO$8&lt;=$G45+$H45-1),2,IF(AND($C45="Milestone",KO$8&gt;=$G45,KO$8&lt;=$G45+$H45-1),1,""))</f>
        <v/>
      </c>
      <c r="KP45" s="69" t="str">
        <f ca="1">IF(AND($C45="Goal",KP$8&gt;=$G45,KP$8&lt;=$G45+$H45-1),2,IF(AND($C45="Milestone",KP$8&gt;=$G45,KP$8&lt;=$G45+$H45-1),1,""))</f>
        <v/>
      </c>
      <c r="KQ45" s="69" t="str">
        <f ca="1">IF(AND($C45="Goal",KQ$8&gt;=$G45,KQ$8&lt;=$G45+$H45-1),2,IF(AND($C45="Milestone",KQ$8&gt;=$G45,KQ$8&lt;=$G45+$H45-1),1,""))</f>
        <v/>
      </c>
      <c r="KR45" s="69" t="str">
        <f ca="1">IF(AND($C45="Goal",KR$8&gt;=$G45,KR$8&lt;=$G45+$H45-1),2,IF(AND($C45="Milestone",KR$8&gt;=$G45,KR$8&lt;=$G45+$H45-1),1,""))</f>
        <v/>
      </c>
      <c r="KS45" s="69" t="str">
        <f ca="1">IF(AND($C45="Goal",KS$8&gt;=$G45,KS$8&lt;=$G45+$H45-1),2,IF(AND($C45="Milestone",KS$8&gt;=$G45,KS$8&lt;=$G45+$H45-1),1,""))</f>
        <v/>
      </c>
      <c r="KT45" s="69" t="str">
        <f ca="1">IF(AND($C45="Goal",KT$8&gt;=$G45,KT$8&lt;=$G45+$H45-1),2,IF(AND($C45="Milestone",KT$8&gt;=$G45,KT$8&lt;=$G45+$H45-1),1,""))</f>
        <v/>
      </c>
      <c r="KU45" s="69" t="str">
        <f ca="1">IF(AND($C45="Goal",KU$8&gt;=$G45,KU$8&lt;=$G45+$H45-1),2,IF(AND($C45="Milestone",KU$8&gt;=$G45,KU$8&lt;=$G45+$H45-1),1,""))</f>
        <v/>
      </c>
      <c r="KV45" s="69" t="str">
        <f ca="1">IF(AND($C45="Goal",KV$8&gt;=$G45,KV$8&lt;=$G45+$H45-1),2,IF(AND($C45="Milestone",KV$8&gt;=$G45,KV$8&lt;=$G45+$H45-1),1,""))</f>
        <v/>
      </c>
      <c r="KW45" s="69" t="str">
        <f ca="1">IF(AND($C45="Goal",KW$8&gt;=$G45,KW$8&lt;=$G45+$H45-1),2,IF(AND($C45="Milestone",KW$8&gt;=$G45,KW$8&lt;=$G45+$H45-1),1,""))</f>
        <v/>
      </c>
      <c r="KX45" s="69" t="str">
        <f ca="1">IF(AND($C45="Goal",KX$8&gt;=$G45,KX$8&lt;=$G45+$H45-1),2,IF(AND($C45="Milestone",KX$8&gt;=$G45,KX$8&lt;=$G45+$H45-1),1,""))</f>
        <v/>
      </c>
      <c r="KY45" s="69" t="str">
        <f ca="1">IF(AND($C45="Goal",KY$8&gt;=$G45,KY$8&lt;=$G45+$H45-1),2,IF(AND($C45="Milestone",KY$8&gt;=$G45,KY$8&lt;=$G45+$H45-1),1,""))</f>
        <v/>
      </c>
      <c r="KZ45" s="69" t="str">
        <f ca="1">IF(AND($C45="Goal",KZ$8&gt;=$G45,KZ$8&lt;=$G45+$H45-1),2,IF(AND($C45="Milestone",KZ$8&gt;=$G45,KZ$8&lt;=$G45+$H45-1),1,""))</f>
        <v/>
      </c>
      <c r="LA45" s="69" t="str">
        <f ca="1">IF(AND($C45="Goal",LA$8&gt;=$G45,LA$8&lt;=$G45+$H45-1),2,IF(AND($C45="Milestone",LA$8&gt;=$G45,LA$8&lt;=$G45+$H45-1),1,""))</f>
        <v/>
      </c>
      <c r="LB45" s="69" t="str">
        <f ca="1">IF(AND($C45="Goal",LB$8&gt;=$G45,LB$8&lt;=$G45+$H45-1),2,IF(AND($C45="Milestone",LB$8&gt;=$G45,LB$8&lt;=$G45+$H45-1),1,""))</f>
        <v/>
      </c>
      <c r="LC45" s="69" t="str">
        <f ca="1">IF(AND($C45="Goal",LC$8&gt;=$G45,LC$8&lt;=$G45+$H45-1),2,IF(AND($C45="Milestone",LC$8&gt;=$G45,LC$8&lt;=$G45+$H45-1),1,""))</f>
        <v/>
      </c>
      <c r="LD45" s="69" t="str">
        <f ca="1">IF(AND($C45="Goal",LD$8&gt;=$G45,LD$8&lt;=$G45+$H45-1),2,IF(AND($C45="Milestone",LD$8&gt;=$G45,LD$8&lt;=$G45+$H45-1),1,""))</f>
        <v/>
      </c>
      <c r="LE45" s="69" t="str">
        <f ca="1">IF(AND($C45="Goal",LE$8&gt;=$G45,LE$8&lt;=$G45+$H45-1),2,IF(AND($C45="Milestone",LE$8&gt;=$G45,LE$8&lt;=$G45+$H45-1),1,""))</f>
        <v/>
      </c>
      <c r="LF45" s="69" t="str">
        <f ca="1">IF(AND($C45="Goal",LF$8&gt;=$G45,LF$8&lt;=$G45+$H45-1),2,IF(AND($C45="Milestone",LF$8&gt;=$G45,LF$8&lt;=$G45+$H45-1),1,""))</f>
        <v/>
      </c>
      <c r="LG45" s="69" t="str">
        <f ca="1">IF(AND($C45="Goal",LG$8&gt;=$G45,LG$8&lt;=$G45+$H45-1),2,IF(AND($C45="Milestone",LG$8&gt;=$G45,LG$8&lt;=$G45+$H45-1),1,""))</f>
        <v/>
      </c>
      <c r="LH45" s="69" t="str">
        <f ca="1">IF(AND($C45="Goal",LH$8&gt;=$G45,LH$8&lt;=$G45+$H45-1),2,IF(AND($C45="Milestone",LH$8&gt;=$G45,LH$8&lt;=$G45+$H45-1),1,""))</f>
        <v/>
      </c>
      <c r="LI45" s="69" t="str">
        <f ca="1">IF(AND($C45="Goal",LI$8&gt;=$G45,LI$8&lt;=$G45+$H45-1),2,IF(AND($C45="Milestone",LI$8&gt;=$G45,LI$8&lt;=$G45+$H45-1),1,""))</f>
        <v/>
      </c>
      <c r="LJ45" s="69" t="str">
        <f ca="1">IF(AND($C45="Goal",LJ$8&gt;=$G45,LJ$8&lt;=$G45+$H45-1),2,IF(AND($C45="Milestone",LJ$8&gt;=$G45,LJ$8&lt;=$G45+$H45-1),1,""))</f>
        <v/>
      </c>
      <c r="LK45" s="69" t="str">
        <f ca="1">IF(AND($C45="Goal",LK$8&gt;=$G45,LK$8&lt;=$G45+$H45-1),2,IF(AND($C45="Milestone",LK$8&gt;=$G45,LK$8&lt;=$G45+$H45-1),1,""))</f>
        <v/>
      </c>
      <c r="LL45" s="69" t="str">
        <f ca="1">IF(AND($C45="Goal",LL$8&gt;=$G45,LL$8&lt;=$G45+$H45-1),2,IF(AND($C45="Milestone",LL$8&gt;=$G45,LL$8&lt;=$G45+$H45-1),1,""))</f>
        <v/>
      </c>
      <c r="LM45" s="69" t="str">
        <f ca="1">IF(AND($C45="Goal",LM$8&gt;=$G45,LM$8&lt;=$G45+$H45-1),2,IF(AND($C45="Milestone",LM$8&gt;=$G45,LM$8&lt;=$G45+$H45-1),1,""))</f>
        <v/>
      </c>
      <c r="LN45" s="69" t="str">
        <f ca="1">IF(AND($C45="Goal",LN$8&gt;=$G45,LN$8&lt;=$G45+$H45-1),2,IF(AND($C45="Milestone",LN$8&gt;=$G45,LN$8&lt;=$G45+$H45-1),1,""))</f>
        <v/>
      </c>
      <c r="LO45" s="69" t="str">
        <f ca="1">IF(AND($C45="Goal",LO$8&gt;=$G45,LO$8&lt;=$G45+$H45-1),2,IF(AND($C45="Milestone",LO$8&gt;=$G45,LO$8&lt;=$G45+$H45-1),1,""))</f>
        <v/>
      </c>
      <c r="LP45" s="69" t="str">
        <f ca="1">IF(AND($C45="Goal",LP$8&gt;=$G45,LP$8&lt;=$G45+$H45-1),2,IF(AND($C45="Milestone",LP$8&gt;=$G45,LP$8&lt;=$G45+$H45-1),1,""))</f>
        <v/>
      </c>
      <c r="LQ45" s="69" t="str">
        <f ca="1">IF(AND($C45="Goal",LQ$8&gt;=$G45,LQ$8&lt;=$G45+$H45-1),2,IF(AND($C45="Milestone",LQ$8&gt;=$G45,LQ$8&lt;=$G45+$H45-1),1,""))</f>
        <v/>
      </c>
      <c r="LR45" s="69" t="str">
        <f ca="1">IF(AND($C45="Goal",LR$8&gt;=$G45,LR$8&lt;=$G45+$H45-1),2,IF(AND($C45="Milestone",LR$8&gt;=$G45,LR$8&lt;=$G45+$H45-1),1,""))</f>
        <v/>
      </c>
      <c r="LS45" s="69" t="str">
        <f ca="1">IF(AND($C45="Goal",LS$8&gt;=$G45,LS$8&lt;=$G45+$H45-1),2,IF(AND($C45="Milestone",LS$8&gt;=$G45,LS$8&lt;=$G45+$H45-1),1,""))</f>
        <v/>
      </c>
      <c r="LT45" s="69" t="str">
        <f ca="1">IF(AND($C45="Goal",LT$8&gt;=$G45,LT$8&lt;=$G45+$H45-1),2,IF(AND($C45="Milestone",LT$8&gt;=$G45,LT$8&lt;=$G45+$H45-1),1,""))</f>
        <v/>
      </c>
      <c r="LU45" s="69" t="str">
        <f ca="1">IF(AND($C45="Goal",LU$8&gt;=$G45,LU$8&lt;=$G45+$H45-1),2,IF(AND($C45="Milestone",LU$8&gt;=$G45,LU$8&lt;=$G45+$H45-1),1,""))</f>
        <v/>
      </c>
      <c r="LV45" s="69" t="str">
        <f ca="1">IF(AND($C45="Goal",LV$8&gt;=$G45,LV$8&lt;=$G45+$H45-1),2,IF(AND($C45="Milestone",LV$8&gt;=$G45,LV$8&lt;=$G45+$H45-1),1,""))</f>
        <v/>
      </c>
      <c r="LW45" s="69" t="str">
        <f ca="1">IF(AND($C45="Goal",LW$8&gt;=$G45,LW$8&lt;=$G45+$H45-1),2,IF(AND($C45="Milestone",LW$8&gt;=$G45,LW$8&lt;=$G45+$H45-1),1,""))</f>
        <v/>
      </c>
      <c r="LX45" s="69" t="str">
        <f ca="1">IF(AND($C45="Goal",LX$8&gt;=$G45,LX$8&lt;=$G45+$H45-1),2,IF(AND($C45="Milestone",LX$8&gt;=$G45,LX$8&lt;=$G45+$H45-1),1,""))</f>
        <v/>
      </c>
    </row>
    <row r="46" spans="1:336" s="1" customFormat="1" ht="25.25" customHeight="1" x14ac:dyDescent="0.25">
      <c r="A46" s="6"/>
      <c r="B46" s="47" t="s">
        <v>46</v>
      </c>
      <c r="C46" s="58"/>
      <c r="D46" s="58" t="str">
        <f ca="1">IF(G46="","",
IF(G46+Milestones4352[[#This Row],[Days]]="","",
IF(OR(F46=1,F46=100%),"Complete",
CHOOSE(
  1
  + --(((1-IF(F46&gt;1,F46/100,F46))*POWER(2.718281828,(60-MAX(0,G46+Milestones4352[[#This Row],[Days]]-TODAY()))/12))&gt;=0.6)
  + --(((1-IF(F46&gt;1,F46/100,F46))*POWER(2.718281828,(60-MAX(0,G46+Milestones4352[[#This Row],[Days]]-TODAY()))/12))&gt;=1.2)
  + --(((1-IF(F46&gt;1,F46/100,F46))*POWER(2.718281828,(60-MAX(0,G46+Milestones4352[[#This Row],[Days]]-TODAY()))/12))&gt;=2),
  "On track","Low risk","Medium risk","High risk"
))))</f>
        <v>On track</v>
      </c>
      <c r="E46" s="58"/>
      <c r="F46" s="56">
        <v>0</v>
      </c>
      <c r="G46" s="70">
        <f t="shared" si="214"/>
        <v>46172</v>
      </c>
      <c r="H46" s="57">
        <v>14</v>
      </c>
      <c r="I46" s="57">
        <f t="shared" si="207"/>
        <v>10</v>
      </c>
      <c r="J46" s="12">
        <f ca="1">IF(OR(Milestones4352[[#This Row],[Start]]="",Milestones4352[[#This Row],[Days]]=""),"",(Milestones4352[[#This Row],[Start]]+Milestones4352[[#This Row],[Days]])-TODAY())</f>
        <v>237</v>
      </c>
      <c r="K46" s="9"/>
      <c r="L46" s="69" t="str">
        <f ca="1">IF(AND($C46="Goal",L$8&gt;=$G46,L$8&lt;=$G46+$H46-1),2,IF(AND($C46="Milestone",L$8&gt;=$G46,L$8&lt;=$G46+$H46-1),1,""))</f>
        <v/>
      </c>
      <c r="M46" s="69" t="str">
        <f ca="1">IF(AND($C46="Goal",M$8&gt;=$G46,M$8&lt;=$G46+$H46-1),2,IF(AND($C46="Milestone",M$8&gt;=$G46,M$8&lt;=$G46+$H46-1),1,""))</f>
        <v/>
      </c>
      <c r="N46" s="69" t="str">
        <f ca="1">IF(AND($C46="Goal",N$8&gt;=$G46,N$8&lt;=$G46+$H46-1),2,IF(AND($C46="Milestone",N$8&gt;=$G46,N$8&lt;=$G46+$H46-1),1,""))</f>
        <v/>
      </c>
      <c r="O46" s="69" t="str">
        <f ca="1">IF(AND($C46="Goal",O$8&gt;=$G46,O$8&lt;=$G46+$H46-1),2,IF(AND($C46="Milestone",O$8&gt;=$G46,O$8&lt;=$G46+$H46-1),1,""))</f>
        <v/>
      </c>
      <c r="P46" s="69" t="str">
        <f ca="1">IF(AND($C46="Goal",P$8&gt;=$G46,P$8&lt;=$G46+$H46-1),2,IF(AND($C46="Milestone",P$8&gt;=$G46,P$8&lt;=$G46+$H46-1),1,""))</f>
        <v/>
      </c>
      <c r="Q46" s="69" t="str">
        <f ca="1">IF(AND($C46="Goal",Q$8&gt;=$G46,Q$8&lt;=$G46+$H46-1),2,IF(AND($C46="Milestone",Q$8&gt;=$G46,Q$8&lt;=$G46+$H46-1),1,""))</f>
        <v/>
      </c>
      <c r="R46" s="69" t="str">
        <f ca="1">IF(AND($C46="Goal",R$8&gt;=$G46,R$8&lt;=$G46+$H46-1),2,IF(AND($C46="Milestone",R$8&gt;=$G46,R$8&lt;=$G46+$H46-1),1,""))</f>
        <v/>
      </c>
      <c r="S46" s="69" t="str">
        <f ca="1">IF(AND($C46="Goal",S$8&gt;=$G46,S$8&lt;=$G46+$H46-1),2,IF(AND($C46="Milestone",S$8&gt;=$G46,S$8&lt;=$G46+$H46-1),1,""))</f>
        <v/>
      </c>
      <c r="T46" s="69" t="str">
        <f ca="1">IF(AND($C46="Goal",T$8&gt;=$G46,T$8&lt;=$G46+$H46-1),2,IF(AND($C46="Milestone",T$8&gt;=$G46,T$8&lt;=$G46+$H46-1),1,""))</f>
        <v/>
      </c>
      <c r="U46" s="69" t="str">
        <f ca="1">IF(AND($C46="Goal",U$8&gt;=$G46,U$8&lt;=$G46+$H46-1),2,IF(AND($C46="Milestone",U$8&gt;=$G46,U$8&lt;=$G46+$H46-1),1,""))</f>
        <v/>
      </c>
      <c r="V46" s="69" t="str">
        <f ca="1">IF(AND($C46="Goal",V$8&gt;=$G46,V$8&lt;=$G46+$H46-1),2,IF(AND($C46="Milestone",V$8&gt;=$G46,V$8&lt;=$G46+$H46-1),1,""))</f>
        <v/>
      </c>
      <c r="W46" s="69" t="str">
        <f ca="1">IF(AND($C46="Goal",W$8&gt;=$G46,W$8&lt;=$G46+$H46-1),2,IF(AND($C46="Milestone",W$8&gt;=$G46,W$8&lt;=$G46+$H46-1),1,""))</f>
        <v/>
      </c>
      <c r="X46" s="69" t="str">
        <f ca="1">IF(AND($C46="Goal",X$8&gt;=$G46,X$8&lt;=$G46+$H46-1),2,IF(AND($C46="Milestone",X$8&gt;=$G46,X$8&lt;=$G46+$H46-1),1,""))</f>
        <v/>
      </c>
      <c r="Y46" s="69" t="str">
        <f ca="1">IF(AND($C46="Goal",Y$8&gt;=$G46,Y$8&lt;=$G46+$H46-1),2,IF(AND($C46="Milestone",Y$8&gt;=$G46,Y$8&lt;=$G46+$H46-1),1,""))</f>
        <v/>
      </c>
      <c r="Z46" s="69" t="str">
        <f ca="1">IF(AND($C46="Goal",Z$8&gt;=$G46,Z$8&lt;=$G46+$H46-1),2,IF(AND($C46="Milestone",Z$8&gt;=$G46,Z$8&lt;=$G46+$H46-1),1,""))</f>
        <v/>
      </c>
      <c r="AA46" s="69" t="str">
        <f ca="1">IF(AND($C46="Goal",AA$8&gt;=$G46,AA$8&lt;=$G46+$H46-1),2,IF(AND($C46="Milestone",AA$8&gt;=$G46,AA$8&lt;=$G46+$H46-1),1,""))</f>
        <v/>
      </c>
      <c r="AB46" s="69" t="str">
        <f ca="1">IF(AND($C46="Goal",AB$8&gt;=$G46,AB$8&lt;=$G46+$H46-1),2,IF(AND($C46="Milestone",AB$8&gt;=$G46,AB$8&lt;=$G46+$H46-1),1,""))</f>
        <v/>
      </c>
      <c r="AC46" s="69" t="str">
        <f ca="1">IF(AND($C46="Goal",AC$8&gt;=$G46,AC$8&lt;=$G46+$H46-1),2,IF(AND($C46="Milestone",AC$8&gt;=$G46,AC$8&lt;=$G46+$H46-1),1,""))</f>
        <v/>
      </c>
      <c r="AD46" s="69" t="str">
        <f ca="1">IF(AND($C46="Goal",AD$8&gt;=$G46,AD$8&lt;=$G46+$H46-1),2,IF(AND($C46="Milestone",AD$8&gt;=$G46,AD$8&lt;=$G46+$H46-1),1,""))</f>
        <v/>
      </c>
      <c r="AE46" s="69" t="str">
        <f ca="1">IF(AND($C46="Goal",AE$8&gt;=$G46,AE$8&lt;=$G46+$H46-1),2,IF(AND($C46="Milestone",AE$8&gt;=$G46,AE$8&lt;=$G46+$H46-1),1,""))</f>
        <v/>
      </c>
      <c r="AF46" s="69" t="str">
        <f ca="1">IF(AND($C46="Goal",AF$8&gt;=$G46,AF$8&lt;=$G46+$H46-1),2,IF(AND($C46="Milestone",AF$8&gt;=$G46,AF$8&lt;=$G46+$H46-1),1,""))</f>
        <v/>
      </c>
      <c r="AG46" s="69" t="str">
        <f ca="1">IF(AND($C46="Goal",AG$8&gt;=$G46,AG$8&lt;=$G46+$H46-1),2,IF(AND($C46="Milestone",AG$8&gt;=$G46,AG$8&lt;=$G46+$H46-1),1,""))</f>
        <v/>
      </c>
      <c r="AH46" s="69" t="str">
        <f ca="1">IF(AND($C46="Goal",AH$8&gt;=$G46,AH$8&lt;=$G46+$H46-1),2,IF(AND($C46="Milestone",AH$8&gt;=$G46,AH$8&lt;=$G46+$H46-1),1,""))</f>
        <v/>
      </c>
      <c r="AI46" s="69" t="str">
        <f ca="1">IF(AND($C46="Goal",AI$8&gt;=$G46,AI$8&lt;=$G46+$H46-1),2,IF(AND($C46="Milestone",AI$8&gt;=$G46,AI$8&lt;=$G46+$H46-1),1,""))</f>
        <v/>
      </c>
      <c r="AJ46" s="69" t="str">
        <f ca="1">IF(AND($C46="Goal",AJ$8&gt;=$G46,AJ$8&lt;=$G46+$H46-1),2,IF(AND($C46="Milestone",AJ$8&gt;=$G46,AJ$8&lt;=$G46+$H46-1),1,""))</f>
        <v/>
      </c>
      <c r="AK46" s="69" t="str">
        <f ca="1">IF(AND($C46="Goal",AK$8&gt;=$G46,AK$8&lt;=$G46+$H46-1),2,IF(AND($C46="Milestone",AK$8&gt;=$G46,AK$8&lt;=$G46+$H46-1),1,""))</f>
        <v/>
      </c>
      <c r="AL46" s="69" t="str">
        <f ca="1">IF(AND($C46="Goal",AL$8&gt;=$G46,AL$8&lt;=$G46+$H46-1),2,IF(AND($C46="Milestone",AL$8&gt;=$G46,AL$8&lt;=$G46+$H46-1),1,""))</f>
        <v/>
      </c>
      <c r="AM46" s="69" t="str">
        <f ca="1">IF(AND($C46="Goal",AM$8&gt;=$G46,AM$8&lt;=$G46+$H46-1),2,IF(AND($C46="Milestone",AM$8&gt;=$G46,AM$8&lt;=$G46+$H46-1),1,""))</f>
        <v/>
      </c>
      <c r="AN46" s="69" t="str">
        <f ca="1">IF(AND($C46="Goal",AN$8&gt;=$G46,AN$8&lt;=$G46+$H46-1),2,IF(AND($C46="Milestone",AN$8&gt;=$G46,AN$8&lt;=$G46+$H46-1),1,""))</f>
        <v/>
      </c>
      <c r="AO46" s="69" t="str">
        <f ca="1">IF(AND($C46="Goal",AO$8&gt;=$G46,AO$8&lt;=$G46+$H46-1),2,IF(AND($C46="Milestone",AO$8&gt;=$G46,AO$8&lt;=$G46+$H46-1),1,""))</f>
        <v/>
      </c>
      <c r="AP46" s="69" t="str">
        <f ca="1">IF(AND($C46="Goal",AP$8&gt;=$G46,AP$8&lt;=$G46+$H46-1),2,IF(AND($C46="Milestone",AP$8&gt;=$G46,AP$8&lt;=$G46+$H46-1),1,""))</f>
        <v/>
      </c>
      <c r="AQ46" s="69" t="str">
        <f ca="1">IF(AND($C46="Goal",AQ$8&gt;=$G46,AQ$8&lt;=$G46+$H46-1),2,IF(AND($C46="Milestone",AQ$8&gt;=$G46,AQ$8&lt;=$G46+$H46-1),1,""))</f>
        <v/>
      </c>
      <c r="AR46" s="69" t="str">
        <f ca="1">IF(AND($C46="Goal",AR$8&gt;=$G46,AR$8&lt;=$G46+$H46-1),2,IF(AND($C46="Milestone",AR$8&gt;=$G46,AR$8&lt;=$G46+$H46-1),1,""))</f>
        <v/>
      </c>
      <c r="AS46" s="69" t="str">
        <f ca="1">IF(AND($C46="Goal",AS$8&gt;=$G46,AS$8&lt;=$G46+$H46-1),2,IF(AND($C46="Milestone",AS$8&gt;=$G46,AS$8&lt;=$G46+$H46-1),1,""))</f>
        <v/>
      </c>
      <c r="AT46" s="69" t="str">
        <f ca="1">IF(AND($C46="Goal",AT$8&gt;=$G46,AT$8&lt;=$G46+$H46-1),2,IF(AND($C46="Milestone",AT$8&gt;=$G46,AT$8&lt;=$G46+$H46-1),1,""))</f>
        <v/>
      </c>
      <c r="AU46" s="69" t="str">
        <f ca="1">IF(AND($C46="Goal",AU$8&gt;=$G46,AU$8&lt;=$G46+$H46-1),2,IF(AND($C46="Milestone",AU$8&gt;=$G46,AU$8&lt;=$G46+$H46-1),1,""))</f>
        <v/>
      </c>
      <c r="AV46" s="69" t="str">
        <f ca="1">IF(AND($C46="Goal",AV$8&gt;=$G46,AV$8&lt;=$G46+$H46-1),2,IF(AND($C46="Milestone",AV$8&gt;=$G46,AV$8&lt;=$G46+$H46-1),1,""))</f>
        <v/>
      </c>
      <c r="AW46" s="69" t="str">
        <f ca="1">IF(AND($C46="Goal",AW$8&gt;=$G46,AW$8&lt;=$G46+$H46-1),2,IF(AND($C46="Milestone",AW$8&gt;=$G46,AW$8&lt;=$G46+$H46-1),1,""))</f>
        <v/>
      </c>
      <c r="AX46" s="69" t="str">
        <f ca="1">IF(AND($C46="Goal",AX$8&gt;=$G46,AX$8&lt;=$G46+$H46-1),2,IF(AND($C46="Milestone",AX$8&gt;=$G46,AX$8&lt;=$G46+$H46-1),1,""))</f>
        <v/>
      </c>
      <c r="AY46" s="69" t="str">
        <f ca="1">IF(AND($C46="Goal",AY$8&gt;=$G46,AY$8&lt;=$G46+$H46-1),2,IF(AND($C46="Milestone",AY$8&gt;=$G46,AY$8&lt;=$G46+$H46-1),1,""))</f>
        <v/>
      </c>
      <c r="AZ46" s="69" t="str">
        <f ca="1">IF(AND($C46="Goal",AZ$8&gt;=$G46,AZ$8&lt;=$G46+$H46-1),2,IF(AND($C46="Milestone",AZ$8&gt;=$G46,AZ$8&lt;=$G46+$H46-1),1,""))</f>
        <v/>
      </c>
      <c r="BA46" s="69" t="str">
        <f ca="1">IF(AND($C46="Goal",BA$8&gt;=$G46,BA$8&lt;=$G46+$H46-1),2,IF(AND($C46="Milestone",BA$8&gt;=$G46,BA$8&lt;=$G46+$H46-1),1,""))</f>
        <v/>
      </c>
      <c r="BB46" s="69" t="str">
        <f ca="1">IF(AND($C46="Goal",BB$8&gt;=$G46,BB$8&lt;=$G46+$H46-1),2,IF(AND($C46="Milestone",BB$8&gt;=$G46,BB$8&lt;=$G46+$H46-1),1,""))</f>
        <v/>
      </c>
      <c r="BC46" s="69" t="str">
        <f ca="1">IF(AND($C46="Goal",BC$8&gt;=$G46,BC$8&lt;=$G46+$H46-1),2,IF(AND($C46="Milestone",BC$8&gt;=$G46,BC$8&lt;=$G46+$H46-1),1,""))</f>
        <v/>
      </c>
      <c r="BD46" s="69" t="str">
        <f ca="1">IF(AND($C46="Goal",BD$8&gt;=$G46,BD$8&lt;=$G46+$H46-1),2,IF(AND($C46="Milestone",BD$8&gt;=$G46,BD$8&lt;=$G46+$H46-1),1,""))</f>
        <v/>
      </c>
      <c r="BE46" s="69" t="str">
        <f ca="1">IF(AND($C46="Goal",BE$8&gt;=$G46,BE$8&lt;=$G46+$H46-1),2,IF(AND($C46="Milestone",BE$8&gt;=$G46,BE$8&lt;=$G46+$H46-1),1,""))</f>
        <v/>
      </c>
      <c r="BF46" s="69" t="str">
        <f ca="1">IF(AND($C46="Goal",BF$8&gt;=$G46,BF$8&lt;=$G46+$H46-1),2,IF(AND($C46="Milestone",BF$8&gt;=$G46,BF$8&lt;=$G46+$H46-1),1,""))</f>
        <v/>
      </c>
      <c r="BG46" s="69" t="str">
        <f ca="1">IF(AND($C46="Goal",BG$8&gt;=$G46,BG$8&lt;=$G46+$H46-1),2,IF(AND($C46="Milestone",BG$8&gt;=$G46,BG$8&lt;=$G46+$H46-1),1,""))</f>
        <v/>
      </c>
      <c r="BH46" s="69" t="str">
        <f ca="1">IF(AND($C46="Goal",BH$8&gt;=$G46,BH$8&lt;=$G46+$H46-1),2,IF(AND($C46="Milestone",BH$8&gt;=$G46,BH$8&lt;=$G46+$H46-1),1,""))</f>
        <v/>
      </c>
      <c r="BI46" s="69" t="str">
        <f ca="1">IF(AND($C46="Goal",BI$8&gt;=$G46,BI$8&lt;=$G46+$H46-1),2,IF(AND($C46="Milestone",BI$8&gt;=$G46,BI$8&lt;=$G46+$H46-1),1,""))</f>
        <v/>
      </c>
      <c r="BJ46" s="69" t="str">
        <f ca="1">IF(AND($C46="Goal",BJ$8&gt;=$G46,BJ$8&lt;=$G46+$H46-1),2,IF(AND($C46="Milestone",BJ$8&gt;=$G46,BJ$8&lt;=$G46+$H46-1),1,""))</f>
        <v/>
      </c>
      <c r="BK46" s="69" t="str">
        <f ca="1">IF(AND($C46="Goal",BK$8&gt;=$G46,BK$8&lt;=$G46+$H46-1),2,IF(AND($C46="Milestone",BK$8&gt;=$G46,BK$8&lt;=$G46+$H46-1),1,""))</f>
        <v/>
      </c>
      <c r="BL46" s="69" t="str">
        <f ca="1">IF(AND($C46="Goal",BL$8&gt;=$G46,BL$8&lt;=$G46+$H46-1),2,IF(AND($C46="Milestone",BL$8&gt;=$G46,BL$8&lt;=$G46+$H46-1),1,""))</f>
        <v/>
      </c>
      <c r="BM46" s="69" t="str">
        <f ca="1">IF(AND($C46="Goal",BM$8&gt;=$G46,BM$8&lt;=$G46+$H46-1),2,IF(AND($C46="Milestone",BM$8&gt;=$G46,BM$8&lt;=$G46+$H46-1),1,""))</f>
        <v/>
      </c>
      <c r="BN46" s="69" t="str">
        <f ca="1">IF(AND($C46="Goal",BN$8&gt;=$G46,BN$8&lt;=$G46+$H46-1),2,IF(AND($C46="Milestone",BN$8&gt;=$G46,BN$8&lt;=$G46+$H46-1),1,""))</f>
        <v/>
      </c>
      <c r="BO46" s="69" t="str">
        <f ca="1">IF(AND($C46="Goal",BO$8&gt;=$G46,BO$8&lt;=$G46+$H46-1),2,IF(AND($C46="Milestone",BO$8&gt;=$G46,BO$8&lt;=$G46+$H46-1),1,""))</f>
        <v/>
      </c>
      <c r="BP46" s="69" t="str">
        <f ca="1">IF(AND($C46="Goal",BP$8&gt;=$G46,BP$8&lt;=$G46+$H46-1),2,IF(AND($C46="Milestone",BP$8&gt;=$G46,BP$8&lt;=$G46+$H46-1),1,""))</f>
        <v/>
      </c>
      <c r="BQ46" s="69" t="str">
        <f ca="1">IF(AND($C46="Goal",BQ$8&gt;=$G46,BQ$8&lt;=$G46+$H46-1),2,IF(AND($C46="Milestone",BQ$8&gt;=$G46,BQ$8&lt;=$G46+$H46-1),1,""))</f>
        <v/>
      </c>
      <c r="BR46" s="69" t="str">
        <f ca="1">IF(AND($C46="Goal",BR$8&gt;=$G46,BR$8&lt;=$G46+$H46-1),2,IF(AND($C46="Milestone",BR$8&gt;=$G46,BR$8&lt;=$G46+$H46-1),1,""))</f>
        <v/>
      </c>
      <c r="BS46" s="69" t="str">
        <f ca="1">IF(AND($C46="Goal",BS$8&gt;=$G46,BS$8&lt;=$G46+$H46-1),2,IF(AND($C46="Milestone",BS$8&gt;=$G46,BS$8&lt;=$G46+$H46-1),1,""))</f>
        <v/>
      </c>
      <c r="BT46" s="69" t="str">
        <f ca="1">IF(AND($C46="Goal",BT$8&gt;=$G46,BT$8&lt;=$G46+$H46-1),2,IF(AND($C46="Milestone",BT$8&gt;=$G46,BT$8&lt;=$G46+$H46-1),1,""))</f>
        <v/>
      </c>
      <c r="BU46" s="69" t="str">
        <f ca="1">IF(AND($C46="Goal",BU$8&gt;=$G46,BU$8&lt;=$G46+$H46-1),2,IF(AND($C46="Milestone",BU$8&gt;=$G46,BU$8&lt;=$G46+$H46-1),1,""))</f>
        <v/>
      </c>
      <c r="BV46" s="69" t="str">
        <f ca="1">IF(AND($C46="Goal",BV$8&gt;=$G46,BV$8&lt;=$G46+$H46-1),2,IF(AND($C46="Milestone",BV$8&gt;=$G46,BV$8&lt;=$G46+$H46-1),1,""))</f>
        <v/>
      </c>
      <c r="BW46" s="69" t="str">
        <f ca="1">IF(AND($C46="Goal",BW$8&gt;=$G46,BW$8&lt;=$G46+$H46-1),2,IF(AND($C46="Milestone",BW$8&gt;=$G46,BW$8&lt;=$G46+$H46-1),1,""))</f>
        <v/>
      </c>
      <c r="BX46" s="69" t="str">
        <f ca="1">IF(AND($C46="Goal",BX$8&gt;=$G46,BX$8&lt;=$G46+$H46-1),2,IF(AND($C46="Milestone",BX$8&gt;=$G46,BX$8&lt;=$G46+$H46-1),1,""))</f>
        <v/>
      </c>
      <c r="BY46" s="69" t="str">
        <f ca="1">IF(AND($C46="Goal",BY$8&gt;=$G46,BY$8&lt;=$G46+$H46-1),2,IF(AND($C46="Milestone",BY$8&gt;=$G46,BY$8&lt;=$G46+$H46-1),1,""))</f>
        <v/>
      </c>
      <c r="BZ46" s="69" t="str">
        <f ca="1">IF(AND($C46="Goal",BZ$8&gt;=$G46,BZ$8&lt;=$G46+$H46-1),2,IF(AND($C46="Milestone",BZ$8&gt;=$G46,BZ$8&lt;=$G46+$H46-1),1,""))</f>
        <v/>
      </c>
      <c r="CA46" s="69" t="str">
        <f ca="1">IF(AND($C46="Goal",CA$8&gt;=$G46,CA$8&lt;=$G46+$H46-1),2,IF(AND($C46="Milestone",CA$8&gt;=$G46,CA$8&lt;=$G46+$H46-1),1,""))</f>
        <v/>
      </c>
      <c r="CB46" s="69" t="str">
        <f ca="1">IF(AND($C46="Goal",CB$8&gt;=$G46,CB$8&lt;=$G46+$H46-1),2,IF(AND($C46="Milestone",CB$8&gt;=$G46,CB$8&lt;=$G46+$H46-1),1,""))</f>
        <v/>
      </c>
      <c r="CC46" s="69" t="str">
        <f ca="1">IF(AND($C46="Goal",CC$8&gt;=$G46,CC$8&lt;=$G46+$H46-1),2,IF(AND($C46="Milestone",CC$8&gt;=$G46,CC$8&lt;=$G46+$H46-1),1,""))</f>
        <v/>
      </c>
      <c r="CD46" s="69" t="str">
        <f ca="1">IF(AND($C46="Goal",CD$8&gt;=$G46,CD$8&lt;=$G46+$H46-1),2,IF(AND($C46="Milestone",CD$8&gt;=$G46,CD$8&lt;=$G46+$H46-1),1,""))</f>
        <v/>
      </c>
      <c r="CE46" s="69" t="str">
        <f ca="1">IF(AND($C46="Goal",CE$8&gt;=$G46,CE$8&lt;=$G46+$H46-1),2,IF(AND($C46="Milestone",CE$8&gt;=$G46,CE$8&lt;=$G46+$H46-1),1,""))</f>
        <v/>
      </c>
      <c r="CF46" s="69" t="str">
        <f ca="1">IF(AND($C46="Goal",CF$8&gt;=$G46,CF$8&lt;=$G46+$H46-1),2,IF(AND($C46="Milestone",CF$8&gt;=$G46,CF$8&lt;=$G46+$H46-1),1,""))</f>
        <v/>
      </c>
      <c r="CG46" s="69" t="str">
        <f ca="1">IF(AND($C46="Goal",CG$8&gt;=$G46,CG$8&lt;=$G46+$H46-1),2,IF(AND($C46="Milestone",CG$8&gt;=$G46,CG$8&lt;=$G46+$H46-1),1,""))</f>
        <v/>
      </c>
      <c r="CH46" s="69" t="str">
        <f ca="1">IF(AND($C46="Goal",CH$8&gt;=$G46,CH$8&lt;=$G46+$H46-1),2,IF(AND($C46="Milestone",CH$8&gt;=$G46,CH$8&lt;=$G46+$H46-1),1,""))</f>
        <v/>
      </c>
      <c r="CI46" s="69" t="str">
        <f ca="1">IF(AND($C46="Goal",CI$8&gt;=$G46,CI$8&lt;=$G46+$H46-1),2,IF(AND($C46="Milestone",CI$8&gt;=$G46,CI$8&lt;=$G46+$H46-1),1,""))</f>
        <v/>
      </c>
      <c r="CJ46" s="69" t="str">
        <f ca="1">IF(AND($C46="Goal",CJ$8&gt;=$G46,CJ$8&lt;=$G46+$H46-1),2,IF(AND($C46="Milestone",CJ$8&gt;=$G46,CJ$8&lt;=$G46+$H46-1),1,""))</f>
        <v/>
      </c>
      <c r="CK46" s="69" t="str">
        <f ca="1">IF(AND($C46="Goal",CK$8&gt;=$G46,CK$8&lt;=$G46+$H46-1),2,IF(AND($C46="Milestone",CK$8&gt;=$G46,CK$8&lt;=$G46+$H46-1),1,""))</f>
        <v/>
      </c>
      <c r="CL46" s="69" t="str">
        <f ca="1">IF(AND($C46="Goal",CL$8&gt;=$G46,CL$8&lt;=$G46+$H46-1),2,IF(AND($C46="Milestone",CL$8&gt;=$G46,CL$8&lt;=$G46+$H46-1),1,""))</f>
        <v/>
      </c>
      <c r="CM46" s="69" t="str">
        <f ca="1">IF(AND($C46="Goal",CM$8&gt;=$G46,CM$8&lt;=$G46+$H46-1),2,IF(AND($C46="Milestone",CM$8&gt;=$G46,CM$8&lt;=$G46+$H46-1),1,""))</f>
        <v/>
      </c>
      <c r="CN46" s="69" t="str">
        <f ca="1">IF(AND($C46="Goal",CN$8&gt;=$G46,CN$8&lt;=$G46+$H46-1),2,IF(AND($C46="Milestone",CN$8&gt;=$G46,CN$8&lt;=$G46+$H46-1),1,""))</f>
        <v/>
      </c>
      <c r="CO46" s="69" t="str">
        <f ca="1">IF(AND($C46="Goal",CO$8&gt;=$G46,CO$8&lt;=$G46+$H46-1),2,IF(AND($C46="Milestone",CO$8&gt;=$G46,CO$8&lt;=$G46+$H46-1),1,""))</f>
        <v/>
      </c>
      <c r="CP46" s="69" t="str">
        <f ca="1">IF(AND($C46="Goal",CP$8&gt;=$G46,CP$8&lt;=$G46+$H46-1),2,IF(AND($C46="Milestone",CP$8&gt;=$G46,CP$8&lt;=$G46+$H46-1),1,""))</f>
        <v/>
      </c>
      <c r="CQ46" s="69" t="str">
        <f ca="1">IF(AND($C46="Goal",CQ$8&gt;=$G46,CQ$8&lt;=$G46+$H46-1),2,IF(AND($C46="Milestone",CQ$8&gt;=$G46,CQ$8&lt;=$G46+$H46-1),1,""))</f>
        <v/>
      </c>
      <c r="CR46" s="69" t="str">
        <f ca="1">IF(AND($C46="Goal",CR$8&gt;=$G46,CR$8&lt;=$G46+$H46-1),2,IF(AND($C46="Milestone",CR$8&gt;=$G46,CR$8&lt;=$G46+$H46-1),1,""))</f>
        <v/>
      </c>
      <c r="CS46" s="69" t="str">
        <f ca="1">IF(AND($C46="Goal",CS$8&gt;=$G46,CS$8&lt;=$G46+$H46-1),2,IF(AND($C46="Milestone",CS$8&gt;=$G46,CS$8&lt;=$G46+$H46-1),1,""))</f>
        <v/>
      </c>
      <c r="CT46" s="69" t="str">
        <f ca="1">IF(AND($C46="Goal",CT$8&gt;=$G46,CT$8&lt;=$G46+$H46-1),2,IF(AND($C46="Milestone",CT$8&gt;=$G46,CT$8&lt;=$G46+$H46-1),1,""))</f>
        <v/>
      </c>
      <c r="CU46" s="69" t="str">
        <f ca="1">IF(AND($C46="Goal",CU$8&gt;=$G46,CU$8&lt;=$G46+$H46-1),2,IF(AND($C46="Milestone",CU$8&gt;=$G46,CU$8&lt;=$G46+$H46-1),1,""))</f>
        <v/>
      </c>
      <c r="CV46" s="69" t="str">
        <f ca="1">IF(AND($C46="Goal",CV$8&gt;=$G46,CV$8&lt;=$G46+$H46-1),2,IF(AND($C46="Milestone",CV$8&gt;=$G46,CV$8&lt;=$G46+$H46-1),1,""))</f>
        <v/>
      </c>
      <c r="CW46" s="69" t="str">
        <f ca="1">IF(AND($C46="Goal",CW$8&gt;=$G46,CW$8&lt;=$G46+$H46-1),2,IF(AND($C46="Milestone",CW$8&gt;=$G46,CW$8&lt;=$G46+$H46-1),1,""))</f>
        <v/>
      </c>
      <c r="CX46" s="69" t="str">
        <f ca="1">IF(AND($C46="Goal",CX$8&gt;=$G46,CX$8&lt;=$G46+$H46-1),2,IF(AND($C46="Milestone",CX$8&gt;=$G46,CX$8&lt;=$G46+$H46-1),1,""))</f>
        <v/>
      </c>
      <c r="CY46" s="69" t="str">
        <f ca="1">IF(AND($C46="Goal",CY$8&gt;=$G46,CY$8&lt;=$G46+$H46-1),2,IF(AND($C46="Milestone",CY$8&gt;=$G46,CY$8&lt;=$G46+$H46-1),1,""))</f>
        <v/>
      </c>
      <c r="CZ46" s="69" t="str">
        <f ca="1">IF(AND($C46="Goal",CZ$8&gt;=$G46,CZ$8&lt;=$G46+$H46-1),2,IF(AND($C46="Milestone",CZ$8&gt;=$G46,CZ$8&lt;=$G46+$H46-1),1,""))</f>
        <v/>
      </c>
      <c r="DA46" s="69" t="str">
        <f ca="1">IF(AND($C46="Goal",DA$8&gt;=$G46,DA$8&lt;=$G46+$H46-1),2,IF(AND($C46="Milestone",DA$8&gt;=$G46,DA$8&lt;=$G46+$H46-1),1,""))</f>
        <v/>
      </c>
      <c r="DB46" s="69" t="str">
        <f ca="1">IF(AND($C46="Goal",DB$8&gt;=$G46,DB$8&lt;=$G46+$H46-1),2,IF(AND($C46="Milestone",DB$8&gt;=$G46,DB$8&lt;=$G46+$H46-1),1,""))</f>
        <v/>
      </c>
      <c r="DC46" s="69" t="str">
        <f ca="1">IF(AND($C46="Goal",DC$8&gt;=$G46,DC$8&lt;=$G46+$H46-1),2,IF(AND($C46="Milestone",DC$8&gt;=$G46,DC$8&lt;=$G46+$H46-1),1,""))</f>
        <v/>
      </c>
      <c r="DD46" s="69" t="str">
        <f ca="1">IF(AND($C46="Goal",DD$8&gt;=$G46,DD$8&lt;=$G46+$H46-1),2,IF(AND($C46="Milestone",DD$8&gt;=$G46,DD$8&lt;=$G46+$H46-1),1,""))</f>
        <v/>
      </c>
      <c r="DE46" s="69" t="str">
        <f ca="1">IF(AND($C46="Goal",DE$8&gt;=$G46,DE$8&lt;=$G46+$H46-1),2,IF(AND($C46="Milestone",DE$8&gt;=$G46,DE$8&lt;=$G46+$H46-1),1,""))</f>
        <v/>
      </c>
      <c r="DF46" s="69" t="str">
        <f ca="1">IF(AND($C46="Goal",DF$8&gt;=$G46,DF$8&lt;=$G46+$H46-1),2,IF(AND($C46="Milestone",DF$8&gt;=$G46,DF$8&lt;=$G46+$H46-1),1,""))</f>
        <v/>
      </c>
      <c r="DG46" s="69" t="str">
        <f ca="1">IF(AND($C46="Goal",DG$8&gt;=$G46,DG$8&lt;=$G46+$H46-1),2,IF(AND($C46="Milestone",DG$8&gt;=$G46,DG$8&lt;=$G46+$H46-1),1,""))</f>
        <v/>
      </c>
      <c r="DH46" s="69" t="str">
        <f ca="1">IF(AND($C46="Goal",DH$8&gt;=$G46,DH$8&lt;=$G46+$H46-1),2,IF(AND($C46="Milestone",DH$8&gt;=$G46,DH$8&lt;=$G46+$H46-1),1,""))</f>
        <v/>
      </c>
      <c r="DI46" s="69" t="str">
        <f ca="1">IF(AND($C46="Goal",DI$8&gt;=$G46,DI$8&lt;=$G46+$H46-1),2,IF(AND($C46="Milestone",DI$8&gt;=$G46,DI$8&lt;=$G46+$H46-1),1,""))</f>
        <v/>
      </c>
      <c r="DJ46" s="69" t="str">
        <f ca="1">IF(AND($C46="Goal",DJ$8&gt;=$G46,DJ$8&lt;=$G46+$H46-1),2,IF(AND($C46="Milestone",DJ$8&gt;=$G46,DJ$8&lt;=$G46+$H46-1),1,""))</f>
        <v/>
      </c>
      <c r="DK46" s="69" t="str">
        <f ca="1">IF(AND($C46="Goal",DK$8&gt;=$G46,DK$8&lt;=$G46+$H46-1),2,IF(AND($C46="Milestone",DK$8&gt;=$G46,DK$8&lt;=$G46+$H46-1),1,""))</f>
        <v/>
      </c>
      <c r="DL46" s="69" t="str">
        <f ca="1">IF(AND($C46="Goal",DL$8&gt;=$G46,DL$8&lt;=$G46+$H46-1),2,IF(AND($C46="Milestone",DL$8&gt;=$G46,DL$8&lt;=$G46+$H46-1),1,""))</f>
        <v/>
      </c>
      <c r="DM46" s="69" t="str">
        <f ca="1">IF(AND($C46="Goal",DM$8&gt;=$G46,DM$8&lt;=$G46+$H46-1),2,IF(AND($C46="Milestone",DM$8&gt;=$G46,DM$8&lt;=$G46+$H46-1),1,""))</f>
        <v/>
      </c>
      <c r="DN46" s="69" t="str">
        <f ca="1">IF(AND($C46="Goal",DN$8&gt;=$G46,DN$8&lt;=$G46+$H46-1),2,IF(AND($C46="Milestone",DN$8&gt;=$G46,DN$8&lt;=$G46+$H46-1),1,""))</f>
        <v/>
      </c>
      <c r="DO46" s="69" t="str">
        <f ca="1">IF(AND($C46="Goal",DO$8&gt;=$G46,DO$8&lt;=$G46+$H46-1),2,IF(AND($C46="Milestone",DO$8&gt;=$G46,DO$8&lt;=$G46+$H46-1),1,""))</f>
        <v/>
      </c>
      <c r="DP46" s="69" t="str">
        <f ca="1">IF(AND($C46="Goal",DP$8&gt;=$G46,DP$8&lt;=$G46+$H46-1),2,IF(AND($C46="Milestone",DP$8&gt;=$G46,DP$8&lt;=$G46+$H46-1),1,""))</f>
        <v/>
      </c>
      <c r="DQ46" s="69" t="str">
        <f ca="1">IF(AND($C46="Goal",DQ$8&gt;=$G46,DQ$8&lt;=$G46+$H46-1),2,IF(AND($C46="Milestone",DQ$8&gt;=$G46,DQ$8&lt;=$G46+$H46-1),1,""))</f>
        <v/>
      </c>
      <c r="DR46" s="69" t="str">
        <f ca="1">IF(AND($C46="Goal",DR$8&gt;=$G46,DR$8&lt;=$G46+$H46-1),2,IF(AND($C46="Milestone",DR$8&gt;=$G46,DR$8&lt;=$G46+$H46-1),1,""))</f>
        <v/>
      </c>
      <c r="DS46" s="69" t="str">
        <f ca="1">IF(AND($C46="Goal",DS$8&gt;=$G46,DS$8&lt;=$G46+$H46-1),2,IF(AND($C46="Milestone",DS$8&gt;=$G46,DS$8&lt;=$G46+$H46-1),1,""))</f>
        <v/>
      </c>
      <c r="DT46" s="69" t="str">
        <f ca="1">IF(AND($C46="Goal",DT$8&gt;=$G46,DT$8&lt;=$G46+$H46-1),2,IF(AND($C46="Milestone",DT$8&gt;=$G46,DT$8&lt;=$G46+$H46-1),1,""))</f>
        <v/>
      </c>
      <c r="DU46" s="69" t="str">
        <f ca="1">IF(AND($C46="Goal",DU$8&gt;=$G46,DU$8&lt;=$G46+$H46-1),2,IF(AND($C46="Milestone",DU$8&gt;=$G46,DU$8&lt;=$G46+$H46-1),1,""))</f>
        <v/>
      </c>
      <c r="DV46" s="69" t="str">
        <f ca="1">IF(AND($C46="Goal",DV$8&gt;=$G46,DV$8&lt;=$G46+$H46-1),2,IF(AND($C46="Milestone",DV$8&gt;=$G46,DV$8&lt;=$G46+$H46-1),1,""))</f>
        <v/>
      </c>
      <c r="DW46" s="69" t="str">
        <f ca="1">IF(AND($C46="Goal",DW$8&gt;=$G46,DW$8&lt;=$G46+$H46-1),2,IF(AND($C46="Milestone",DW$8&gt;=$G46,DW$8&lt;=$G46+$H46-1),1,""))</f>
        <v/>
      </c>
      <c r="DX46" s="69" t="str">
        <f ca="1">IF(AND($C46="Goal",DX$8&gt;=$G46,DX$8&lt;=$G46+$H46-1),2,IF(AND($C46="Milestone",DX$8&gt;=$G46,DX$8&lt;=$G46+$H46-1),1,""))</f>
        <v/>
      </c>
      <c r="DY46" s="69" t="str">
        <f ca="1">IF(AND($C46="Goal",DY$8&gt;=$G46,DY$8&lt;=$G46+$H46-1),2,IF(AND($C46="Milestone",DY$8&gt;=$G46,DY$8&lt;=$G46+$H46-1),1,""))</f>
        <v/>
      </c>
      <c r="DZ46" s="69" t="str">
        <f ca="1">IF(AND($C46="Goal",DZ$8&gt;=$G46,DZ$8&lt;=$G46+$H46-1),2,IF(AND($C46="Milestone",DZ$8&gt;=$G46,DZ$8&lt;=$G46+$H46-1),1,""))</f>
        <v/>
      </c>
      <c r="EA46" s="69" t="str">
        <f ca="1">IF(AND($C46="Goal",EA$8&gt;=$G46,EA$8&lt;=$G46+$H46-1),2,IF(AND($C46="Milestone",EA$8&gt;=$G46,EA$8&lt;=$G46+$H46-1),1,""))</f>
        <v/>
      </c>
      <c r="EB46" s="69" t="str">
        <f ca="1">IF(AND($C46="Goal",EB$8&gt;=$G46,EB$8&lt;=$G46+$H46-1),2,IF(AND($C46="Milestone",EB$8&gt;=$G46,EB$8&lt;=$G46+$H46-1),1,""))</f>
        <v/>
      </c>
      <c r="EC46" s="69" t="str">
        <f ca="1">IF(AND($C46="Goal",EC$8&gt;=$G46,EC$8&lt;=$G46+$H46-1),2,IF(AND($C46="Milestone",EC$8&gt;=$G46,EC$8&lt;=$G46+$H46-1),1,""))</f>
        <v/>
      </c>
      <c r="ED46" s="69" t="str">
        <f ca="1">IF(AND($C46="Goal",ED$8&gt;=$G46,ED$8&lt;=$G46+$H46-1),2,IF(AND($C46="Milestone",ED$8&gt;=$G46,ED$8&lt;=$G46+$H46-1),1,""))</f>
        <v/>
      </c>
      <c r="EE46" s="69" t="str">
        <f ca="1">IF(AND($C46="Goal",EE$8&gt;=$G46,EE$8&lt;=$G46+$H46-1),2,IF(AND($C46="Milestone",EE$8&gt;=$G46,EE$8&lt;=$G46+$H46-1),1,""))</f>
        <v/>
      </c>
      <c r="EF46" s="69" t="str">
        <f ca="1">IF(AND($C46="Goal",EF$8&gt;=$G46,EF$8&lt;=$G46+$H46-1),2,IF(AND($C46="Milestone",EF$8&gt;=$G46,EF$8&lt;=$G46+$H46-1),1,""))</f>
        <v/>
      </c>
      <c r="EG46" s="69" t="str">
        <f ca="1">IF(AND($C46="Goal",EG$8&gt;=$G46,EG$8&lt;=$G46+$H46-1),2,IF(AND($C46="Milestone",EG$8&gt;=$G46,EG$8&lt;=$G46+$H46-1),1,""))</f>
        <v/>
      </c>
      <c r="EH46" s="69" t="str">
        <f ca="1">IF(AND($C46="Goal",EH$8&gt;=$G46,EH$8&lt;=$G46+$H46-1),2,IF(AND($C46="Milestone",EH$8&gt;=$G46,EH$8&lt;=$G46+$H46-1),1,""))</f>
        <v/>
      </c>
      <c r="EI46" s="69" t="str">
        <f ca="1">IF(AND($C46="Goal",EI$8&gt;=$G46,EI$8&lt;=$G46+$H46-1),2,IF(AND($C46="Milestone",EI$8&gt;=$G46,EI$8&lt;=$G46+$H46-1),1,""))</f>
        <v/>
      </c>
      <c r="EJ46" s="69" t="str">
        <f ca="1">IF(AND($C46="Goal",EJ$8&gt;=$G46,EJ$8&lt;=$G46+$H46-1),2,IF(AND($C46="Milestone",EJ$8&gt;=$G46,EJ$8&lt;=$G46+$H46-1),1,""))</f>
        <v/>
      </c>
      <c r="EK46" s="69" t="str">
        <f ca="1">IF(AND($C46="Goal",EK$8&gt;=$G46,EK$8&lt;=$G46+$H46-1),2,IF(AND($C46="Milestone",EK$8&gt;=$G46,EK$8&lt;=$G46+$H46-1),1,""))</f>
        <v/>
      </c>
      <c r="EL46" s="69" t="str">
        <f ca="1">IF(AND($C46="Goal",EL$8&gt;=$G46,EL$8&lt;=$G46+$H46-1),2,IF(AND($C46="Milestone",EL$8&gt;=$G46,EL$8&lt;=$G46+$H46-1),1,""))</f>
        <v/>
      </c>
      <c r="EM46" s="69" t="str">
        <f ca="1">IF(AND($C46="Goal",EM$8&gt;=$G46,EM$8&lt;=$G46+$H46-1),2,IF(AND($C46="Milestone",EM$8&gt;=$G46,EM$8&lt;=$G46+$H46-1),1,""))</f>
        <v/>
      </c>
      <c r="EN46" s="69" t="str">
        <f ca="1">IF(AND($C46="Goal",EN$8&gt;=$G46,EN$8&lt;=$G46+$H46-1),2,IF(AND($C46="Milestone",EN$8&gt;=$G46,EN$8&lt;=$G46+$H46-1),1,""))</f>
        <v/>
      </c>
      <c r="EO46" s="69" t="str">
        <f ca="1">IF(AND($C46="Goal",EO$8&gt;=$G46,EO$8&lt;=$G46+$H46-1),2,IF(AND($C46="Milestone",EO$8&gt;=$G46,EO$8&lt;=$G46+$H46-1),1,""))</f>
        <v/>
      </c>
      <c r="EP46" s="69" t="str">
        <f ca="1">IF(AND($C46="Goal",EP$8&gt;=$G46,EP$8&lt;=$G46+$H46-1),2,IF(AND($C46="Milestone",EP$8&gt;=$G46,EP$8&lt;=$G46+$H46-1),1,""))</f>
        <v/>
      </c>
      <c r="EQ46" s="69" t="str">
        <f ca="1">IF(AND($C46="Goal",EQ$8&gt;=$G46,EQ$8&lt;=$G46+$H46-1),2,IF(AND($C46="Milestone",EQ$8&gt;=$G46,EQ$8&lt;=$G46+$H46-1),1,""))</f>
        <v/>
      </c>
      <c r="ER46" s="69" t="str">
        <f ca="1">IF(AND($C46="Goal",ER$8&gt;=$G46,ER$8&lt;=$G46+$H46-1),2,IF(AND($C46="Milestone",ER$8&gt;=$G46,ER$8&lt;=$G46+$H46-1),1,""))</f>
        <v/>
      </c>
      <c r="ES46" s="69" t="str">
        <f ca="1">IF(AND($C46="Goal",ES$8&gt;=$G46,ES$8&lt;=$G46+$H46-1),2,IF(AND($C46="Milestone",ES$8&gt;=$G46,ES$8&lt;=$G46+$H46-1),1,""))</f>
        <v/>
      </c>
      <c r="ET46" s="69" t="str">
        <f ca="1">IF(AND($C46="Goal",ET$8&gt;=$G46,ET$8&lt;=$G46+$H46-1),2,IF(AND($C46="Milestone",ET$8&gt;=$G46,ET$8&lt;=$G46+$H46-1),1,""))</f>
        <v/>
      </c>
      <c r="EU46" s="69" t="str">
        <f ca="1">IF(AND($C46="Goal",EU$8&gt;=$G46,EU$8&lt;=$G46+$H46-1),2,IF(AND($C46="Milestone",EU$8&gt;=$G46,EU$8&lt;=$G46+$H46-1),1,""))</f>
        <v/>
      </c>
      <c r="EV46" s="69" t="str">
        <f ca="1">IF(AND($C46="Goal",EV$8&gt;=$G46,EV$8&lt;=$G46+$H46-1),2,IF(AND($C46="Milestone",EV$8&gt;=$G46,EV$8&lt;=$G46+$H46-1),1,""))</f>
        <v/>
      </c>
      <c r="EW46" s="69" t="str">
        <f ca="1">IF(AND($C46="Goal",EW$8&gt;=$G46,EW$8&lt;=$G46+$H46-1),2,IF(AND($C46="Milestone",EW$8&gt;=$G46,EW$8&lt;=$G46+$H46-1),1,""))</f>
        <v/>
      </c>
      <c r="EX46" s="69" t="str">
        <f ca="1">IF(AND($C46="Goal",EX$8&gt;=$G46,EX$8&lt;=$G46+$H46-1),2,IF(AND($C46="Milestone",EX$8&gt;=$G46,EX$8&lt;=$G46+$H46-1),1,""))</f>
        <v/>
      </c>
      <c r="EY46" s="69" t="str">
        <f ca="1">IF(AND($C46="Goal",EY$8&gt;=$G46,EY$8&lt;=$G46+$H46-1),2,IF(AND($C46="Milestone",EY$8&gt;=$G46,EY$8&lt;=$G46+$H46-1),1,""))</f>
        <v/>
      </c>
      <c r="EZ46" s="69" t="str">
        <f ca="1">IF(AND($C46="Goal",EZ$8&gt;=$G46,EZ$8&lt;=$G46+$H46-1),2,IF(AND($C46="Milestone",EZ$8&gt;=$G46,EZ$8&lt;=$G46+$H46-1),1,""))</f>
        <v/>
      </c>
      <c r="FA46" s="69" t="str">
        <f ca="1">IF(AND($C46="Goal",FA$8&gt;=$G46,FA$8&lt;=$G46+$H46-1),2,IF(AND($C46="Milestone",FA$8&gt;=$G46,FA$8&lt;=$G46+$H46-1),1,""))</f>
        <v/>
      </c>
      <c r="FB46" s="69" t="str">
        <f ca="1">IF(AND($C46="Goal",FB$8&gt;=$G46,FB$8&lt;=$G46+$H46-1),2,IF(AND($C46="Milestone",FB$8&gt;=$G46,FB$8&lt;=$G46+$H46-1),1,""))</f>
        <v/>
      </c>
      <c r="FC46" s="69" t="str">
        <f ca="1">IF(AND($C46="Goal",FC$8&gt;=$G46,FC$8&lt;=$G46+$H46-1),2,IF(AND($C46="Milestone",FC$8&gt;=$G46,FC$8&lt;=$G46+$H46-1),1,""))</f>
        <v/>
      </c>
      <c r="FD46" s="69" t="str">
        <f ca="1">IF(AND($C46="Goal",FD$8&gt;=$G46,FD$8&lt;=$G46+$H46-1),2,IF(AND($C46="Milestone",FD$8&gt;=$G46,FD$8&lt;=$G46+$H46-1),1,""))</f>
        <v/>
      </c>
      <c r="FE46" s="69" t="str">
        <f ca="1">IF(AND($C46="Goal",FE$8&gt;=$G46,FE$8&lt;=$G46+$H46-1),2,IF(AND($C46="Milestone",FE$8&gt;=$G46,FE$8&lt;=$G46+$H46-1),1,""))</f>
        <v/>
      </c>
      <c r="FF46" s="69" t="str">
        <f ca="1">IF(AND($C46="Goal",FF$8&gt;=$G46,FF$8&lt;=$G46+$H46-1),2,IF(AND($C46="Milestone",FF$8&gt;=$G46,FF$8&lt;=$G46+$H46-1),1,""))</f>
        <v/>
      </c>
      <c r="FG46" s="69" t="str">
        <f ca="1">IF(AND($C46="Goal",FG$8&gt;=$G46,FG$8&lt;=$G46+$H46-1),2,IF(AND($C46="Milestone",FG$8&gt;=$G46,FG$8&lt;=$G46+$H46-1),1,""))</f>
        <v/>
      </c>
      <c r="FH46" s="69" t="str">
        <f ca="1">IF(AND($C46="Goal",FH$8&gt;=$G46,FH$8&lt;=$G46+$H46-1),2,IF(AND($C46="Milestone",FH$8&gt;=$G46,FH$8&lt;=$G46+$H46-1),1,""))</f>
        <v/>
      </c>
      <c r="FI46" s="69" t="str">
        <f ca="1">IF(AND($C46="Goal",FI$8&gt;=$G46,FI$8&lt;=$G46+$H46-1),2,IF(AND($C46="Milestone",FI$8&gt;=$G46,FI$8&lt;=$G46+$H46-1),1,""))</f>
        <v/>
      </c>
      <c r="FJ46" s="69" t="str">
        <f ca="1">IF(AND($C46="Goal",FJ$8&gt;=$G46,FJ$8&lt;=$G46+$H46-1),2,IF(AND($C46="Milestone",FJ$8&gt;=$G46,FJ$8&lt;=$G46+$H46-1),1,""))</f>
        <v/>
      </c>
      <c r="FK46" s="69" t="str">
        <f ca="1">IF(AND($C46="Goal",FK$8&gt;=$G46,FK$8&lt;=$G46+$H46-1),2,IF(AND($C46="Milestone",FK$8&gt;=$G46,FK$8&lt;=$G46+$H46-1),1,""))</f>
        <v/>
      </c>
      <c r="FL46" s="69" t="str">
        <f ca="1">IF(AND($C46="Goal",FL$8&gt;=$G46,FL$8&lt;=$G46+$H46-1),2,IF(AND($C46="Milestone",FL$8&gt;=$G46,FL$8&lt;=$G46+$H46-1),1,""))</f>
        <v/>
      </c>
      <c r="FM46" s="69" t="str">
        <f ca="1">IF(AND($C46="Goal",FM$8&gt;=$G46,FM$8&lt;=$G46+$H46-1),2,IF(AND($C46="Milestone",FM$8&gt;=$G46,FM$8&lt;=$G46+$H46-1),1,""))</f>
        <v/>
      </c>
      <c r="FN46" s="69" t="str">
        <f ca="1">IF(AND($C46="Goal",FN$8&gt;=$G46,FN$8&lt;=$G46+$H46-1),2,IF(AND($C46="Milestone",FN$8&gt;=$G46,FN$8&lt;=$G46+$H46-1),1,""))</f>
        <v/>
      </c>
      <c r="FO46" s="69" t="str">
        <f ca="1">IF(AND($C46="Goal",FO$8&gt;=$G46,FO$8&lt;=$G46+$H46-1),2,IF(AND($C46="Milestone",FO$8&gt;=$G46,FO$8&lt;=$G46+$H46-1),1,""))</f>
        <v/>
      </c>
      <c r="FP46" s="69" t="str">
        <f ca="1">IF(AND($C46="Goal",FP$8&gt;=$G46,FP$8&lt;=$G46+$H46-1),2,IF(AND($C46="Milestone",FP$8&gt;=$G46,FP$8&lt;=$G46+$H46-1),1,""))</f>
        <v/>
      </c>
      <c r="FQ46" s="69" t="str">
        <f ca="1">IF(AND($C46="Goal",FQ$8&gt;=$G46,FQ$8&lt;=$G46+$H46-1),2,IF(AND($C46="Milestone",FQ$8&gt;=$G46,FQ$8&lt;=$G46+$H46-1),1,""))</f>
        <v/>
      </c>
      <c r="FR46" s="69" t="str">
        <f ca="1">IF(AND($C46="Goal",FR$8&gt;=$G46,FR$8&lt;=$G46+$H46-1),2,IF(AND($C46="Milestone",FR$8&gt;=$G46,FR$8&lt;=$G46+$H46-1),1,""))</f>
        <v/>
      </c>
      <c r="FS46" s="69" t="str">
        <f ca="1">IF(AND($C46="Goal",FS$8&gt;=$G46,FS$8&lt;=$G46+$H46-1),2,IF(AND($C46="Milestone",FS$8&gt;=$G46,FS$8&lt;=$G46+$H46-1),1,""))</f>
        <v/>
      </c>
      <c r="FT46" s="69" t="str">
        <f ca="1">IF(AND($C46="Goal",FT$8&gt;=$G46,FT$8&lt;=$G46+$H46-1),2,IF(AND($C46="Milestone",FT$8&gt;=$G46,FT$8&lt;=$G46+$H46-1),1,""))</f>
        <v/>
      </c>
      <c r="FU46" s="69" t="str">
        <f ca="1">IF(AND($C46="Goal",FU$8&gt;=$G46,FU$8&lt;=$G46+$H46-1),2,IF(AND($C46="Milestone",FU$8&gt;=$G46,FU$8&lt;=$G46+$H46-1),1,""))</f>
        <v/>
      </c>
      <c r="FV46" s="69" t="str">
        <f ca="1">IF(AND($C46="Goal",FV$8&gt;=$G46,FV$8&lt;=$G46+$H46-1),2,IF(AND($C46="Milestone",FV$8&gt;=$G46,FV$8&lt;=$G46+$H46-1),1,""))</f>
        <v/>
      </c>
      <c r="FW46" s="69" t="str">
        <f ca="1">IF(AND($C46="Goal",FW$8&gt;=$G46,FW$8&lt;=$G46+$H46-1),2,IF(AND($C46="Milestone",FW$8&gt;=$G46,FW$8&lt;=$G46+$H46-1),1,""))</f>
        <v/>
      </c>
      <c r="FX46" s="69" t="str">
        <f ca="1">IF(AND($C46="Goal",FX$8&gt;=$G46,FX$8&lt;=$G46+$H46-1),2,IF(AND($C46="Milestone",FX$8&gt;=$G46,FX$8&lt;=$G46+$H46-1),1,""))</f>
        <v/>
      </c>
      <c r="FY46" s="69" t="str">
        <f ca="1">IF(AND($C46="Goal",FY$8&gt;=$G46,FY$8&lt;=$G46+$H46-1),2,IF(AND($C46="Milestone",FY$8&gt;=$G46,FY$8&lt;=$G46+$H46-1),1,""))</f>
        <v/>
      </c>
      <c r="FZ46" s="69" t="str">
        <f ca="1">IF(AND($C46="Goal",FZ$8&gt;=$G46,FZ$8&lt;=$G46+$H46-1),2,IF(AND($C46="Milestone",FZ$8&gt;=$G46,FZ$8&lt;=$G46+$H46-1),1,""))</f>
        <v/>
      </c>
      <c r="GA46" s="69" t="str">
        <f ca="1">IF(AND($C46="Goal",GA$8&gt;=$G46,GA$8&lt;=$G46+$H46-1),2,IF(AND($C46="Milestone",GA$8&gt;=$G46,GA$8&lt;=$G46+$H46-1),1,""))</f>
        <v/>
      </c>
      <c r="GB46" s="69" t="str">
        <f ca="1">IF(AND($C46="Goal",GB$8&gt;=$G46,GB$8&lt;=$G46+$H46-1),2,IF(AND($C46="Milestone",GB$8&gt;=$G46,GB$8&lt;=$G46+$H46-1),1,""))</f>
        <v/>
      </c>
      <c r="GC46" s="69" t="str">
        <f ca="1">IF(AND($C46="Goal",GC$8&gt;=$G46,GC$8&lt;=$G46+$H46-1),2,IF(AND($C46="Milestone",GC$8&gt;=$G46,GC$8&lt;=$G46+$H46-1),1,""))</f>
        <v/>
      </c>
      <c r="GD46" s="69" t="str">
        <f ca="1">IF(AND($C46="Goal",GD$8&gt;=$G46,GD$8&lt;=$G46+$H46-1),2,IF(AND($C46="Milestone",GD$8&gt;=$G46,GD$8&lt;=$G46+$H46-1),1,""))</f>
        <v/>
      </c>
      <c r="GE46" s="69" t="str">
        <f ca="1">IF(AND($C46="Goal",GE$8&gt;=$G46,GE$8&lt;=$G46+$H46-1),2,IF(AND($C46="Milestone",GE$8&gt;=$G46,GE$8&lt;=$G46+$H46-1),1,""))</f>
        <v/>
      </c>
      <c r="GF46" s="69" t="str">
        <f ca="1">IF(AND($C46="Goal",GF$8&gt;=$G46,GF$8&lt;=$G46+$H46-1),2,IF(AND($C46="Milestone",GF$8&gt;=$G46,GF$8&lt;=$G46+$H46-1),1,""))</f>
        <v/>
      </c>
      <c r="GG46" s="69" t="str">
        <f ca="1">IF(AND($C46="Goal",GG$8&gt;=$G46,GG$8&lt;=$G46+$H46-1),2,IF(AND($C46="Milestone",GG$8&gt;=$G46,GG$8&lt;=$G46+$H46-1),1,""))</f>
        <v/>
      </c>
      <c r="GH46" s="69" t="str">
        <f ca="1">IF(AND($C46="Goal",GH$8&gt;=$G46,GH$8&lt;=$G46+$H46-1),2,IF(AND($C46="Milestone",GH$8&gt;=$G46,GH$8&lt;=$G46+$H46-1),1,""))</f>
        <v/>
      </c>
      <c r="GI46" s="69" t="str">
        <f ca="1">IF(AND($C46="Goal",GI$8&gt;=$G46,GI$8&lt;=$G46+$H46-1),2,IF(AND($C46="Milestone",GI$8&gt;=$G46,GI$8&lt;=$G46+$H46-1),1,""))</f>
        <v/>
      </c>
      <c r="GJ46" s="69" t="str">
        <f ca="1">IF(AND($C46="Goal",GJ$8&gt;=$G46,GJ$8&lt;=$G46+$H46-1),2,IF(AND($C46="Milestone",GJ$8&gt;=$G46,GJ$8&lt;=$G46+$H46-1),1,""))</f>
        <v/>
      </c>
      <c r="GK46" s="69" t="str">
        <f ca="1">IF(AND($C46="Goal",GK$8&gt;=$G46,GK$8&lt;=$G46+$H46-1),2,IF(AND($C46="Milestone",GK$8&gt;=$G46,GK$8&lt;=$G46+$H46-1),1,""))</f>
        <v/>
      </c>
      <c r="GL46" s="69" t="str">
        <f ca="1">IF(AND($C46="Goal",GL$8&gt;=$G46,GL$8&lt;=$G46+$H46-1),2,IF(AND($C46="Milestone",GL$8&gt;=$G46,GL$8&lt;=$G46+$H46-1),1,""))</f>
        <v/>
      </c>
      <c r="GM46" s="69" t="str">
        <f ca="1">IF(AND($C46="Goal",GM$8&gt;=$G46,GM$8&lt;=$G46+$H46-1),2,IF(AND($C46="Milestone",GM$8&gt;=$G46,GM$8&lt;=$G46+$H46-1),1,""))</f>
        <v/>
      </c>
      <c r="GN46" s="69" t="str">
        <f ca="1">IF(AND($C46="Goal",GN$8&gt;=$G46,GN$8&lt;=$G46+$H46-1),2,IF(AND($C46="Milestone",GN$8&gt;=$G46,GN$8&lt;=$G46+$H46-1),1,""))</f>
        <v/>
      </c>
      <c r="GO46" s="69" t="str">
        <f ca="1">IF(AND($C46="Goal",GO$8&gt;=$G46,GO$8&lt;=$G46+$H46-1),2,IF(AND($C46="Milestone",GO$8&gt;=$G46,GO$8&lt;=$G46+$H46-1),1,""))</f>
        <v/>
      </c>
      <c r="GP46" s="69" t="str">
        <f ca="1">IF(AND($C46="Goal",GP$8&gt;=$G46,GP$8&lt;=$G46+$H46-1),2,IF(AND($C46="Milestone",GP$8&gt;=$G46,GP$8&lt;=$G46+$H46-1),1,""))</f>
        <v/>
      </c>
      <c r="GQ46" s="69" t="str">
        <f ca="1">IF(AND($C46="Goal",GQ$8&gt;=$G46,GQ$8&lt;=$G46+$H46-1),2,IF(AND($C46="Milestone",GQ$8&gt;=$G46,GQ$8&lt;=$G46+$H46-1),1,""))</f>
        <v/>
      </c>
      <c r="GR46" s="69" t="str">
        <f ca="1">IF(AND($C46="Goal",GR$8&gt;=$G46,GR$8&lt;=$G46+$H46-1),2,IF(AND($C46="Milestone",GR$8&gt;=$G46,GR$8&lt;=$G46+$H46-1),1,""))</f>
        <v/>
      </c>
      <c r="GS46" s="69" t="str">
        <f ca="1">IF(AND($C46="Goal",GS$8&gt;=$G46,GS$8&lt;=$G46+$H46-1),2,IF(AND($C46="Milestone",GS$8&gt;=$G46,GS$8&lt;=$G46+$H46-1),1,""))</f>
        <v/>
      </c>
      <c r="GT46" s="69" t="str">
        <f ca="1">IF(AND($C46="Goal",GT$8&gt;=$G46,GT$8&lt;=$G46+$H46-1),2,IF(AND($C46="Milestone",GT$8&gt;=$G46,GT$8&lt;=$G46+$H46-1),1,""))</f>
        <v/>
      </c>
      <c r="GU46" s="69" t="str">
        <f ca="1">IF(AND($C46="Goal",GU$8&gt;=$G46,GU$8&lt;=$G46+$H46-1),2,IF(AND($C46="Milestone",GU$8&gt;=$G46,GU$8&lt;=$G46+$H46-1),1,""))</f>
        <v/>
      </c>
      <c r="GV46" s="69" t="str">
        <f ca="1">IF(AND($C46="Goal",GV$8&gt;=$G46,GV$8&lt;=$G46+$H46-1),2,IF(AND($C46="Milestone",GV$8&gt;=$G46,GV$8&lt;=$G46+$H46-1),1,""))</f>
        <v/>
      </c>
      <c r="GW46" s="69" t="str">
        <f ca="1">IF(AND($C46="Goal",GW$8&gt;=$G46,GW$8&lt;=$G46+$H46-1),2,IF(AND($C46="Milestone",GW$8&gt;=$G46,GW$8&lt;=$G46+$H46-1),1,""))</f>
        <v/>
      </c>
      <c r="GX46" s="69" t="str">
        <f ca="1">IF(AND($C46="Goal",GX$8&gt;=$G46,GX$8&lt;=$G46+$H46-1),2,IF(AND($C46="Milestone",GX$8&gt;=$G46,GX$8&lt;=$G46+$H46-1),1,""))</f>
        <v/>
      </c>
      <c r="GY46" s="69" t="str">
        <f ca="1">IF(AND($C46="Goal",GY$8&gt;=$G46,GY$8&lt;=$G46+$H46-1),2,IF(AND($C46="Milestone",GY$8&gt;=$G46,GY$8&lt;=$G46+$H46-1),1,""))</f>
        <v/>
      </c>
      <c r="GZ46" s="69" t="str">
        <f ca="1">IF(AND($C46="Goal",GZ$8&gt;=$G46,GZ$8&lt;=$G46+$H46-1),2,IF(AND($C46="Milestone",GZ$8&gt;=$G46,GZ$8&lt;=$G46+$H46-1),1,""))</f>
        <v/>
      </c>
      <c r="HA46" s="69" t="str">
        <f ca="1">IF(AND($C46="Goal",HA$8&gt;=$G46,HA$8&lt;=$G46+$H46-1),2,IF(AND($C46="Milestone",HA$8&gt;=$G46,HA$8&lt;=$G46+$H46-1),1,""))</f>
        <v/>
      </c>
      <c r="HB46" s="69" t="str">
        <f ca="1">IF(AND($C46="Goal",HB$8&gt;=$G46,HB$8&lt;=$G46+$H46-1),2,IF(AND($C46="Milestone",HB$8&gt;=$G46,HB$8&lt;=$G46+$H46-1),1,""))</f>
        <v/>
      </c>
      <c r="HC46" s="69" t="str">
        <f ca="1">IF(AND($C46="Goal",HC$8&gt;=$G46,HC$8&lt;=$G46+$H46-1),2,IF(AND($C46="Milestone",HC$8&gt;=$G46,HC$8&lt;=$G46+$H46-1),1,""))</f>
        <v/>
      </c>
      <c r="HD46" s="69" t="str">
        <f ca="1">IF(AND($C46="Goal",HD$8&gt;=$G46,HD$8&lt;=$G46+$H46-1),2,IF(AND($C46="Milestone",HD$8&gt;=$G46,HD$8&lt;=$G46+$H46-1),1,""))</f>
        <v/>
      </c>
      <c r="HE46" s="69" t="str">
        <f ca="1">IF(AND($C46="Goal",HE$8&gt;=$G46,HE$8&lt;=$G46+$H46-1),2,IF(AND($C46="Milestone",HE$8&gt;=$G46,HE$8&lt;=$G46+$H46-1),1,""))</f>
        <v/>
      </c>
      <c r="HF46" s="69" t="str">
        <f ca="1">IF(AND($C46="Goal",HF$8&gt;=$G46,HF$8&lt;=$G46+$H46-1),2,IF(AND($C46="Milestone",HF$8&gt;=$G46,HF$8&lt;=$G46+$H46-1),1,""))</f>
        <v/>
      </c>
      <c r="HG46" s="69" t="str">
        <f ca="1">IF(AND($C46="Goal",HG$8&gt;=$G46,HG$8&lt;=$G46+$H46-1),2,IF(AND($C46="Milestone",HG$8&gt;=$G46,HG$8&lt;=$G46+$H46-1),1,""))</f>
        <v/>
      </c>
      <c r="HH46" s="69" t="str">
        <f ca="1">IF(AND($C46="Goal",HH$8&gt;=$G46,HH$8&lt;=$G46+$H46-1),2,IF(AND($C46="Milestone",HH$8&gt;=$G46,HH$8&lt;=$G46+$H46-1),1,""))</f>
        <v/>
      </c>
      <c r="HI46" s="69" t="str">
        <f ca="1">IF(AND($C46="Goal",HI$8&gt;=$G46,HI$8&lt;=$G46+$H46-1),2,IF(AND($C46="Milestone",HI$8&gt;=$G46,HI$8&lt;=$G46+$H46-1),1,""))</f>
        <v/>
      </c>
      <c r="HJ46" s="69" t="str">
        <f ca="1">IF(AND($C46="Goal",HJ$8&gt;=$G46,HJ$8&lt;=$G46+$H46-1),2,IF(AND($C46="Milestone",HJ$8&gt;=$G46,HJ$8&lt;=$G46+$H46-1),1,""))</f>
        <v/>
      </c>
      <c r="HK46" s="69" t="str">
        <f ca="1">IF(AND($C46="Goal",HK$8&gt;=$G46,HK$8&lt;=$G46+$H46-1),2,IF(AND($C46="Milestone",HK$8&gt;=$G46,HK$8&lt;=$G46+$H46-1),1,""))</f>
        <v/>
      </c>
      <c r="HL46" s="69" t="str">
        <f ca="1">IF(AND($C46="Goal",HL$8&gt;=$G46,HL$8&lt;=$G46+$H46-1),2,IF(AND($C46="Milestone",HL$8&gt;=$G46,HL$8&lt;=$G46+$H46-1),1,""))</f>
        <v/>
      </c>
      <c r="HM46" s="69" t="str">
        <f ca="1">IF(AND($C46="Goal",HM$8&gt;=$G46,HM$8&lt;=$G46+$H46-1),2,IF(AND($C46="Milestone",HM$8&gt;=$G46,HM$8&lt;=$G46+$H46-1),1,""))</f>
        <v/>
      </c>
      <c r="HN46" s="69" t="str">
        <f ca="1">IF(AND($C46="Goal",HN$8&gt;=$G46,HN$8&lt;=$G46+$H46-1),2,IF(AND($C46="Milestone",HN$8&gt;=$G46,HN$8&lt;=$G46+$H46-1),1,""))</f>
        <v/>
      </c>
      <c r="HO46" s="69" t="str">
        <f ca="1">IF(AND($C46="Goal",HO$8&gt;=$G46,HO$8&lt;=$G46+$H46-1),2,IF(AND($C46="Milestone",HO$8&gt;=$G46,HO$8&lt;=$G46+$H46-1),1,""))</f>
        <v/>
      </c>
      <c r="HP46" s="69" t="str">
        <f ca="1">IF(AND($C46="Goal",HP$8&gt;=$G46,HP$8&lt;=$G46+$H46-1),2,IF(AND($C46="Milestone",HP$8&gt;=$G46,HP$8&lt;=$G46+$H46-1),1,""))</f>
        <v/>
      </c>
      <c r="HQ46" s="69" t="str">
        <f ca="1">IF(AND($C46="Goal",HQ$8&gt;=$G46,HQ$8&lt;=$G46+$H46-1),2,IF(AND($C46="Milestone",HQ$8&gt;=$G46,HQ$8&lt;=$G46+$H46-1),1,""))</f>
        <v/>
      </c>
      <c r="HR46" s="69" t="str">
        <f ca="1">IF(AND($C46="Goal",HR$8&gt;=$G46,HR$8&lt;=$G46+$H46-1),2,IF(AND($C46="Milestone",HR$8&gt;=$G46,HR$8&lt;=$G46+$H46-1),1,""))</f>
        <v/>
      </c>
      <c r="HS46" s="69" t="str">
        <f ca="1">IF(AND($C46="Goal",HS$8&gt;=$G46,HS$8&lt;=$G46+$H46-1),2,IF(AND($C46="Milestone",HS$8&gt;=$G46,HS$8&lt;=$G46+$H46-1),1,""))</f>
        <v/>
      </c>
      <c r="HT46" s="69" t="str">
        <f ca="1">IF(AND($C46="Goal",HT$8&gt;=$G46,HT$8&lt;=$G46+$H46-1),2,IF(AND($C46="Milestone",HT$8&gt;=$G46,HT$8&lt;=$G46+$H46-1),1,""))</f>
        <v/>
      </c>
      <c r="HU46" s="69" t="str">
        <f ca="1">IF(AND($C46="Goal",HU$8&gt;=$G46,HU$8&lt;=$G46+$H46-1),2,IF(AND($C46="Milestone",HU$8&gt;=$G46,HU$8&lt;=$G46+$H46-1),1,""))</f>
        <v/>
      </c>
      <c r="HV46" s="69" t="str">
        <f ca="1">IF(AND($C46="Goal",HV$8&gt;=$G46,HV$8&lt;=$G46+$H46-1),2,IF(AND($C46="Milestone",HV$8&gt;=$G46,HV$8&lt;=$G46+$H46-1),1,""))</f>
        <v/>
      </c>
      <c r="HW46" s="69" t="str">
        <f ca="1">IF(AND($C46="Goal",HW$8&gt;=$G46,HW$8&lt;=$G46+$H46-1),2,IF(AND($C46="Milestone",HW$8&gt;=$G46,HW$8&lt;=$G46+$H46-1),1,""))</f>
        <v/>
      </c>
      <c r="HX46" s="69" t="str">
        <f ca="1">IF(AND($C46="Goal",HX$8&gt;=$G46,HX$8&lt;=$G46+$H46-1),2,IF(AND($C46="Milestone",HX$8&gt;=$G46,HX$8&lt;=$G46+$H46-1),1,""))</f>
        <v/>
      </c>
      <c r="HY46" s="69" t="str">
        <f ca="1">IF(AND($C46="Goal",HY$8&gt;=$G46,HY$8&lt;=$G46+$H46-1),2,IF(AND($C46="Milestone",HY$8&gt;=$G46,HY$8&lt;=$G46+$H46-1),1,""))</f>
        <v/>
      </c>
      <c r="HZ46" s="69" t="str">
        <f ca="1">IF(AND($C46="Goal",HZ$8&gt;=$G46,HZ$8&lt;=$G46+$H46-1),2,IF(AND($C46="Milestone",HZ$8&gt;=$G46,HZ$8&lt;=$G46+$H46-1),1,""))</f>
        <v/>
      </c>
      <c r="IA46" s="69" t="str">
        <f ca="1">IF(AND($C46="Goal",IA$8&gt;=$G46,IA$8&lt;=$G46+$H46-1),2,IF(AND($C46="Milestone",IA$8&gt;=$G46,IA$8&lt;=$G46+$H46-1),1,""))</f>
        <v/>
      </c>
      <c r="IB46" s="69" t="str">
        <f ca="1">IF(AND($C46="Goal",IB$8&gt;=$G46,IB$8&lt;=$G46+$H46-1),2,IF(AND($C46="Milestone",IB$8&gt;=$G46,IB$8&lt;=$G46+$H46-1),1,""))</f>
        <v/>
      </c>
      <c r="IC46" s="69" t="str">
        <f ca="1">IF(AND($C46="Goal",IC$8&gt;=$G46,IC$8&lt;=$G46+$H46-1),2,IF(AND($C46="Milestone",IC$8&gt;=$G46,IC$8&lt;=$G46+$H46-1),1,""))</f>
        <v/>
      </c>
      <c r="ID46" s="69" t="str">
        <f ca="1">IF(AND($C46="Goal",ID$8&gt;=$G46,ID$8&lt;=$G46+$H46-1),2,IF(AND($C46="Milestone",ID$8&gt;=$G46,ID$8&lt;=$G46+$H46-1),1,""))</f>
        <v/>
      </c>
      <c r="IE46" s="69" t="str">
        <f ca="1">IF(AND($C46="Goal",IE$8&gt;=$G46,IE$8&lt;=$G46+$H46-1),2,IF(AND($C46="Milestone",IE$8&gt;=$G46,IE$8&lt;=$G46+$H46-1),1,""))</f>
        <v/>
      </c>
      <c r="IF46" s="69" t="str">
        <f ca="1">IF(AND($C46="Goal",IF$8&gt;=$G46,IF$8&lt;=$G46+$H46-1),2,IF(AND($C46="Milestone",IF$8&gt;=$G46,IF$8&lt;=$G46+$H46-1),1,""))</f>
        <v/>
      </c>
      <c r="IG46" s="69" t="str">
        <f ca="1">IF(AND($C46="Goal",IG$8&gt;=$G46,IG$8&lt;=$G46+$H46-1),2,IF(AND($C46="Milestone",IG$8&gt;=$G46,IG$8&lt;=$G46+$H46-1),1,""))</f>
        <v/>
      </c>
      <c r="IH46" s="69" t="str">
        <f ca="1">IF(AND($C46="Goal",IH$8&gt;=$G46,IH$8&lt;=$G46+$H46-1),2,IF(AND($C46="Milestone",IH$8&gt;=$G46,IH$8&lt;=$G46+$H46-1),1,""))</f>
        <v/>
      </c>
      <c r="II46" s="69" t="str">
        <f ca="1">IF(AND($C46="Goal",II$8&gt;=$G46,II$8&lt;=$G46+$H46-1),2,IF(AND($C46="Milestone",II$8&gt;=$G46,II$8&lt;=$G46+$H46-1),1,""))</f>
        <v/>
      </c>
      <c r="IJ46" s="69" t="str">
        <f ca="1">IF(AND($C46="Goal",IJ$8&gt;=$G46,IJ$8&lt;=$G46+$H46-1),2,IF(AND($C46="Milestone",IJ$8&gt;=$G46,IJ$8&lt;=$G46+$H46-1),1,""))</f>
        <v/>
      </c>
      <c r="IK46" s="69" t="str">
        <f ca="1">IF(AND($C46="Goal",IK$8&gt;=$G46,IK$8&lt;=$G46+$H46-1),2,IF(AND($C46="Milestone",IK$8&gt;=$G46,IK$8&lt;=$G46+$H46-1),1,""))</f>
        <v/>
      </c>
      <c r="IL46" s="69" t="str">
        <f ca="1">IF(AND($C46="Goal",IL$8&gt;=$G46,IL$8&lt;=$G46+$H46-1),2,IF(AND($C46="Milestone",IL$8&gt;=$G46,IL$8&lt;=$G46+$H46-1),1,""))</f>
        <v/>
      </c>
      <c r="IM46" s="69" t="str">
        <f ca="1">IF(AND($C46="Goal",IM$8&gt;=$G46,IM$8&lt;=$G46+$H46-1),2,IF(AND($C46="Milestone",IM$8&gt;=$G46,IM$8&lt;=$G46+$H46-1),1,""))</f>
        <v/>
      </c>
      <c r="IN46" s="69" t="str">
        <f ca="1">IF(AND($C46="Goal",IN$8&gt;=$G46,IN$8&lt;=$G46+$H46-1),2,IF(AND($C46="Milestone",IN$8&gt;=$G46,IN$8&lt;=$G46+$H46-1),1,""))</f>
        <v/>
      </c>
      <c r="IO46" s="69" t="str">
        <f ca="1">IF(AND($C46="Goal",IO$8&gt;=$G46,IO$8&lt;=$G46+$H46-1),2,IF(AND($C46="Milestone",IO$8&gt;=$G46,IO$8&lt;=$G46+$H46-1),1,""))</f>
        <v/>
      </c>
      <c r="IP46" s="69" t="str">
        <f ca="1">IF(AND($C46="Goal",IP$8&gt;=$G46,IP$8&lt;=$G46+$H46-1),2,IF(AND($C46="Milestone",IP$8&gt;=$G46,IP$8&lt;=$G46+$H46-1),1,""))</f>
        <v/>
      </c>
      <c r="IQ46" s="69" t="str">
        <f ca="1">IF(AND($C46="Goal",IQ$8&gt;=$G46,IQ$8&lt;=$G46+$H46-1),2,IF(AND($C46="Milestone",IQ$8&gt;=$G46,IQ$8&lt;=$G46+$H46-1),1,""))</f>
        <v/>
      </c>
      <c r="IR46" s="69" t="str">
        <f ca="1">IF(AND($C46="Goal",IR$8&gt;=$G46,IR$8&lt;=$G46+$H46-1),2,IF(AND($C46="Milestone",IR$8&gt;=$G46,IR$8&lt;=$G46+$H46-1),1,""))</f>
        <v/>
      </c>
      <c r="IS46" s="69" t="str">
        <f ca="1">IF(AND($C46="Goal",IS$8&gt;=$G46,IS$8&lt;=$G46+$H46-1),2,IF(AND($C46="Milestone",IS$8&gt;=$G46,IS$8&lt;=$G46+$H46-1),1,""))</f>
        <v/>
      </c>
      <c r="IT46" s="69" t="str">
        <f ca="1">IF(AND($C46="Goal",IT$8&gt;=$G46,IT$8&lt;=$G46+$H46-1),2,IF(AND($C46="Milestone",IT$8&gt;=$G46,IT$8&lt;=$G46+$H46-1),1,""))</f>
        <v/>
      </c>
      <c r="IU46" s="69" t="str">
        <f ca="1">IF(AND($C46="Goal",IU$8&gt;=$G46,IU$8&lt;=$G46+$H46-1),2,IF(AND($C46="Milestone",IU$8&gt;=$G46,IU$8&lt;=$G46+$H46-1),1,""))</f>
        <v/>
      </c>
      <c r="IV46" s="69" t="str">
        <f ca="1">IF(AND($C46="Goal",IV$8&gt;=$G46,IV$8&lt;=$G46+$H46-1),2,IF(AND($C46="Milestone",IV$8&gt;=$G46,IV$8&lt;=$G46+$H46-1),1,""))</f>
        <v/>
      </c>
      <c r="IW46" s="69" t="str">
        <f ca="1">IF(AND($C46="Goal",IW$8&gt;=$G46,IW$8&lt;=$G46+$H46-1),2,IF(AND($C46="Milestone",IW$8&gt;=$G46,IW$8&lt;=$G46+$H46-1),1,""))</f>
        <v/>
      </c>
      <c r="IX46" s="69" t="str">
        <f ca="1">IF(AND($C46="Goal",IX$8&gt;=$G46,IX$8&lt;=$G46+$H46-1),2,IF(AND($C46="Milestone",IX$8&gt;=$G46,IX$8&lt;=$G46+$H46-1),1,""))</f>
        <v/>
      </c>
      <c r="IY46" s="69" t="str">
        <f ca="1">IF(AND($C46="Goal",IY$8&gt;=$G46,IY$8&lt;=$G46+$H46-1),2,IF(AND($C46="Milestone",IY$8&gt;=$G46,IY$8&lt;=$G46+$H46-1),1,""))</f>
        <v/>
      </c>
      <c r="IZ46" s="69" t="str">
        <f ca="1">IF(AND($C46="Goal",IZ$8&gt;=$G46,IZ$8&lt;=$G46+$H46-1),2,IF(AND($C46="Milestone",IZ$8&gt;=$G46,IZ$8&lt;=$G46+$H46-1),1,""))</f>
        <v/>
      </c>
      <c r="JA46" s="69" t="str">
        <f ca="1">IF(AND($C46="Goal",JA$8&gt;=$G46,JA$8&lt;=$G46+$H46-1),2,IF(AND($C46="Milestone",JA$8&gt;=$G46,JA$8&lt;=$G46+$H46-1),1,""))</f>
        <v/>
      </c>
      <c r="JB46" s="69" t="str">
        <f ca="1">IF(AND($C46="Goal",JB$8&gt;=$G46,JB$8&lt;=$G46+$H46-1),2,IF(AND($C46="Milestone",JB$8&gt;=$G46,JB$8&lt;=$G46+$H46-1),1,""))</f>
        <v/>
      </c>
      <c r="JC46" s="69" t="str">
        <f ca="1">IF(AND($C46="Goal",JC$8&gt;=$G46,JC$8&lt;=$G46+$H46-1),2,IF(AND($C46="Milestone",JC$8&gt;=$G46,JC$8&lt;=$G46+$H46-1),1,""))</f>
        <v/>
      </c>
      <c r="JD46" s="69" t="str">
        <f ca="1">IF(AND($C46="Goal",JD$8&gt;=$G46,JD$8&lt;=$G46+$H46-1),2,IF(AND($C46="Milestone",JD$8&gt;=$G46,JD$8&lt;=$G46+$H46-1),1,""))</f>
        <v/>
      </c>
      <c r="JE46" s="69" t="str">
        <f ca="1">IF(AND($C46="Goal",JE$8&gt;=$G46,JE$8&lt;=$G46+$H46-1),2,IF(AND($C46="Milestone",JE$8&gt;=$G46,JE$8&lt;=$G46+$H46-1),1,""))</f>
        <v/>
      </c>
      <c r="JF46" s="69" t="str">
        <f ca="1">IF(AND($C46="Goal",JF$8&gt;=$G46,JF$8&lt;=$G46+$H46-1),2,IF(AND($C46="Milestone",JF$8&gt;=$G46,JF$8&lt;=$G46+$H46-1),1,""))</f>
        <v/>
      </c>
      <c r="JG46" s="69" t="str">
        <f ca="1">IF(AND($C46="Goal",JG$8&gt;=$G46,JG$8&lt;=$G46+$H46-1),2,IF(AND($C46="Milestone",JG$8&gt;=$G46,JG$8&lt;=$G46+$H46-1),1,""))</f>
        <v/>
      </c>
      <c r="JH46" s="69" t="str">
        <f ca="1">IF(AND($C46="Goal",JH$8&gt;=$G46,JH$8&lt;=$G46+$H46-1),2,IF(AND($C46="Milestone",JH$8&gt;=$G46,JH$8&lt;=$G46+$H46-1),1,""))</f>
        <v/>
      </c>
      <c r="JI46" s="69" t="str">
        <f ca="1">IF(AND($C46="Goal",JI$8&gt;=$G46,JI$8&lt;=$G46+$H46-1),2,IF(AND($C46="Milestone",JI$8&gt;=$G46,JI$8&lt;=$G46+$H46-1),1,""))</f>
        <v/>
      </c>
      <c r="JJ46" s="69" t="str">
        <f ca="1">IF(AND($C46="Goal",JJ$8&gt;=$G46,JJ$8&lt;=$G46+$H46-1),2,IF(AND($C46="Milestone",JJ$8&gt;=$G46,JJ$8&lt;=$G46+$H46-1),1,""))</f>
        <v/>
      </c>
      <c r="JK46" s="69" t="str">
        <f ca="1">IF(AND($C46="Goal",JK$8&gt;=$G46,JK$8&lt;=$G46+$H46-1),2,IF(AND($C46="Milestone",JK$8&gt;=$G46,JK$8&lt;=$G46+$H46-1),1,""))</f>
        <v/>
      </c>
      <c r="JL46" s="69" t="str">
        <f ca="1">IF(AND($C46="Goal",JL$8&gt;=$G46,JL$8&lt;=$G46+$H46-1),2,IF(AND($C46="Milestone",JL$8&gt;=$G46,JL$8&lt;=$G46+$H46-1),1,""))</f>
        <v/>
      </c>
      <c r="JM46" s="69" t="str">
        <f ca="1">IF(AND($C46="Goal",JM$8&gt;=$G46,JM$8&lt;=$G46+$H46-1),2,IF(AND($C46="Milestone",JM$8&gt;=$G46,JM$8&lt;=$G46+$H46-1),1,""))</f>
        <v/>
      </c>
      <c r="JN46" s="69" t="str">
        <f ca="1">IF(AND($C46="Goal",JN$8&gt;=$G46,JN$8&lt;=$G46+$H46-1),2,IF(AND($C46="Milestone",JN$8&gt;=$G46,JN$8&lt;=$G46+$H46-1),1,""))</f>
        <v/>
      </c>
      <c r="JO46" s="69" t="str">
        <f ca="1">IF(AND($C46="Goal",JO$8&gt;=$G46,JO$8&lt;=$G46+$H46-1),2,IF(AND($C46="Milestone",JO$8&gt;=$G46,JO$8&lt;=$G46+$H46-1),1,""))</f>
        <v/>
      </c>
      <c r="JP46" s="69" t="str">
        <f ca="1">IF(AND($C46="Goal",JP$8&gt;=$G46,JP$8&lt;=$G46+$H46-1),2,IF(AND($C46="Milestone",JP$8&gt;=$G46,JP$8&lt;=$G46+$H46-1),1,""))</f>
        <v/>
      </c>
      <c r="JQ46" s="69" t="str">
        <f ca="1">IF(AND($C46="Goal",JQ$8&gt;=$G46,JQ$8&lt;=$G46+$H46-1),2,IF(AND($C46="Milestone",JQ$8&gt;=$G46,JQ$8&lt;=$G46+$H46-1),1,""))</f>
        <v/>
      </c>
      <c r="JR46" s="69" t="str">
        <f ca="1">IF(AND($C46="Goal",JR$8&gt;=$G46,JR$8&lt;=$G46+$H46-1),2,IF(AND($C46="Milestone",JR$8&gt;=$G46,JR$8&lt;=$G46+$H46-1),1,""))</f>
        <v/>
      </c>
      <c r="JS46" s="69" t="str">
        <f ca="1">IF(AND($C46="Goal",JS$8&gt;=$G46,JS$8&lt;=$G46+$H46-1),2,IF(AND($C46="Milestone",JS$8&gt;=$G46,JS$8&lt;=$G46+$H46-1),1,""))</f>
        <v/>
      </c>
      <c r="JT46" s="69" t="str">
        <f ca="1">IF(AND($C46="Goal",JT$8&gt;=$G46,JT$8&lt;=$G46+$H46-1),2,IF(AND($C46="Milestone",JT$8&gt;=$G46,JT$8&lt;=$G46+$H46-1),1,""))</f>
        <v/>
      </c>
      <c r="JU46" s="69" t="str">
        <f ca="1">IF(AND($C46="Goal",JU$8&gt;=$G46,JU$8&lt;=$G46+$H46-1),2,IF(AND($C46="Milestone",JU$8&gt;=$G46,JU$8&lt;=$G46+$H46-1),1,""))</f>
        <v/>
      </c>
      <c r="JV46" s="69" t="str">
        <f ca="1">IF(AND($C46="Goal",JV$8&gt;=$G46,JV$8&lt;=$G46+$H46-1),2,IF(AND($C46="Milestone",JV$8&gt;=$G46,JV$8&lt;=$G46+$H46-1),1,""))</f>
        <v/>
      </c>
      <c r="JW46" s="69" t="str">
        <f ca="1">IF(AND($C46="Goal",JW$8&gt;=$G46,JW$8&lt;=$G46+$H46-1),2,IF(AND($C46="Milestone",JW$8&gt;=$G46,JW$8&lt;=$G46+$H46-1),1,""))</f>
        <v/>
      </c>
      <c r="JX46" s="69" t="str">
        <f ca="1">IF(AND($C46="Goal",JX$8&gt;=$G46,JX$8&lt;=$G46+$H46-1),2,IF(AND($C46="Milestone",JX$8&gt;=$G46,JX$8&lt;=$G46+$H46-1),1,""))</f>
        <v/>
      </c>
      <c r="JY46" s="69" t="str">
        <f ca="1">IF(AND($C46="Goal",JY$8&gt;=$G46,JY$8&lt;=$G46+$H46-1),2,IF(AND($C46="Milestone",JY$8&gt;=$G46,JY$8&lt;=$G46+$H46-1),1,""))</f>
        <v/>
      </c>
      <c r="JZ46" s="69" t="str">
        <f ca="1">IF(AND($C46="Goal",JZ$8&gt;=$G46,JZ$8&lt;=$G46+$H46-1),2,IF(AND($C46="Milestone",JZ$8&gt;=$G46,JZ$8&lt;=$G46+$H46-1),1,""))</f>
        <v/>
      </c>
      <c r="KA46" s="69" t="str">
        <f ca="1">IF(AND($C46="Goal",KA$8&gt;=$G46,KA$8&lt;=$G46+$H46-1),2,IF(AND($C46="Milestone",KA$8&gt;=$G46,KA$8&lt;=$G46+$H46-1),1,""))</f>
        <v/>
      </c>
      <c r="KB46" s="69" t="str">
        <f ca="1">IF(AND($C46="Goal",KB$8&gt;=$G46,KB$8&lt;=$G46+$H46-1),2,IF(AND($C46="Milestone",KB$8&gt;=$G46,KB$8&lt;=$G46+$H46-1),1,""))</f>
        <v/>
      </c>
      <c r="KC46" s="69" t="str">
        <f ca="1">IF(AND($C46="Goal",KC$8&gt;=$G46,KC$8&lt;=$G46+$H46-1),2,IF(AND($C46="Milestone",KC$8&gt;=$G46,KC$8&lt;=$G46+$H46-1),1,""))</f>
        <v/>
      </c>
      <c r="KD46" s="69" t="str">
        <f ca="1">IF(AND($C46="Goal",KD$8&gt;=$G46,KD$8&lt;=$G46+$H46-1),2,IF(AND($C46="Milestone",KD$8&gt;=$G46,KD$8&lt;=$G46+$H46-1),1,""))</f>
        <v/>
      </c>
      <c r="KE46" s="69" t="str">
        <f ca="1">IF(AND($C46="Goal",KE$8&gt;=$G46,KE$8&lt;=$G46+$H46-1),2,IF(AND($C46="Milestone",KE$8&gt;=$G46,KE$8&lt;=$G46+$H46-1),1,""))</f>
        <v/>
      </c>
      <c r="KF46" s="69" t="str">
        <f ca="1">IF(AND($C46="Goal",KF$8&gt;=$G46,KF$8&lt;=$G46+$H46-1),2,IF(AND($C46="Milestone",KF$8&gt;=$G46,KF$8&lt;=$G46+$H46-1),1,""))</f>
        <v/>
      </c>
      <c r="KG46" s="69" t="str">
        <f ca="1">IF(AND($C46="Goal",KG$8&gt;=$G46,KG$8&lt;=$G46+$H46-1),2,IF(AND($C46="Milestone",KG$8&gt;=$G46,KG$8&lt;=$G46+$H46-1),1,""))</f>
        <v/>
      </c>
      <c r="KH46" s="69" t="str">
        <f ca="1">IF(AND($C46="Goal",KH$8&gt;=$G46,KH$8&lt;=$G46+$H46-1),2,IF(AND($C46="Milestone",KH$8&gt;=$G46,KH$8&lt;=$G46+$H46-1),1,""))</f>
        <v/>
      </c>
      <c r="KI46" s="69" t="str">
        <f ca="1">IF(AND($C46="Goal",KI$8&gt;=$G46,KI$8&lt;=$G46+$H46-1),2,IF(AND($C46="Milestone",KI$8&gt;=$G46,KI$8&lt;=$G46+$H46-1),1,""))</f>
        <v/>
      </c>
      <c r="KJ46" s="69" t="str">
        <f ca="1">IF(AND($C46="Goal",KJ$8&gt;=$G46,KJ$8&lt;=$G46+$H46-1),2,IF(AND($C46="Milestone",KJ$8&gt;=$G46,KJ$8&lt;=$G46+$H46-1),1,""))</f>
        <v/>
      </c>
      <c r="KK46" s="69" t="str">
        <f ca="1">IF(AND($C46="Goal",KK$8&gt;=$G46,KK$8&lt;=$G46+$H46-1),2,IF(AND($C46="Milestone",KK$8&gt;=$G46,KK$8&lt;=$G46+$H46-1),1,""))</f>
        <v/>
      </c>
      <c r="KL46" s="69" t="str">
        <f ca="1">IF(AND($C46="Goal",KL$8&gt;=$G46,KL$8&lt;=$G46+$H46-1),2,IF(AND($C46="Milestone",KL$8&gt;=$G46,KL$8&lt;=$G46+$H46-1),1,""))</f>
        <v/>
      </c>
      <c r="KM46" s="69" t="str">
        <f ca="1">IF(AND($C46="Goal",KM$8&gt;=$G46,KM$8&lt;=$G46+$H46-1),2,IF(AND($C46="Milestone",KM$8&gt;=$G46,KM$8&lt;=$G46+$H46-1),1,""))</f>
        <v/>
      </c>
      <c r="KN46" s="69" t="str">
        <f ca="1">IF(AND($C46="Goal",KN$8&gt;=$G46,KN$8&lt;=$G46+$H46-1),2,IF(AND($C46="Milestone",KN$8&gt;=$G46,KN$8&lt;=$G46+$H46-1),1,""))</f>
        <v/>
      </c>
      <c r="KO46" s="69" t="str">
        <f ca="1">IF(AND($C46="Goal",KO$8&gt;=$G46,KO$8&lt;=$G46+$H46-1),2,IF(AND($C46="Milestone",KO$8&gt;=$G46,KO$8&lt;=$G46+$H46-1),1,""))</f>
        <v/>
      </c>
      <c r="KP46" s="69" t="str">
        <f ca="1">IF(AND($C46="Goal",KP$8&gt;=$G46,KP$8&lt;=$G46+$H46-1),2,IF(AND($C46="Milestone",KP$8&gt;=$G46,KP$8&lt;=$G46+$H46-1),1,""))</f>
        <v/>
      </c>
      <c r="KQ46" s="69" t="str">
        <f ca="1">IF(AND($C46="Goal",KQ$8&gt;=$G46,KQ$8&lt;=$G46+$H46-1),2,IF(AND($C46="Milestone",KQ$8&gt;=$G46,KQ$8&lt;=$G46+$H46-1),1,""))</f>
        <v/>
      </c>
      <c r="KR46" s="69" t="str">
        <f ca="1">IF(AND($C46="Goal",KR$8&gt;=$G46,KR$8&lt;=$G46+$H46-1),2,IF(AND($C46="Milestone",KR$8&gt;=$G46,KR$8&lt;=$G46+$H46-1),1,""))</f>
        <v/>
      </c>
      <c r="KS46" s="69" t="str">
        <f ca="1">IF(AND($C46="Goal",KS$8&gt;=$G46,KS$8&lt;=$G46+$H46-1),2,IF(AND($C46="Milestone",KS$8&gt;=$G46,KS$8&lt;=$G46+$H46-1),1,""))</f>
        <v/>
      </c>
      <c r="KT46" s="69" t="str">
        <f ca="1">IF(AND($C46="Goal",KT$8&gt;=$G46,KT$8&lt;=$G46+$H46-1),2,IF(AND($C46="Milestone",KT$8&gt;=$G46,KT$8&lt;=$G46+$H46-1),1,""))</f>
        <v/>
      </c>
      <c r="KU46" s="69" t="str">
        <f ca="1">IF(AND($C46="Goal",KU$8&gt;=$G46,KU$8&lt;=$G46+$H46-1),2,IF(AND($C46="Milestone",KU$8&gt;=$G46,KU$8&lt;=$G46+$H46-1),1,""))</f>
        <v/>
      </c>
      <c r="KV46" s="69" t="str">
        <f ca="1">IF(AND($C46="Goal",KV$8&gt;=$G46,KV$8&lt;=$G46+$H46-1),2,IF(AND($C46="Milestone",KV$8&gt;=$G46,KV$8&lt;=$G46+$H46-1),1,""))</f>
        <v/>
      </c>
      <c r="KW46" s="69" t="str">
        <f ca="1">IF(AND($C46="Goal",KW$8&gt;=$G46,KW$8&lt;=$G46+$H46-1),2,IF(AND($C46="Milestone",KW$8&gt;=$G46,KW$8&lt;=$G46+$H46-1),1,""))</f>
        <v/>
      </c>
      <c r="KX46" s="69" t="str">
        <f ca="1">IF(AND($C46="Goal",KX$8&gt;=$G46,KX$8&lt;=$G46+$H46-1),2,IF(AND($C46="Milestone",KX$8&gt;=$G46,KX$8&lt;=$G46+$H46-1),1,""))</f>
        <v/>
      </c>
      <c r="KY46" s="69" t="str">
        <f ca="1">IF(AND($C46="Goal",KY$8&gt;=$G46,KY$8&lt;=$G46+$H46-1),2,IF(AND($C46="Milestone",KY$8&gt;=$G46,KY$8&lt;=$G46+$H46-1),1,""))</f>
        <v/>
      </c>
      <c r="KZ46" s="69" t="str">
        <f ca="1">IF(AND($C46="Goal",KZ$8&gt;=$G46,KZ$8&lt;=$G46+$H46-1),2,IF(AND($C46="Milestone",KZ$8&gt;=$G46,KZ$8&lt;=$G46+$H46-1),1,""))</f>
        <v/>
      </c>
      <c r="LA46" s="69" t="str">
        <f ca="1">IF(AND($C46="Goal",LA$8&gt;=$G46,LA$8&lt;=$G46+$H46-1),2,IF(AND($C46="Milestone",LA$8&gt;=$G46,LA$8&lt;=$G46+$H46-1),1,""))</f>
        <v/>
      </c>
      <c r="LB46" s="69" t="str">
        <f ca="1">IF(AND($C46="Goal",LB$8&gt;=$G46,LB$8&lt;=$G46+$H46-1),2,IF(AND($C46="Milestone",LB$8&gt;=$G46,LB$8&lt;=$G46+$H46-1),1,""))</f>
        <v/>
      </c>
      <c r="LC46" s="69" t="str">
        <f ca="1">IF(AND($C46="Goal",LC$8&gt;=$G46,LC$8&lt;=$G46+$H46-1),2,IF(AND($C46="Milestone",LC$8&gt;=$G46,LC$8&lt;=$G46+$H46-1),1,""))</f>
        <v/>
      </c>
      <c r="LD46" s="69" t="str">
        <f ca="1">IF(AND($C46="Goal",LD$8&gt;=$G46,LD$8&lt;=$G46+$H46-1),2,IF(AND($C46="Milestone",LD$8&gt;=$G46,LD$8&lt;=$G46+$H46-1),1,""))</f>
        <v/>
      </c>
      <c r="LE46" s="69" t="str">
        <f ca="1">IF(AND($C46="Goal",LE$8&gt;=$G46,LE$8&lt;=$G46+$H46-1),2,IF(AND($C46="Milestone",LE$8&gt;=$G46,LE$8&lt;=$G46+$H46-1),1,""))</f>
        <v/>
      </c>
      <c r="LF46" s="69" t="str">
        <f ca="1">IF(AND($C46="Goal",LF$8&gt;=$G46,LF$8&lt;=$G46+$H46-1),2,IF(AND($C46="Milestone",LF$8&gt;=$G46,LF$8&lt;=$G46+$H46-1),1,""))</f>
        <v/>
      </c>
      <c r="LG46" s="69" t="str">
        <f ca="1">IF(AND($C46="Goal",LG$8&gt;=$G46,LG$8&lt;=$G46+$H46-1),2,IF(AND($C46="Milestone",LG$8&gt;=$G46,LG$8&lt;=$G46+$H46-1),1,""))</f>
        <v/>
      </c>
      <c r="LH46" s="69" t="str">
        <f ca="1">IF(AND($C46="Goal",LH$8&gt;=$G46,LH$8&lt;=$G46+$H46-1),2,IF(AND($C46="Milestone",LH$8&gt;=$G46,LH$8&lt;=$G46+$H46-1),1,""))</f>
        <v/>
      </c>
      <c r="LI46" s="69" t="str">
        <f ca="1">IF(AND($C46="Goal",LI$8&gt;=$G46,LI$8&lt;=$G46+$H46-1),2,IF(AND($C46="Milestone",LI$8&gt;=$G46,LI$8&lt;=$G46+$H46-1),1,""))</f>
        <v/>
      </c>
      <c r="LJ46" s="69" t="str">
        <f ca="1">IF(AND($C46="Goal",LJ$8&gt;=$G46,LJ$8&lt;=$G46+$H46-1),2,IF(AND($C46="Milestone",LJ$8&gt;=$G46,LJ$8&lt;=$G46+$H46-1),1,""))</f>
        <v/>
      </c>
      <c r="LK46" s="69" t="str">
        <f ca="1">IF(AND($C46="Goal",LK$8&gt;=$G46,LK$8&lt;=$G46+$H46-1),2,IF(AND($C46="Milestone",LK$8&gt;=$G46,LK$8&lt;=$G46+$H46-1),1,""))</f>
        <v/>
      </c>
      <c r="LL46" s="69" t="str">
        <f ca="1">IF(AND($C46="Goal",LL$8&gt;=$G46,LL$8&lt;=$G46+$H46-1),2,IF(AND($C46="Milestone",LL$8&gt;=$G46,LL$8&lt;=$G46+$H46-1),1,""))</f>
        <v/>
      </c>
      <c r="LM46" s="69" t="str">
        <f ca="1">IF(AND($C46="Goal",LM$8&gt;=$G46,LM$8&lt;=$G46+$H46-1),2,IF(AND($C46="Milestone",LM$8&gt;=$G46,LM$8&lt;=$G46+$H46-1),1,""))</f>
        <v/>
      </c>
      <c r="LN46" s="69" t="str">
        <f ca="1">IF(AND($C46="Goal",LN$8&gt;=$G46,LN$8&lt;=$G46+$H46-1),2,IF(AND($C46="Milestone",LN$8&gt;=$G46,LN$8&lt;=$G46+$H46-1),1,""))</f>
        <v/>
      </c>
      <c r="LO46" s="69" t="str">
        <f ca="1">IF(AND($C46="Goal",LO$8&gt;=$G46,LO$8&lt;=$G46+$H46-1),2,IF(AND($C46="Milestone",LO$8&gt;=$G46,LO$8&lt;=$G46+$H46-1),1,""))</f>
        <v/>
      </c>
      <c r="LP46" s="69" t="str">
        <f ca="1">IF(AND($C46="Goal",LP$8&gt;=$G46,LP$8&lt;=$G46+$H46-1),2,IF(AND($C46="Milestone",LP$8&gt;=$G46,LP$8&lt;=$G46+$H46-1),1,""))</f>
        <v/>
      </c>
      <c r="LQ46" s="69" t="str">
        <f ca="1">IF(AND($C46="Goal",LQ$8&gt;=$G46,LQ$8&lt;=$G46+$H46-1),2,IF(AND($C46="Milestone",LQ$8&gt;=$G46,LQ$8&lt;=$G46+$H46-1),1,""))</f>
        <v/>
      </c>
      <c r="LR46" s="69" t="str">
        <f ca="1">IF(AND($C46="Goal",LR$8&gt;=$G46,LR$8&lt;=$G46+$H46-1),2,IF(AND($C46="Milestone",LR$8&gt;=$G46,LR$8&lt;=$G46+$H46-1),1,""))</f>
        <v/>
      </c>
      <c r="LS46" s="69" t="str">
        <f ca="1">IF(AND($C46="Goal",LS$8&gt;=$G46,LS$8&lt;=$G46+$H46-1),2,IF(AND($C46="Milestone",LS$8&gt;=$G46,LS$8&lt;=$G46+$H46-1),1,""))</f>
        <v/>
      </c>
      <c r="LT46" s="69" t="str">
        <f ca="1">IF(AND($C46="Goal",LT$8&gt;=$G46,LT$8&lt;=$G46+$H46-1),2,IF(AND($C46="Milestone",LT$8&gt;=$G46,LT$8&lt;=$G46+$H46-1),1,""))</f>
        <v/>
      </c>
      <c r="LU46" s="69" t="str">
        <f ca="1">IF(AND($C46="Goal",LU$8&gt;=$G46,LU$8&lt;=$G46+$H46-1),2,IF(AND($C46="Milestone",LU$8&gt;=$G46,LU$8&lt;=$G46+$H46-1),1,""))</f>
        <v/>
      </c>
      <c r="LV46" s="69" t="str">
        <f ca="1">IF(AND($C46="Goal",LV$8&gt;=$G46,LV$8&lt;=$G46+$H46-1),2,IF(AND($C46="Milestone",LV$8&gt;=$G46,LV$8&lt;=$G46+$H46-1),1,""))</f>
        <v/>
      </c>
      <c r="LW46" s="69" t="str">
        <f ca="1">IF(AND($C46="Goal",LW$8&gt;=$G46,LW$8&lt;=$G46+$H46-1),2,IF(AND($C46="Milestone",LW$8&gt;=$G46,LW$8&lt;=$G46+$H46-1),1,""))</f>
        <v/>
      </c>
      <c r="LX46" s="69" t="str">
        <f ca="1">IF(AND($C46="Goal",LX$8&gt;=$G46,LX$8&lt;=$G46+$H46-1),2,IF(AND($C46="Milestone",LX$8&gt;=$G46,LX$8&lt;=$G46+$H46-1),1,""))</f>
        <v/>
      </c>
    </row>
    <row r="47" spans="1:336" s="1" customFormat="1" ht="14.85" hidden="1" x14ac:dyDescent="0.25">
      <c r="A47" s="6"/>
      <c r="B47" s="47"/>
      <c r="C47" s="58"/>
      <c r="D47" s="58" t="str">
        <f ca="1">IF(G47="","",
IF(G47+Milestones4352[[#This Row],[Days]]="","",
IF(OR(F47=1,F47=100%),"Complete",
CHOOSE(
  1
  + --(((1-IF(F47&gt;1,F47/100,F47))*POWER(2.718281828,(60-MAX(0,G47+Milestones4352[[#This Row],[Days]]-TODAY()))/12))&gt;=0.6)
  + --(((1-IF(F47&gt;1,F47/100,F47))*POWER(2.718281828,(60-MAX(0,G47+Milestones4352[[#This Row],[Days]]-TODAY()))/12))&gt;=1.2)
  + --(((1-IF(F47&gt;1,F47/100,F47))*POWER(2.718281828,(60-MAX(0,G47+Milestones4352[[#This Row],[Days]]-TODAY()))/12))&gt;=2),
  "On track","Low risk","Medium risk","High risk"
))))</f>
        <v/>
      </c>
      <c r="E47" s="58"/>
      <c r="F47" s="56"/>
      <c r="G47" s="71"/>
      <c r="H47" s="57"/>
      <c r="I47" s="57" t="str">
        <f t="shared" si="207"/>
        <v/>
      </c>
      <c r="J47" s="12" t="str">
        <f ca="1">IF(OR(Milestones4352[[#This Row],[Start]]="",Milestones4352[[#This Row],[Days]]=""),"",(Milestones4352[[#This Row],[Start]]+Milestones4352[[#This Row],[Days]])-TODAY())</f>
        <v/>
      </c>
      <c r="K47" s="9"/>
      <c r="L47" s="69" t="str">
        <f ca="1">IF(AND($C47="Goal",L$8&gt;=$G47,L$8&lt;=$G47+$H47-1),2,IF(AND($C47="Milestone",L$8&gt;=$G47,L$8&lt;=$G47+$H47-1),1,""))</f>
        <v/>
      </c>
      <c r="M47" s="69" t="str">
        <f ca="1">IF(AND($C47="Goal",M$8&gt;=$G47,M$8&lt;=$G47+$H47-1),2,IF(AND($C47="Milestone",M$8&gt;=$G47,M$8&lt;=$G47+$H47-1),1,""))</f>
        <v/>
      </c>
      <c r="N47" s="69" t="str">
        <f ca="1">IF(AND($C47="Goal",N$8&gt;=$G47,N$8&lt;=$G47+$H47-1),2,IF(AND($C47="Milestone",N$8&gt;=$G47,N$8&lt;=$G47+$H47-1),1,""))</f>
        <v/>
      </c>
      <c r="O47" s="69" t="str">
        <f ca="1">IF(AND($C47="Goal",O$8&gt;=$G47,O$8&lt;=$G47+$H47-1),2,IF(AND($C47="Milestone",O$8&gt;=$G47,O$8&lt;=$G47+$H47-1),1,""))</f>
        <v/>
      </c>
      <c r="P47" s="69" t="str">
        <f ca="1">IF(AND($C47="Goal",P$8&gt;=$G47,P$8&lt;=$G47+$H47-1),2,IF(AND($C47="Milestone",P$8&gt;=$G47,P$8&lt;=$G47+$H47-1),1,""))</f>
        <v/>
      </c>
      <c r="Q47" s="69" t="str">
        <f ca="1">IF(AND($C47="Goal",Q$8&gt;=$G47,Q$8&lt;=$G47+$H47-1),2,IF(AND($C47="Milestone",Q$8&gt;=$G47,Q$8&lt;=$G47+$H47-1),1,""))</f>
        <v/>
      </c>
      <c r="R47" s="69" t="str">
        <f ca="1">IF(AND($C47="Goal",R$8&gt;=$G47,R$8&lt;=$G47+$H47-1),2,IF(AND($C47="Milestone",R$8&gt;=$G47,R$8&lt;=$G47+$H47-1),1,""))</f>
        <v/>
      </c>
      <c r="S47" s="69" t="str">
        <f ca="1">IF(AND($C47="Goal",S$8&gt;=$G47,S$8&lt;=$G47+$H47-1),2,IF(AND($C47="Milestone",S$8&gt;=$G47,S$8&lt;=$G47+$H47-1),1,""))</f>
        <v/>
      </c>
      <c r="T47" s="69" t="str">
        <f ca="1">IF(AND($C47="Goal",T$8&gt;=$G47,T$8&lt;=$G47+$H47-1),2,IF(AND($C47="Milestone",T$8&gt;=$G47,T$8&lt;=$G47+$H47-1),1,""))</f>
        <v/>
      </c>
      <c r="U47" s="69" t="str">
        <f ca="1">IF(AND($C47="Goal",U$8&gt;=$G47,U$8&lt;=$G47+$H47-1),2,IF(AND($C47="Milestone",U$8&gt;=$G47,U$8&lt;=$G47+$H47-1),1,""))</f>
        <v/>
      </c>
      <c r="V47" s="69" t="str">
        <f ca="1">IF(AND($C47="Goal",V$8&gt;=$G47,V$8&lt;=$G47+$H47-1),2,IF(AND($C47="Milestone",V$8&gt;=$G47,V$8&lt;=$G47+$H47-1),1,""))</f>
        <v/>
      </c>
      <c r="W47" s="69" t="str">
        <f ca="1">IF(AND($C47="Goal",W$8&gt;=$G47,W$8&lt;=$G47+$H47-1),2,IF(AND($C47="Milestone",W$8&gt;=$G47,W$8&lt;=$G47+$H47-1),1,""))</f>
        <v/>
      </c>
      <c r="X47" s="69" t="str">
        <f ca="1">IF(AND($C47="Goal",X$8&gt;=$G47,X$8&lt;=$G47+$H47-1),2,IF(AND($C47="Milestone",X$8&gt;=$G47,X$8&lt;=$G47+$H47-1),1,""))</f>
        <v/>
      </c>
      <c r="Y47" s="69" t="str">
        <f ca="1">IF(AND($C47="Goal",Y$8&gt;=$G47,Y$8&lt;=$G47+$H47-1),2,IF(AND($C47="Milestone",Y$8&gt;=$G47,Y$8&lt;=$G47+$H47-1),1,""))</f>
        <v/>
      </c>
      <c r="Z47" s="69" t="str">
        <f ca="1">IF(AND($C47="Goal",Z$8&gt;=$G47,Z$8&lt;=$G47+$H47-1),2,IF(AND($C47="Milestone",Z$8&gt;=$G47,Z$8&lt;=$G47+$H47-1),1,""))</f>
        <v/>
      </c>
      <c r="AA47" s="69" t="str">
        <f ca="1">IF(AND($C47="Goal",AA$8&gt;=$G47,AA$8&lt;=$G47+$H47-1),2,IF(AND($C47="Milestone",AA$8&gt;=$G47,AA$8&lt;=$G47+$H47-1),1,""))</f>
        <v/>
      </c>
      <c r="AB47" s="69" t="str">
        <f ca="1">IF(AND($C47="Goal",AB$8&gt;=$G47,AB$8&lt;=$G47+$H47-1),2,IF(AND($C47="Milestone",AB$8&gt;=$G47,AB$8&lt;=$G47+$H47-1),1,""))</f>
        <v/>
      </c>
      <c r="AC47" s="69" t="str">
        <f ca="1">IF(AND($C47="Goal",AC$8&gt;=$G47,AC$8&lt;=$G47+$H47-1),2,IF(AND($C47="Milestone",AC$8&gt;=$G47,AC$8&lt;=$G47+$H47-1),1,""))</f>
        <v/>
      </c>
      <c r="AD47" s="69" t="str">
        <f ca="1">IF(AND($C47="Goal",AD$8&gt;=$G47,AD$8&lt;=$G47+$H47-1),2,IF(AND($C47="Milestone",AD$8&gt;=$G47,AD$8&lt;=$G47+$H47-1),1,""))</f>
        <v/>
      </c>
      <c r="AE47" s="69" t="str">
        <f ca="1">IF(AND($C47="Goal",AE$8&gt;=$G47,AE$8&lt;=$G47+$H47-1),2,IF(AND($C47="Milestone",AE$8&gt;=$G47,AE$8&lt;=$G47+$H47-1),1,""))</f>
        <v/>
      </c>
      <c r="AF47" s="69" t="str">
        <f ca="1">IF(AND($C47="Goal",AF$8&gt;=$G47,AF$8&lt;=$G47+$H47-1),2,IF(AND($C47="Milestone",AF$8&gt;=$G47,AF$8&lt;=$G47+$H47-1),1,""))</f>
        <v/>
      </c>
      <c r="AG47" s="69" t="str">
        <f ca="1">IF(AND($C47="Goal",AG$8&gt;=$G47,AG$8&lt;=$G47+$H47-1),2,IF(AND($C47="Milestone",AG$8&gt;=$G47,AG$8&lt;=$G47+$H47-1),1,""))</f>
        <v/>
      </c>
      <c r="AH47" s="69" t="str">
        <f ca="1">IF(AND($C47="Goal",AH$8&gt;=$G47,AH$8&lt;=$G47+$H47-1),2,IF(AND($C47="Milestone",AH$8&gt;=$G47,AH$8&lt;=$G47+$H47-1),1,""))</f>
        <v/>
      </c>
      <c r="AI47" s="69" t="str">
        <f ca="1">IF(AND($C47="Goal",AI$8&gt;=$G47,AI$8&lt;=$G47+$H47-1),2,IF(AND($C47="Milestone",AI$8&gt;=$G47,AI$8&lt;=$G47+$H47-1),1,""))</f>
        <v/>
      </c>
      <c r="AJ47" s="69" t="str">
        <f ca="1">IF(AND($C47="Goal",AJ$8&gt;=$G47,AJ$8&lt;=$G47+$H47-1),2,IF(AND($C47="Milestone",AJ$8&gt;=$G47,AJ$8&lt;=$G47+$H47-1),1,""))</f>
        <v/>
      </c>
      <c r="AK47" s="69" t="str">
        <f ca="1">IF(AND($C47="Goal",AK$8&gt;=$G47,AK$8&lt;=$G47+$H47-1),2,IF(AND($C47="Milestone",AK$8&gt;=$G47,AK$8&lt;=$G47+$H47-1),1,""))</f>
        <v/>
      </c>
      <c r="AL47" s="69" t="str">
        <f ca="1">IF(AND($C47="Goal",AL$8&gt;=$G47,AL$8&lt;=$G47+$H47-1),2,IF(AND($C47="Milestone",AL$8&gt;=$G47,AL$8&lt;=$G47+$H47-1),1,""))</f>
        <v/>
      </c>
      <c r="AM47" s="69" t="str">
        <f ca="1">IF(AND($C47="Goal",AM$8&gt;=$G47,AM$8&lt;=$G47+$H47-1),2,IF(AND($C47="Milestone",AM$8&gt;=$G47,AM$8&lt;=$G47+$H47-1),1,""))</f>
        <v/>
      </c>
      <c r="AN47" s="69" t="str">
        <f ca="1">IF(AND($C47="Goal",AN$8&gt;=$G47,AN$8&lt;=$G47+$H47-1),2,IF(AND($C47="Milestone",AN$8&gt;=$G47,AN$8&lt;=$G47+$H47-1),1,""))</f>
        <v/>
      </c>
      <c r="AO47" s="69" t="str">
        <f ca="1">IF(AND($C47="Goal",AO$8&gt;=$G47,AO$8&lt;=$G47+$H47-1),2,IF(AND($C47="Milestone",AO$8&gt;=$G47,AO$8&lt;=$G47+$H47-1),1,""))</f>
        <v/>
      </c>
      <c r="AP47" s="69" t="str">
        <f ca="1">IF(AND($C47="Goal",AP$8&gt;=$G47,AP$8&lt;=$G47+$H47-1),2,IF(AND($C47="Milestone",AP$8&gt;=$G47,AP$8&lt;=$G47+$H47-1),1,""))</f>
        <v/>
      </c>
      <c r="AQ47" s="69" t="str">
        <f ca="1">IF(AND($C47="Goal",AQ$8&gt;=$G47,AQ$8&lt;=$G47+$H47-1),2,IF(AND($C47="Milestone",AQ$8&gt;=$G47,AQ$8&lt;=$G47+$H47-1),1,""))</f>
        <v/>
      </c>
      <c r="AR47" s="69" t="str">
        <f ca="1">IF(AND($C47="Goal",AR$8&gt;=$G47,AR$8&lt;=$G47+$H47-1),2,IF(AND($C47="Milestone",AR$8&gt;=$G47,AR$8&lt;=$G47+$H47-1),1,""))</f>
        <v/>
      </c>
      <c r="AS47" s="69" t="str">
        <f ca="1">IF(AND($C47="Goal",AS$8&gt;=$G47,AS$8&lt;=$G47+$H47-1),2,IF(AND($C47="Milestone",AS$8&gt;=$G47,AS$8&lt;=$G47+$H47-1),1,""))</f>
        <v/>
      </c>
      <c r="AT47" s="69" t="str">
        <f ca="1">IF(AND($C47="Goal",AT$8&gt;=$G47,AT$8&lt;=$G47+$H47-1),2,IF(AND($C47="Milestone",AT$8&gt;=$G47,AT$8&lt;=$G47+$H47-1),1,""))</f>
        <v/>
      </c>
      <c r="AU47" s="69" t="str">
        <f ca="1">IF(AND($C47="Goal",AU$8&gt;=$G47,AU$8&lt;=$G47+$H47-1),2,IF(AND($C47="Milestone",AU$8&gt;=$G47,AU$8&lt;=$G47+$H47-1),1,""))</f>
        <v/>
      </c>
      <c r="AV47" s="69" t="str">
        <f ca="1">IF(AND($C47="Goal",AV$8&gt;=$G47,AV$8&lt;=$G47+$H47-1),2,IF(AND($C47="Milestone",AV$8&gt;=$G47,AV$8&lt;=$G47+$H47-1),1,""))</f>
        <v/>
      </c>
      <c r="AW47" s="69" t="str">
        <f ca="1">IF(AND($C47="Goal",AW$8&gt;=$G47,AW$8&lt;=$G47+$H47-1),2,IF(AND($C47="Milestone",AW$8&gt;=$G47,AW$8&lt;=$G47+$H47-1),1,""))</f>
        <v/>
      </c>
      <c r="AX47" s="69" t="str">
        <f ca="1">IF(AND($C47="Goal",AX$8&gt;=$G47,AX$8&lt;=$G47+$H47-1),2,IF(AND($C47="Milestone",AX$8&gt;=$G47,AX$8&lt;=$G47+$H47-1),1,""))</f>
        <v/>
      </c>
      <c r="AY47" s="69" t="str">
        <f ca="1">IF(AND($C47="Goal",AY$8&gt;=$G47,AY$8&lt;=$G47+$H47-1),2,IF(AND($C47="Milestone",AY$8&gt;=$G47,AY$8&lt;=$G47+$H47-1),1,""))</f>
        <v/>
      </c>
      <c r="AZ47" s="69" t="str">
        <f ca="1">IF(AND($C47="Goal",AZ$8&gt;=$G47,AZ$8&lt;=$G47+$H47-1),2,IF(AND($C47="Milestone",AZ$8&gt;=$G47,AZ$8&lt;=$G47+$H47-1),1,""))</f>
        <v/>
      </c>
      <c r="BA47" s="69" t="str">
        <f ca="1">IF(AND($C47="Goal",BA$8&gt;=$G47,BA$8&lt;=$G47+$H47-1),2,IF(AND($C47="Milestone",BA$8&gt;=$G47,BA$8&lt;=$G47+$H47-1),1,""))</f>
        <v/>
      </c>
      <c r="BB47" s="69" t="str">
        <f ca="1">IF(AND($C47="Goal",BB$8&gt;=$G47,BB$8&lt;=$G47+$H47-1),2,IF(AND($C47="Milestone",BB$8&gt;=$G47,BB$8&lt;=$G47+$H47-1),1,""))</f>
        <v/>
      </c>
      <c r="BC47" s="69" t="str">
        <f ca="1">IF(AND($C47="Goal",BC$8&gt;=$G47,BC$8&lt;=$G47+$H47-1),2,IF(AND($C47="Milestone",BC$8&gt;=$G47,BC$8&lt;=$G47+$H47-1),1,""))</f>
        <v/>
      </c>
      <c r="BD47" s="69" t="str">
        <f ca="1">IF(AND($C47="Goal",BD$8&gt;=$G47,BD$8&lt;=$G47+$H47-1),2,IF(AND($C47="Milestone",BD$8&gt;=$G47,BD$8&lt;=$G47+$H47-1),1,""))</f>
        <v/>
      </c>
      <c r="BE47" s="69" t="str">
        <f ca="1">IF(AND($C47="Goal",BE$8&gt;=$G47,BE$8&lt;=$G47+$H47-1),2,IF(AND($C47="Milestone",BE$8&gt;=$G47,BE$8&lt;=$G47+$H47-1),1,""))</f>
        <v/>
      </c>
      <c r="BF47" s="69" t="str">
        <f ca="1">IF(AND($C47="Goal",BF$8&gt;=$G47,BF$8&lt;=$G47+$H47-1),2,IF(AND($C47="Milestone",BF$8&gt;=$G47,BF$8&lt;=$G47+$H47-1),1,""))</f>
        <v/>
      </c>
      <c r="BG47" s="69" t="str">
        <f ca="1">IF(AND($C47="Goal",BG$8&gt;=$G47,BG$8&lt;=$G47+$H47-1),2,IF(AND($C47="Milestone",BG$8&gt;=$G47,BG$8&lt;=$G47+$H47-1),1,""))</f>
        <v/>
      </c>
      <c r="BH47" s="69" t="str">
        <f ca="1">IF(AND($C47="Goal",BH$8&gt;=$G47,BH$8&lt;=$G47+$H47-1),2,IF(AND($C47="Milestone",BH$8&gt;=$G47,BH$8&lt;=$G47+$H47-1),1,""))</f>
        <v/>
      </c>
      <c r="BI47" s="69" t="str">
        <f ca="1">IF(AND($C47="Goal",BI$8&gt;=$G47,BI$8&lt;=$G47+$H47-1),2,IF(AND($C47="Milestone",BI$8&gt;=$G47,BI$8&lt;=$G47+$H47-1),1,""))</f>
        <v/>
      </c>
      <c r="BJ47" s="69" t="str">
        <f ca="1">IF(AND($C47="Goal",BJ$8&gt;=$G47,BJ$8&lt;=$G47+$H47-1),2,IF(AND($C47="Milestone",BJ$8&gt;=$G47,BJ$8&lt;=$G47+$H47-1),1,""))</f>
        <v/>
      </c>
      <c r="BK47" s="69" t="str">
        <f ca="1">IF(AND($C47="Goal",BK$8&gt;=$G47,BK$8&lt;=$G47+$H47-1),2,IF(AND($C47="Milestone",BK$8&gt;=$G47,BK$8&lt;=$G47+$H47-1),1,""))</f>
        <v/>
      </c>
      <c r="BL47" s="69" t="str">
        <f ca="1">IF(AND($C47="Goal",BL$8&gt;=$G47,BL$8&lt;=$G47+$H47-1),2,IF(AND($C47="Milestone",BL$8&gt;=$G47,BL$8&lt;=$G47+$H47-1),1,""))</f>
        <v/>
      </c>
      <c r="BM47" s="69" t="str">
        <f ca="1">IF(AND($C47="Goal",BM$8&gt;=$G47,BM$8&lt;=$G47+$H47-1),2,IF(AND($C47="Milestone",BM$8&gt;=$G47,BM$8&lt;=$G47+$H47-1),1,""))</f>
        <v/>
      </c>
      <c r="BN47" s="69" t="str">
        <f ca="1">IF(AND($C47="Goal",BN$8&gt;=$G47,BN$8&lt;=$G47+$H47-1),2,IF(AND($C47="Milestone",BN$8&gt;=$G47,BN$8&lt;=$G47+$H47-1),1,""))</f>
        <v/>
      </c>
      <c r="BO47" s="69" t="str">
        <f ca="1">IF(AND($C47="Goal",BO$8&gt;=$G47,BO$8&lt;=$G47+$H47-1),2,IF(AND($C47="Milestone",BO$8&gt;=$G47,BO$8&lt;=$G47+$H47-1),1,""))</f>
        <v/>
      </c>
      <c r="BP47" s="69" t="str">
        <f ca="1">IF(AND($C47="Goal",BP$8&gt;=$G47,BP$8&lt;=$G47+$H47-1),2,IF(AND($C47="Milestone",BP$8&gt;=$G47,BP$8&lt;=$G47+$H47-1),1,""))</f>
        <v/>
      </c>
      <c r="BQ47" s="69" t="str">
        <f ca="1">IF(AND($C47="Goal",BQ$8&gt;=$G47,BQ$8&lt;=$G47+$H47-1),2,IF(AND($C47="Milestone",BQ$8&gt;=$G47,BQ$8&lt;=$G47+$H47-1),1,""))</f>
        <v/>
      </c>
      <c r="BR47" s="69" t="str">
        <f ca="1">IF(AND($C47="Goal",BR$8&gt;=$G47,BR$8&lt;=$G47+$H47-1),2,IF(AND($C47="Milestone",BR$8&gt;=$G47,BR$8&lt;=$G47+$H47-1),1,""))</f>
        <v/>
      </c>
      <c r="BS47" s="69" t="str">
        <f ca="1">IF(AND($C47="Goal",BS$8&gt;=$G47,BS$8&lt;=$G47+$H47-1),2,IF(AND($C47="Milestone",BS$8&gt;=$G47,BS$8&lt;=$G47+$H47-1),1,""))</f>
        <v/>
      </c>
      <c r="BT47" s="69" t="str">
        <f ca="1">IF(AND($C47="Goal",BT$8&gt;=$G47,BT$8&lt;=$G47+$H47-1),2,IF(AND($C47="Milestone",BT$8&gt;=$G47,BT$8&lt;=$G47+$H47-1),1,""))</f>
        <v/>
      </c>
      <c r="BU47" s="69" t="str">
        <f ca="1">IF(AND($C47="Goal",BU$8&gt;=$G47,BU$8&lt;=$G47+$H47-1),2,IF(AND($C47="Milestone",BU$8&gt;=$G47,BU$8&lt;=$G47+$H47-1),1,""))</f>
        <v/>
      </c>
      <c r="BV47" s="69" t="str">
        <f ca="1">IF(AND($C47="Goal",BV$8&gt;=$G47,BV$8&lt;=$G47+$H47-1),2,IF(AND($C47="Milestone",BV$8&gt;=$G47,BV$8&lt;=$G47+$H47-1),1,""))</f>
        <v/>
      </c>
      <c r="BW47" s="69" t="str">
        <f ca="1">IF(AND($C47="Goal",BW$8&gt;=$G47,BW$8&lt;=$G47+$H47-1),2,IF(AND($C47="Milestone",BW$8&gt;=$G47,BW$8&lt;=$G47+$H47-1),1,""))</f>
        <v/>
      </c>
      <c r="BX47" s="69" t="str">
        <f ca="1">IF(AND($C47="Goal",BX$8&gt;=$G47,BX$8&lt;=$G47+$H47-1),2,IF(AND($C47="Milestone",BX$8&gt;=$G47,BX$8&lt;=$G47+$H47-1),1,""))</f>
        <v/>
      </c>
      <c r="BY47" s="69" t="str">
        <f ca="1">IF(AND($C47="Goal",BY$8&gt;=$G47,BY$8&lt;=$G47+$H47-1),2,IF(AND($C47="Milestone",BY$8&gt;=$G47,BY$8&lt;=$G47+$H47-1),1,""))</f>
        <v/>
      </c>
      <c r="BZ47" s="69" t="str">
        <f ca="1">IF(AND($C47="Goal",BZ$8&gt;=$G47,BZ$8&lt;=$G47+$H47-1),2,IF(AND($C47="Milestone",BZ$8&gt;=$G47,BZ$8&lt;=$G47+$H47-1),1,""))</f>
        <v/>
      </c>
      <c r="CA47" s="69" t="str">
        <f ca="1">IF(AND($C47="Goal",CA$8&gt;=$G47,CA$8&lt;=$G47+$H47-1),2,IF(AND($C47="Milestone",CA$8&gt;=$G47,CA$8&lt;=$G47+$H47-1),1,""))</f>
        <v/>
      </c>
      <c r="CB47" s="69" t="str">
        <f ca="1">IF(AND($C47="Goal",CB$8&gt;=$G47,CB$8&lt;=$G47+$H47-1),2,IF(AND($C47="Milestone",CB$8&gt;=$G47,CB$8&lt;=$G47+$H47-1),1,""))</f>
        <v/>
      </c>
      <c r="CC47" s="69" t="str">
        <f ca="1">IF(AND($C47="Goal",CC$8&gt;=$G47,CC$8&lt;=$G47+$H47-1),2,IF(AND($C47="Milestone",CC$8&gt;=$G47,CC$8&lt;=$G47+$H47-1),1,""))</f>
        <v/>
      </c>
      <c r="CD47" s="69" t="str">
        <f ca="1">IF(AND($C47="Goal",CD$8&gt;=$G47,CD$8&lt;=$G47+$H47-1),2,IF(AND($C47="Milestone",CD$8&gt;=$G47,CD$8&lt;=$G47+$H47-1),1,""))</f>
        <v/>
      </c>
      <c r="CE47" s="69" t="str">
        <f ca="1">IF(AND($C47="Goal",CE$8&gt;=$G47,CE$8&lt;=$G47+$H47-1),2,IF(AND($C47="Milestone",CE$8&gt;=$G47,CE$8&lt;=$G47+$H47-1),1,""))</f>
        <v/>
      </c>
      <c r="CF47" s="69" t="str">
        <f ca="1">IF(AND($C47="Goal",CF$8&gt;=$G47,CF$8&lt;=$G47+$H47-1),2,IF(AND($C47="Milestone",CF$8&gt;=$G47,CF$8&lt;=$G47+$H47-1),1,""))</f>
        <v/>
      </c>
      <c r="CG47" s="69" t="str">
        <f ca="1">IF(AND($C47="Goal",CG$8&gt;=$G47,CG$8&lt;=$G47+$H47-1),2,IF(AND($C47="Milestone",CG$8&gt;=$G47,CG$8&lt;=$G47+$H47-1),1,""))</f>
        <v/>
      </c>
      <c r="CH47" s="69" t="str">
        <f ca="1">IF(AND($C47="Goal",CH$8&gt;=$G47,CH$8&lt;=$G47+$H47-1),2,IF(AND($C47="Milestone",CH$8&gt;=$G47,CH$8&lt;=$G47+$H47-1),1,""))</f>
        <v/>
      </c>
      <c r="CI47" s="69" t="str">
        <f ca="1">IF(AND($C47="Goal",CI$8&gt;=$G47,CI$8&lt;=$G47+$H47-1),2,IF(AND($C47="Milestone",CI$8&gt;=$G47,CI$8&lt;=$G47+$H47-1),1,""))</f>
        <v/>
      </c>
      <c r="CJ47" s="69" t="str">
        <f ca="1">IF(AND($C47="Goal",CJ$8&gt;=$G47,CJ$8&lt;=$G47+$H47-1),2,IF(AND($C47="Milestone",CJ$8&gt;=$G47,CJ$8&lt;=$G47+$H47-1),1,""))</f>
        <v/>
      </c>
      <c r="CK47" s="69" t="str">
        <f ca="1">IF(AND($C47="Goal",CK$8&gt;=$G47,CK$8&lt;=$G47+$H47-1),2,IF(AND($C47="Milestone",CK$8&gt;=$G47,CK$8&lt;=$G47+$H47-1),1,""))</f>
        <v/>
      </c>
      <c r="CL47" s="69" t="str">
        <f ca="1">IF(AND($C47="Goal",CL$8&gt;=$G47,CL$8&lt;=$G47+$H47-1),2,IF(AND($C47="Milestone",CL$8&gt;=$G47,CL$8&lt;=$G47+$H47-1),1,""))</f>
        <v/>
      </c>
      <c r="CM47" s="69" t="str">
        <f ca="1">IF(AND($C47="Goal",CM$8&gt;=$G47,CM$8&lt;=$G47+$H47-1),2,IF(AND($C47="Milestone",CM$8&gt;=$G47,CM$8&lt;=$G47+$H47-1),1,""))</f>
        <v/>
      </c>
      <c r="CN47" s="69" t="str">
        <f ca="1">IF(AND($C47="Goal",CN$8&gt;=$G47,CN$8&lt;=$G47+$H47-1),2,IF(AND($C47="Milestone",CN$8&gt;=$G47,CN$8&lt;=$G47+$H47-1),1,""))</f>
        <v/>
      </c>
      <c r="CO47" s="69" t="str">
        <f ca="1">IF(AND($C47="Goal",CO$8&gt;=$G47,CO$8&lt;=$G47+$H47-1),2,IF(AND($C47="Milestone",CO$8&gt;=$G47,CO$8&lt;=$G47+$H47-1),1,""))</f>
        <v/>
      </c>
      <c r="CP47" s="69" t="str">
        <f ca="1">IF(AND($C47="Goal",CP$8&gt;=$G47,CP$8&lt;=$G47+$H47-1),2,IF(AND($C47="Milestone",CP$8&gt;=$G47,CP$8&lt;=$G47+$H47-1),1,""))</f>
        <v/>
      </c>
      <c r="CQ47" s="69" t="str">
        <f ca="1">IF(AND($C47="Goal",CQ$8&gt;=$G47,CQ$8&lt;=$G47+$H47-1),2,IF(AND($C47="Milestone",CQ$8&gt;=$G47,CQ$8&lt;=$G47+$H47-1),1,""))</f>
        <v/>
      </c>
      <c r="CR47" s="69" t="str">
        <f ca="1">IF(AND($C47="Goal",CR$8&gt;=$G47,CR$8&lt;=$G47+$H47-1),2,IF(AND($C47="Milestone",CR$8&gt;=$G47,CR$8&lt;=$G47+$H47-1),1,""))</f>
        <v/>
      </c>
      <c r="CS47" s="69" t="str">
        <f ca="1">IF(AND($C47="Goal",CS$8&gt;=$G47,CS$8&lt;=$G47+$H47-1),2,IF(AND($C47="Milestone",CS$8&gt;=$G47,CS$8&lt;=$G47+$H47-1),1,""))</f>
        <v/>
      </c>
      <c r="CT47" s="69" t="str">
        <f ca="1">IF(AND($C47="Goal",CT$8&gt;=$G47,CT$8&lt;=$G47+$H47-1),2,IF(AND($C47="Milestone",CT$8&gt;=$G47,CT$8&lt;=$G47+$H47-1),1,""))</f>
        <v/>
      </c>
      <c r="CU47" s="69" t="str">
        <f ca="1">IF(AND($C47="Goal",CU$8&gt;=$G47,CU$8&lt;=$G47+$H47-1),2,IF(AND($C47="Milestone",CU$8&gt;=$G47,CU$8&lt;=$G47+$H47-1),1,""))</f>
        <v/>
      </c>
      <c r="CV47" s="69" t="str">
        <f ca="1">IF(AND($C47="Goal",CV$8&gt;=$G47,CV$8&lt;=$G47+$H47-1),2,IF(AND($C47="Milestone",CV$8&gt;=$G47,CV$8&lt;=$G47+$H47-1),1,""))</f>
        <v/>
      </c>
      <c r="CW47" s="69" t="str">
        <f ca="1">IF(AND($C47="Goal",CW$8&gt;=$G47,CW$8&lt;=$G47+$H47-1),2,IF(AND($C47="Milestone",CW$8&gt;=$G47,CW$8&lt;=$G47+$H47-1),1,""))</f>
        <v/>
      </c>
      <c r="CX47" s="69" t="str">
        <f ca="1">IF(AND($C47="Goal",CX$8&gt;=$G47,CX$8&lt;=$G47+$H47-1),2,IF(AND($C47="Milestone",CX$8&gt;=$G47,CX$8&lt;=$G47+$H47-1),1,""))</f>
        <v/>
      </c>
      <c r="CY47" s="69" t="str">
        <f ca="1">IF(AND($C47="Goal",CY$8&gt;=$G47,CY$8&lt;=$G47+$H47-1),2,IF(AND($C47="Milestone",CY$8&gt;=$G47,CY$8&lt;=$G47+$H47-1),1,""))</f>
        <v/>
      </c>
      <c r="CZ47" s="69" t="str">
        <f ca="1">IF(AND($C47="Goal",CZ$8&gt;=$G47,CZ$8&lt;=$G47+$H47-1),2,IF(AND($C47="Milestone",CZ$8&gt;=$G47,CZ$8&lt;=$G47+$H47-1),1,""))</f>
        <v/>
      </c>
      <c r="DA47" s="69" t="str">
        <f ca="1">IF(AND($C47="Goal",DA$8&gt;=$G47,DA$8&lt;=$G47+$H47-1),2,IF(AND($C47="Milestone",DA$8&gt;=$G47,DA$8&lt;=$G47+$H47-1),1,""))</f>
        <v/>
      </c>
      <c r="DB47" s="69" t="str">
        <f ca="1">IF(AND($C47="Goal",DB$8&gt;=$G47,DB$8&lt;=$G47+$H47-1),2,IF(AND($C47="Milestone",DB$8&gt;=$G47,DB$8&lt;=$G47+$H47-1),1,""))</f>
        <v/>
      </c>
      <c r="DC47" s="69" t="str">
        <f ca="1">IF(AND($C47="Goal",DC$8&gt;=$G47,DC$8&lt;=$G47+$H47-1),2,IF(AND($C47="Milestone",DC$8&gt;=$G47,DC$8&lt;=$G47+$H47-1),1,""))</f>
        <v/>
      </c>
      <c r="DD47" s="69" t="str">
        <f ca="1">IF(AND($C47="Goal",DD$8&gt;=$G47,DD$8&lt;=$G47+$H47-1),2,IF(AND($C47="Milestone",DD$8&gt;=$G47,DD$8&lt;=$G47+$H47-1),1,""))</f>
        <v/>
      </c>
      <c r="DE47" s="69" t="str">
        <f ca="1">IF(AND($C47="Goal",DE$8&gt;=$G47,DE$8&lt;=$G47+$H47-1),2,IF(AND($C47="Milestone",DE$8&gt;=$G47,DE$8&lt;=$G47+$H47-1),1,""))</f>
        <v/>
      </c>
      <c r="DF47" s="69" t="str">
        <f ca="1">IF(AND($C47="Goal",DF$8&gt;=$G47,DF$8&lt;=$G47+$H47-1),2,IF(AND($C47="Milestone",DF$8&gt;=$G47,DF$8&lt;=$G47+$H47-1),1,""))</f>
        <v/>
      </c>
      <c r="DG47" s="69" t="str">
        <f ca="1">IF(AND($C47="Goal",DG$8&gt;=$G47,DG$8&lt;=$G47+$H47-1),2,IF(AND($C47="Milestone",DG$8&gt;=$G47,DG$8&lt;=$G47+$H47-1),1,""))</f>
        <v/>
      </c>
      <c r="DH47" s="69" t="str">
        <f ca="1">IF(AND($C47="Goal",DH$8&gt;=$G47,DH$8&lt;=$G47+$H47-1),2,IF(AND($C47="Milestone",DH$8&gt;=$G47,DH$8&lt;=$G47+$H47-1),1,""))</f>
        <v/>
      </c>
      <c r="DI47" s="69" t="str">
        <f ca="1">IF(AND($C47="Goal",DI$8&gt;=$G47,DI$8&lt;=$G47+$H47-1),2,IF(AND($C47="Milestone",DI$8&gt;=$G47,DI$8&lt;=$G47+$H47-1),1,""))</f>
        <v/>
      </c>
      <c r="DJ47" s="69" t="str">
        <f ca="1">IF(AND($C47="Goal",DJ$8&gt;=$G47,DJ$8&lt;=$G47+$H47-1),2,IF(AND($C47="Milestone",DJ$8&gt;=$G47,DJ$8&lt;=$G47+$H47-1),1,""))</f>
        <v/>
      </c>
      <c r="DK47" s="69" t="str">
        <f ca="1">IF(AND($C47="Goal",DK$8&gt;=$G47,DK$8&lt;=$G47+$H47-1),2,IF(AND($C47="Milestone",DK$8&gt;=$G47,DK$8&lt;=$G47+$H47-1),1,""))</f>
        <v/>
      </c>
      <c r="DL47" s="69" t="str">
        <f ca="1">IF(AND($C47="Goal",DL$8&gt;=$G47,DL$8&lt;=$G47+$H47-1),2,IF(AND($C47="Milestone",DL$8&gt;=$G47,DL$8&lt;=$G47+$H47-1),1,""))</f>
        <v/>
      </c>
      <c r="DM47" s="69" t="str">
        <f ca="1">IF(AND($C47="Goal",DM$8&gt;=$G47,DM$8&lt;=$G47+$H47-1),2,IF(AND($C47="Milestone",DM$8&gt;=$G47,DM$8&lt;=$G47+$H47-1),1,""))</f>
        <v/>
      </c>
      <c r="DN47" s="69" t="str">
        <f ca="1">IF(AND($C47="Goal",DN$8&gt;=$G47,DN$8&lt;=$G47+$H47-1),2,IF(AND($C47="Milestone",DN$8&gt;=$G47,DN$8&lt;=$G47+$H47-1),1,""))</f>
        <v/>
      </c>
      <c r="DO47" s="69" t="str">
        <f ca="1">IF(AND($C47="Goal",DO$8&gt;=$G47,DO$8&lt;=$G47+$H47-1),2,IF(AND($C47="Milestone",DO$8&gt;=$G47,DO$8&lt;=$G47+$H47-1),1,""))</f>
        <v/>
      </c>
      <c r="DP47" s="69" t="str">
        <f ca="1">IF(AND($C47="Goal",DP$8&gt;=$G47,DP$8&lt;=$G47+$H47-1),2,IF(AND($C47="Milestone",DP$8&gt;=$G47,DP$8&lt;=$G47+$H47-1),1,""))</f>
        <v/>
      </c>
      <c r="DQ47" s="69" t="str">
        <f ca="1">IF(AND($C47="Goal",DQ$8&gt;=$G47,DQ$8&lt;=$G47+$H47-1),2,IF(AND($C47="Milestone",DQ$8&gt;=$G47,DQ$8&lt;=$G47+$H47-1),1,""))</f>
        <v/>
      </c>
      <c r="DR47" s="69" t="str">
        <f ca="1">IF(AND($C47="Goal",DR$8&gt;=$G47,DR$8&lt;=$G47+$H47-1),2,IF(AND($C47="Milestone",DR$8&gt;=$G47,DR$8&lt;=$G47+$H47-1),1,""))</f>
        <v/>
      </c>
      <c r="DS47" s="69" t="str">
        <f ca="1">IF(AND($C47="Goal",DS$8&gt;=$G47,DS$8&lt;=$G47+$H47-1),2,IF(AND($C47="Milestone",DS$8&gt;=$G47,DS$8&lt;=$G47+$H47-1),1,""))</f>
        <v/>
      </c>
      <c r="DT47" s="69" t="str">
        <f ca="1">IF(AND($C47="Goal",DT$8&gt;=$G47,DT$8&lt;=$G47+$H47-1),2,IF(AND($C47="Milestone",DT$8&gt;=$G47,DT$8&lt;=$G47+$H47-1),1,""))</f>
        <v/>
      </c>
      <c r="DU47" s="69" t="str">
        <f ca="1">IF(AND($C47="Goal",DU$8&gt;=$G47,DU$8&lt;=$G47+$H47-1),2,IF(AND($C47="Milestone",DU$8&gt;=$G47,DU$8&lt;=$G47+$H47-1),1,""))</f>
        <v/>
      </c>
      <c r="DV47" s="69" t="str">
        <f ca="1">IF(AND($C47="Goal",DV$8&gt;=$G47,DV$8&lt;=$G47+$H47-1),2,IF(AND($C47="Milestone",DV$8&gt;=$G47,DV$8&lt;=$G47+$H47-1),1,""))</f>
        <v/>
      </c>
      <c r="DW47" s="69" t="str">
        <f ca="1">IF(AND($C47="Goal",DW$8&gt;=$G47,DW$8&lt;=$G47+$H47-1),2,IF(AND($C47="Milestone",DW$8&gt;=$G47,DW$8&lt;=$G47+$H47-1),1,""))</f>
        <v/>
      </c>
      <c r="DX47" s="69" t="str">
        <f ca="1">IF(AND($C47="Goal",DX$8&gt;=$G47,DX$8&lt;=$G47+$H47-1),2,IF(AND($C47="Milestone",DX$8&gt;=$G47,DX$8&lt;=$G47+$H47-1),1,""))</f>
        <v/>
      </c>
      <c r="DY47" s="69" t="str">
        <f ca="1">IF(AND($C47="Goal",DY$8&gt;=$G47,DY$8&lt;=$G47+$H47-1),2,IF(AND($C47="Milestone",DY$8&gt;=$G47,DY$8&lt;=$G47+$H47-1),1,""))</f>
        <v/>
      </c>
      <c r="DZ47" s="69" t="str">
        <f ca="1">IF(AND($C47="Goal",DZ$8&gt;=$G47,DZ$8&lt;=$G47+$H47-1),2,IF(AND($C47="Milestone",DZ$8&gt;=$G47,DZ$8&lt;=$G47+$H47-1),1,""))</f>
        <v/>
      </c>
      <c r="EA47" s="69" t="str">
        <f ca="1">IF(AND($C47="Goal",EA$8&gt;=$G47,EA$8&lt;=$G47+$H47-1),2,IF(AND($C47="Milestone",EA$8&gt;=$G47,EA$8&lt;=$G47+$H47-1),1,""))</f>
        <v/>
      </c>
      <c r="EB47" s="69" t="str">
        <f ca="1">IF(AND($C47="Goal",EB$8&gt;=$G47,EB$8&lt;=$G47+$H47-1),2,IF(AND($C47="Milestone",EB$8&gt;=$G47,EB$8&lt;=$G47+$H47-1),1,""))</f>
        <v/>
      </c>
      <c r="EC47" s="69" t="str">
        <f ca="1">IF(AND($C47="Goal",EC$8&gt;=$G47,EC$8&lt;=$G47+$H47-1),2,IF(AND($C47="Milestone",EC$8&gt;=$G47,EC$8&lt;=$G47+$H47-1),1,""))</f>
        <v/>
      </c>
      <c r="ED47" s="69" t="str">
        <f ca="1">IF(AND($C47="Goal",ED$8&gt;=$G47,ED$8&lt;=$G47+$H47-1),2,IF(AND($C47="Milestone",ED$8&gt;=$G47,ED$8&lt;=$G47+$H47-1),1,""))</f>
        <v/>
      </c>
      <c r="EE47" s="69" t="str">
        <f ca="1">IF(AND($C47="Goal",EE$8&gt;=$G47,EE$8&lt;=$G47+$H47-1),2,IF(AND($C47="Milestone",EE$8&gt;=$G47,EE$8&lt;=$G47+$H47-1),1,""))</f>
        <v/>
      </c>
      <c r="EF47" s="69" t="str">
        <f ca="1">IF(AND($C47="Goal",EF$8&gt;=$G47,EF$8&lt;=$G47+$H47-1),2,IF(AND($C47="Milestone",EF$8&gt;=$G47,EF$8&lt;=$G47+$H47-1),1,""))</f>
        <v/>
      </c>
      <c r="EG47" s="69" t="str">
        <f ca="1">IF(AND($C47="Goal",EG$8&gt;=$G47,EG$8&lt;=$G47+$H47-1),2,IF(AND($C47="Milestone",EG$8&gt;=$G47,EG$8&lt;=$G47+$H47-1),1,""))</f>
        <v/>
      </c>
      <c r="EH47" s="69" t="str">
        <f ca="1">IF(AND($C47="Goal",EH$8&gt;=$G47,EH$8&lt;=$G47+$H47-1),2,IF(AND($C47="Milestone",EH$8&gt;=$G47,EH$8&lt;=$G47+$H47-1),1,""))</f>
        <v/>
      </c>
      <c r="EI47" s="69" t="str">
        <f ca="1">IF(AND($C47="Goal",EI$8&gt;=$G47,EI$8&lt;=$G47+$H47-1),2,IF(AND($C47="Milestone",EI$8&gt;=$G47,EI$8&lt;=$G47+$H47-1),1,""))</f>
        <v/>
      </c>
      <c r="EJ47" s="69" t="str">
        <f ca="1">IF(AND($C47="Goal",EJ$8&gt;=$G47,EJ$8&lt;=$G47+$H47-1),2,IF(AND($C47="Milestone",EJ$8&gt;=$G47,EJ$8&lt;=$G47+$H47-1),1,""))</f>
        <v/>
      </c>
      <c r="EK47" s="69" t="str">
        <f ca="1">IF(AND($C47="Goal",EK$8&gt;=$G47,EK$8&lt;=$G47+$H47-1),2,IF(AND($C47="Milestone",EK$8&gt;=$G47,EK$8&lt;=$G47+$H47-1),1,""))</f>
        <v/>
      </c>
      <c r="EL47" s="69" t="str">
        <f ca="1">IF(AND($C47="Goal",EL$8&gt;=$G47,EL$8&lt;=$G47+$H47-1),2,IF(AND($C47="Milestone",EL$8&gt;=$G47,EL$8&lt;=$G47+$H47-1),1,""))</f>
        <v/>
      </c>
      <c r="EM47" s="69" t="str">
        <f ca="1">IF(AND($C47="Goal",EM$8&gt;=$G47,EM$8&lt;=$G47+$H47-1),2,IF(AND($C47="Milestone",EM$8&gt;=$G47,EM$8&lt;=$G47+$H47-1),1,""))</f>
        <v/>
      </c>
      <c r="EN47" s="69" t="str">
        <f ca="1">IF(AND($C47="Goal",EN$8&gt;=$G47,EN$8&lt;=$G47+$H47-1),2,IF(AND($C47="Milestone",EN$8&gt;=$G47,EN$8&lt;=$G47+$H47-1),1,""))</f>
        <v/>
      </c>
      <c r="EO47" s="69" t="str">
        <f ca="1">IF(AND($C47="Goal",EO$8&gt;=$G47,EO$8&lt;=$G47+$H47-1),2,IF(AND($C47="Milestone",EO$8&gt;=$G47,EO$8&lt;=$G47+$H47-1),1,""))</f>
        <v/>
      </c>
      <c r="EP47" s="69" t="str">
        <f ca="1">IF(AND($C47="Goal",EP$8&gt;=$G47,EP$8&lt;=$G47+$H47-1),2,IF(AND($C47="Milestone",EP$8&gt;=$G47,EP$8&lt;=$G47+$H47-1),1,""))</f>
        <v/>
      </c>
      <c r="EQ47" s="69" t="str">
        <f ca="1">IF(AND($C47="Goal",EQ$8&gt;=$G47,EQ$8&lt;=$G47+$H47-1),2,IF(AND($C47="Milestone",EQ$8&gt;=$G47,EQ$8&lt;=$G47+$H47-1),1,""))</f>
        <v/>
      </c>
      <c r="ER47" s="69" t="str">
        <f ca="1">IF(AND($C47="Goal",ER$8&gt;=$G47,ER$8&lt;=$G47+$H47-1),2,IF(AND($C47="Milestone",ER$8&gt;=$G47,ER$8&lt;=$G47+$H47-1),1,""))</f>
        <v/>
      </c>
      <c r="ES47" s="69" t="str">
        <f ca="1">IF(AND($C47="Goal",ES$8&gt;=$G47,ES$8&lt;=$G47+$H47-1),2,IF(AND($C47="Milestone",ES$8&gt;=$G47,ES$8&lt;=$G47+$H47-1),1,""))</f>
        <v/>
      </c>
      <c r="ET47" s="69" t="str">
        <f ca="1">IF(AND($C47="Goal",ET$8&gt;=$G47,ET$8&lt;=$G47+$H47-1),2,IF(AND($C47="Milestone",ET$8&gt;=$G47,ET$8&lt;=$G47+$H47-1),1,""))</f>
        <v/>
      </c>
      <c r="EU47" s="69" t="str">
        <f ca="1">IF(AND($C47="Goal",EU$8&gt;=$G47,EU$8&lt;=$G47+$H47-1),2,IF(AND($C47="Milestone",EU$8&gt;=$G47,EU$8&lt;=$G47+$H47-1),1,""))</f>
        <v/>
      </c>
      <c r="EV47" s="69" t="str">
        <f ca="1">IF(AND($C47="Goal",EV$8&gt;=$G47,EV$8&lt;=$G47+$H47-1),2,IF(AND($C47="Milestone",EV$8&gt;=$G47,EV$8&lt;=$G47+$H47-1),1,""))</f>
        <v/>
      </c>
      <c r="EW47" s="69" t="str">
        <f ca="1">IF(AND($C47="Goal",EW$8&gt;=$G47,EW$8&lt;=$G47+$H47-1),2,IF(AND($C47="Milestone",EW$8&gt;=$G47,EW$8&lt;=$G47+$H47-1),1,""))</f>
        <v/>
      </c>
      <c r="EX47" s="69" t="str">
        <f ca="1">IF(AND($C47="Goal",EX$8&gt;=$G47,EX$8&lt;=$G47+$H47-1),2,IF(AND($C47="Milestone",EX$8&gt;=$G47,EX$8&lt;=$G47+$H47-1),1,""))</f>
        <v/>
      </c>
      <c r="EY47" s="69" t="str">
        <f ca="1">IF(AND($C47="Goal",EY$8&gt;=$G47,EY$8&lt;=$G47+$H47-1),2,IF(AND($C47="Milestone",EY$8&gt;=$G47,EY$8&lt;=$G47+$H47-1),1,""))</f>
        <v/>
      </c>
      <c r="EZ47" s="69" t="str">
        <f ca="1">IF(AND($C47="Goal",EZ$8&gt;=$G47,EZ$8&lt;=$G47+$H47-1),2,IF(AND($C47="Milestone",EZ$8&gt;=$G47,EZ$8&lt;=$G47+$H47-1),1,""))</f>
        <v/>
      </c>
      <c r="FA47" s="69" t="str">
        <f ca="1">IF(AND($C47="Goal",FA$8&gt;=$G47,FA$8&lt;=$G47+$H47-1),2,IF(AND($C47="Milestone",FA$8&gt;=$G47,FA$8&lt;=$G47+$H47-1),1,""))</f>
        <v/>
      </c>
      <c r="FB47" s="69" t="str">
        <f ca="1">IF(AND($C47="Goal",FB$8&gt;=$G47,FB$8&lt;=$G47+$H47-1),2,IF(AND($C47="Milestone",FB$8&gt;=$G47,FB$8&lt;=$G47+$H47-1),1,""))</f>
        <v/>
      </c>
      <c r="FC47" s="69" t="str">
        <f ca="1">IF(AND($C47="Goal",FC$8&gt;=$G47,FC$8&lt;=$G47+$H47-1),2,IF(AND($C47="Milestone",FC$8&gt;=$G47,FC$8&lt;=$G47+$H47-1),1,""))</f>
        <v/>
      </c>
      <c r="FD47" s="69" t="str">
        <f ca="1">IF(AND($C47="Goal",FD$8&gt;=$G47,FD$8&lt;=$G47+$H47-1),2,IF(AND($C47="Milestone",FD$8&gt;=$G47,FD$8&lt;=$G47+$H47-1),1,""))</f>
        <v/>
      </c>
      <c r="FE47" s="69" t="str">
        <f ca="1">IF(AND($C47="Goal",FE$8&gt;=$G47,FE$8&lt;=$G47+$H47-1),2,IF(AND($C47="Milestone",FE$8&gt;=$G47,FE$8&lt;=$G47+$H47-1),1,""))</f>
        <v/>
      </c>
      <c r="FF47" s="69" t="str">
        <f ca="1">IF(AND($C47="Goal",FF$8&gt;=$G47,FF$8&lt;=$G47+$H47-1),2,IF(AND($C47="Milestone",FF$8&gt;=$G47,FF$8&lt;=$G47+$H47-1),1,""))</f>
        <v/>
      </c>
      <c r="FG47" s="69" t="str">
        <f ca="1">IF(AND($C47="Goal",FG$8&gt;=$G47,FG$8&lt;=$G47+$H47-1),2,IF(AND($C47="Milestone",FG$8&gt;=$G47,FG$8&lt;=$G47+$H47-1),1,""))</f>
        <v/>
      </c>
      <c r="FH47" s="69" t="str">
        <f ca="1">IF(AND($C47="Goal",FH$8&gt;=$G47,FH$8&lt;=$G47+$H47-1),2,IF(AND($C47="Milestone",FH$8&gt;=$G47,FH$8&lt;=$G47+$H47-1),1,""))</f>
        <v/>
      </c>
      <c r="FI47" s="69" t="str">
        <f ca="1">IF(AND($C47="Goal",FI$8&gt;=$G47,FI$8&lt;=$G47+$H47-1),2,IF(AND($C47="Milestone",FI$8&gt;=$G47,FI$8&lt;=$G47+$H47-1),1,""))</f>
        <v/>
      </c>
      <c r="FJ47" s="69" t="str">
        <f ca="1">IF(AND($C47="Goal",FJ$8&gt;=$G47,FJ$8&lt;=$G47+$H47-1),2,IF(AND($C47="Milestone",FJ$8&gt;=$G47,FJ$8&lt;=$G47+$H47-1),1,""))</f>
        <v/>
      </c>
      <c r="FK47" s="69" t="str">
        <f ca="1">IF(AND($C47="Goal",FK$8&gt;=$G47,FK$8&lt;=$G47+$H47-1),2,IF(AND($C47="Milestone",FK$8&gt;=$G47,FK$8&lt;=$G47+$H47-1),1,""))</f>
        <v/>
      </c>
      <c r="FL47" s="69" t="str">
        <f ca="1">IF(AND($C47="Goal",FL$8&gt;=$G47,FL$8&lt;=$G47+$H47-1),2,IF(AND($C47="Milestone",FL$8&gt;=$G47,FL$8&lt;=$G47+$H47-1),1,""))</f>
        <v/>
      </c>
      <c r="FM47" s="69" t="str">
        <f ca="1">IF(AND($C47="Goal",FM$8&gt;=$G47,FM$8&lt;=$G47+$H47-1),2,IF(AND($C47="Milestone",FM$8&gt;=$G47,FM$8&lt;=$G47+$H47-1),1,""))</f>
        <v/>
      </c>
      <c r="FN47" s="69" t="str">
        <f ca="1">IF(AND($C47="Goal",FN$8&gt;=$G47,FN$8&lt;=$G47+$H47-1),2,IF(AND($C47="Milestone",FN$8&gt;=$G47,FN$8&lt;=$G47+$H47-1),1,""))</f>
        <v/>
      </c>
      <c r="FO47" s="69" t="str">
        <f ca="1">IF(AND($C47="Goal",FO$8&gt;=$G47,FO$8&lt;=$G47+$H47-1),2,IF(AND($C47="Milestone",FO$8&gt;=$G47,FO$8&lt;=$G47+$H47-1),1,""))</f>
        <v/>
      </c>
      <c r="FP47" s="69" t="str">
        <f ca="1">IF(AND($C47="Goal",FP$8&gt;=$G47,FP$8&lt;=$G47+$H47-1),2,IF(AND($C47="Milestone",FP$8&gt;=$G47,FP$8&lt;=$G47+$H47-1),1,""))</f>
        <v/>
      </c>
      <c r="FQ47" s="69" t="str">
        <f ca="1">IF(AND($C47="Goal",FQ$8&gt;=$G47,FQ$8&lt;=$G47+$H47-1),2,IF(AND($C47="Milestone",FQ$8&gt;=$G47,FQ$8&lt;=$G47+$H47-1),1,""))</f>
        <v/>
      </c>
      <c r="FR47" s="69" t="str">
        <f ca="1">IF(AND($C47="Goal",FR$8&gt;=$G47,FR$8&lt;=$G47+$H47-1),2,IF(AND($C47="Milestone",FR$8&gt;=$G47,FR$8&lt;=$G47+$H47-1),1,""))</f>
        <v/>
      </c>
      <c r="FS47" s="69" t="str">
        <f ca="1">IF(AND($C47="Goal",FS$8&gt;=$G47,FS$8&lt;=$G47+$H47-1),2,IF(AND($C47="Milestone",FS$8&gt;=$G47,FS$8&lt;=$G47+$H47-1),1,""))</f>
        <v/>
      </c>
      <c r="FT47" s="69" t="str">
        <f ca="1">IF(AND($C47="Goal",FT$8&gt;=$G47,FT$8&lt;=$G47+$H47-1),2,IF(AND($C47="Milestone",FT$8&gt;=$G47,FT$8&lt;=$G47+$H47-1),1,""))</f>
        <v/>
      </c>
      <c r="FU47" s="69" t="str">
        <f ca="1">IF(AND($C47="Goal",FU$8&gt;=$G47,FU$8&lt;=$G47+$H47-1),2,IF(AND($C47="Milestone",FU$8&gt;=$G47,FU$8&lt;=$G47+$H47-1),1,""))</f>
        <v/>
      </c>
      <c r="FV47" s="69" t="str">
        <f ca="1">IF(AND($C47="Goal",FV$8&gt;=$G47,FV$8&lt;=$G47+$H47-1),2,IF(AND($C47="Milestone",FV$8&gt;=$G47,FV$8&lt;=$G47+$H47-1),1,""))</f>
        <v/>
      </c>
      <c r="FW47" s="69" t="str">
        <f ca="1">IF(AND($C47="Goal",FW$8&gt;=$G47,FW$8&lt;=$G47+$H47-1),2,IF(AND($C47="Milestone",FW$8&gt;=$G47,FW$8&lt;=$G47+$H47-1),1,""))</f>
        <v/>
      </c>
      <c r="FX47" s="69" t="str">
        <f ca="1">IF(AND($C47="Goal",FX$8&gt;=$G47,FX$8&lt;=$G47+$H47-1),2,IF(AND($C47="Milestone",FX$8&gt;=$G47,FX$8&lt;=$G47+$H47-1),1,""))</f>
        <v/>
      </c>
      <c r="FY47" s="69" t="str">
        <f ca="1">IF(AND($C47="Goal",FY$8&gt;=$G47,FY$8&lt;=$G47+$H47-1),2,IF(AND($C47="Milestone",FY$8&gt;=$G47,FY$8&lt;=$G47+$H47-1),1,""))</f>
        <v/>
      </c>
      <c r="FZ47" s="69" t="str">
        <f ca="1">IF(AND($C47="Goal",FZ$8&gt;=$G47,FZ$8&lt;=$G47+$H47-1),2,IF(AND($C47="Milestone",FZ$8&gt;=$G47,FZ$8&lt;=$G47+$H47-1),1,""))</f>
        <v/>
      </c>
      <c r="GA47" s="69" t="str">
        <f ca="1">IF(AND($C47="Goal",GA$8&gt;=$G47,GA$8&lt;=$G47+$H47-1),2,IF(AND($C47="Milestone",GA$8&gt;=$G47,GA$8&lt;=$G47+$H47-1),1,""))</f>
        <v/>
      </c>
      <c r="GB47" s="69" t="str">
        <f ca="1">IF(AND($C47="Goal",GB$8&gt;=$G47,GB$8&lt;=$G47+$H47-1),2,IF(AND($C47="Milestone",GB$8&gt;=$G47,GB$8&lt;=$G47+$H47-1),1,""))</f>
        <v/>
      </c>
      <c r="GC47" s="69" t="str">
        <f ca="1">IF(AND($C47="Goal",GC$8&gt;=$G47,GC$8&lt;=$G47+$H47-1),2,IF(AND($C47="Milestone",GC$8&gt;=$G47,GC$8&lt;=$G47+$H47-1),1,""))</f>
        <v/>
      </c>
      <c r="GD47" s="69" t="str">
        <f ca="1">IF(AND($C47="Goal",GD$8&gt;=$G47,GD$8&lt;=$G47+$H47-1),2,IF(AND($C47="Milestone",GD$8&gt;=$G47,GD$8&lt;=$G47+$H47-1),1,""))</f>
        <v/>
      </c>
      <c r="GE47" s="69" t="str">
        <f ca="1">IF(AND($C47="Goal",GE$8&gt;=$G47,GE$8&lt;=$G47+$H47-1),2,IF(AND($C47="Milestone",GE$8&gt;=$G47,GE$8&lt;=$G47+$H47-1),1,""))</f>
        <v/>
      </c>
      <c r="GF47" s="69" t="str">
        <f ca="1">IF(AND($C47="Goal",GF$8&gt;=$G47,GF$8&lt;=$G47+$H47-1),2,IF(AND($C47="Milestone",GF$8&gt;=$G47,GF$8&lt;=$G47+$H47-1),1,""))</f>
        <v/>
      </c>
      <c r="GG47" s="69" t="str">
        <f ca="1">IF(AND($C47="Goal",GG$8&gt;=$G47,GG$8&lt;=$G47+$H47-1),2,IF(AND($C47="Milestone",GG$8&gt;=$G47,GG$8&lt;=$G47+$H47-1),1,""))</f>
        <v/>
      </c>
      <c r="GH47" s="69" t="str">
        <f ca="1">IF(AND($C47="Goal",GH$8&gt;=$G47,GH$8&lt;=$G47+$H47-1),2,IF(AND($C47="Milestone",GH$8&gt;=$G47,GH$8&lt;=$G47+$H47-1),1,""))</f>
        <v/>
      </c>
      <c r="GI47" s="69" t="str">
        <f ca="1">IF(AND($C47="Goal",GI$8&gt;=$G47,GI$8&lt;=$G47+$H47-1),2,IF(AND($C47="Milestone",GI$8&gt;=$G47,GI$8&lt;=$G47+$H47-1),1,""))</f>
        <v/>
      </c>
      <c r="GJ47" s="69" t="str">
        <f ca="1">IF(AND($C47="Goal",GJ$8&gt;=$G47,GJ$8&lt;=$G47+$H47-1),2,IF(AND($C47="Milestone",GJ$8&gt;=$G47,GJ$8&lt;=$G47+$H47-1),1,""))</f>
        <v/>
      </c>
      <c r="GK47" s="69" t="str">
        <f ca="1">IF(AND($C47="Goal",GK$8&gt;=$G47,GK$8&lt;=$G47+$H47-1),2,IF(AND($C47="Milestone",GK$8&gt;=$G47,GK$8&lt;=$G47+$H47-1),1,""))</f>
        <v/>
      </c>
      <c r="GL47" s="69" t="str">
        <f ca="1">IF(AND($C47="Goal",GL$8&gt;=$G47,GL$8&lt;=$G47+$H47-1),2,IF(AND($C47="Milestone",GL$8&gt;=$G47,GL$8&lt;=$G47+$H47-1),1,""))</f>
        <v/>
      </c>
      <c r="GM47" s="69" t="str">
        <f ca="1">IF(AND($C47="Goal",GM$8&gt;=$G47,GM$8&lt;=$G47+$H47-1),2,IF(AND($C47="Milestone",GM$8&gt;=$G47,GM$8&lt;=$G47+$H47-1),1,""))</f>
        <v/>
      </c>
      <c r="GN47" s="69" t="str">
        <f ca="1">IF(AND($C47="Goal",GN$8&gt;=$G47,GN$8&lt;=$G47+$H47-1),2,IF(AND($C47="Milestone",GN$8&gt;=$G47,GN$8&lt;=$G47+$H47-1),1,""))</f>
        <v/>
      </c>
      <c r="GO47" s="69" t="str">
        <f ca="1">IF(AND($C47="Goal",GO$8&gt;=$G47,GO$8&lt;=$G47+$H47-1),2,IF(AND($C47="Milestone",GO$8&gt;=$G47,GO$8&lt;=$G47+$H47-1),1,""))</f>
        <v/>
      </c>
      <c r="GP47" s="69" t="str">
        <f ca="1">IF(AND($C47="Goal",GP$8&gt;=$G47,GP$8&lt;=$G47+$H47-1),2,IF(AND($C47="Milestone",GP$8&gt;=$G47,GP$8&lt;=$G47+$H47-1),1,""))</f>
        <v/>
      </c>
      <c r="GQ47" s="69" t="str">
        <f ca="1">IF(AND($C47="Goal",GQ$8&gt;=$G47,GQ$8&lt;=$G47+$H47-1),2,IF(AND($C47="Milestone",GQ$8&gt;=$G47,GQ$8&lt;=$G47+$H47-1),1,""))</f>
        <v/>
      </c>
      <c r="GR47" s="69" t="str">
        <f ca="1">IF(AND($C47="Goal",GR$8&gt;=$G47,GR$8&lt;=$G47+$H47-1),2,IF(AND($C47="Milestone",GR$8&gt;=$G47,GR$8&lt;=$G47+$H47-1),1,""))</f>
        <v/>
      </c>
      <c r="GS47" s="69" t="str">
        <f ca="1">IF(AND($C47="Goal",GS$8&gt;=$G47,GS$8&lt;=$G47+$H47-1),2,IF(AND($C47="Milestone",GS$8&gt;=$G47,GS$8&lt;=$G47+$H47-1),1,""))</f>
        <v/>
      </c>
      <c r="GT47" s="69" t="str">
        <f ca="1">IF(AND($C47="Goal",GT$8&gt;=$G47,GT$8&lt;=$G47+$H47-1),2,IF(AND($C47="Milestone",GT$8&gt;=$G47,GT$8&lt;=$G47+$H47-1),1,""))</f>
        <v/>
      </c>
      <c r="GU47" s="69" t="str">
        <f ca="1">IF(AND($C47="Goal",GU$8&gt;=$G47,GU$8&lt;=$G47+$H47-1),2,IF(AND($C47="Milestone",GU$8&gt;=$G47,GU$8&lt;=$G47+$H47-1),1,""))</f>
        <v/>
      </c>
      <c r="GV47" s="69" t="str">
        <f ca="1">IF(AND($C47="Goal",GV$8&gt;=$G47,GV$8&lt;=$G47+$H47-1),2,IF(AND($C47="Milestone",GV$8&gt;=$G47,GV$8&lt;=$G47+$H47-1),1,""))</f>
        <v/>
      </c>
      <c r="GW47" s="69" t="str">
        <f ca="1">IF(AND($C47="Goal",GW$8&gt;=$G47,GW$8&lt;=$G47+$H47-1),2,IF(AND($C47="Milestone",GW$8&gt;=$G47,GW$8&lt;=$G47+$H47-1),1,""))</f>
        <v/>
      </c>
      <c r="GX47" s="69" t="str">
        <f ca="1">IF(AND($C47="Goal",GX$8&gt;=$G47,GX$8&lt;=$G47+$H47-1),2,IF(AND($C47="Milestone",GX$8&gt;=$G47,GX$8&lt;=$G47+$H47-1),1,""))</f>
        <v/>
      </c>
      <c r="GY47" s="69" t="str">
        <f ca="1">IF(AND($C47="Goal",GY$8&gt;=$G47,GY$8&lt;=$G47+$H47-1),2,IF(AND($C47="Milestone",GY$8&gt;=$G47,GY$8&lt;=$G47+$H47-1),1,""))</f>
        <v/>
      </c>
      <c r="GZ47" s="69" t="str">
        <f ca="1">IF(AND($C47="Goal",GZ$8&gt;=$G47,GZ$8&lt;=$G47+$H47-1),2,IF(AND($C47="Milestone",GZ$8&gt;=$G47,GZ$8&lt;=$G47+$H47-1),1,""))</f>
        <v/>
      </c>
      <c r="HA47" s="69" t="str">
        <f ca="1">IF(AND($C47="Goal",HA$8&gt;=$G47,HA$8&lt;=$G47+$H47-1),2,IF(AND($C47="Milestone",HA$8&gt;=$G47,HA$8&lt;=$G47+$H47-1),1,""))</f>
        <v/>
      </c>
      <c r="HB47" s="69" t="str">
        <f ca="1">IF(AND($C47="Goal",HB$8&gt;=$G47,HB$8&lt;=$G47+$H47-1),2,IF(AND($C47="Milestone",HB$8&gt;=$G47,HB$8&lt;=$G47+$H47-1),1,""))</f>
        <v/>
      </c>
      <c r="HC47" s="69" t="str">
        <f ca="1">IF(AND($C47="Goal",HC$8&gt;=$G47,HC$8&lt;=$G47+$H47-1),2,IF(AND($C47="Milestone",HC$8&gt;=$G47,HC$8&lt;=$G47+$H47-1),1,""))</f>
        <v/>
      </c>
      <c r="HD47" s="69" t="str">
        <f ca="1">IF(AND($C47="Goal",HD$8&gt;=$G47,HD$8&lt;=$G47+$H47-1),2,IF(AND($C47="Milestone",HD$8&gt;=$G47,HD$8&lt;=$G47+$H47-1),1,""))</f>
        <v/>
      </c>
      <c r="HE47" s="69" t="str">
        <f ca="1">IF(AND($C47="Goal",HE$8&gt;=$G47,HE$8&lt;=$G47+$H47-1),2,IF(AND($C47="Milestone",HE$8&gt;=$G47,HE$8&lt;=$G47+$H47-1),1,""))</f>
        <v/>
      </c>
      <c r="HF47" s="69" t="str">
        <f ca="1">IF(AND($C47="Goal",HF$8&gt;=$G47,HF$8&lt;=$G47+$H47-1),2,IF(AND($C47="Milestone",HF$8&gt;=$G47,HF$8&lt;=$G47+$H47-1),1,""))</f>
        <v/>
      </c>
      <c r="HG47" s="69" t="str">
        <f ca="1">IF(AND($C47="Goal",HG$8&gt;=$G47,HG$8&lt;=$G47+$H47-1),2,IF(AND($C47="Milestone",HG$8&gt;=$G47,HG$8&lt;=$G47+$H47-1),1,""))</f>
        <v/>
      </c>
      <c r="HH47" s="69" t="str">
        <f ca="1">IF(AND($C47="Goal",HH$8&gt;=$G47,HH$8&lt;=$G47+$H47-1),2,IF(AND($C47="Milestone",HH$8&gt;=$G47,HH$8&lt;=$G47+$H47-1),1,""))</f>
        <v/>
      </c>
      <c r="HI47" s="69" t="str">
        <f ca="1">IF(AND($C47="Goal",HI$8&gt;=$G47,HI$8&lt;=$G47+$H47-1),2,IF(AND($C47="Milestone",HI$8&gt;=$G47,HI$8&lt;=$G47+$H47-1),1,""))</f>
        <v/>
      </c>
      <c r="HJ47" s="69" t="str">
        <f ca="1">IF(AND($C47="Goal",HJ$8&gt;=$G47,HJ$8&lt;=$G47+$H47-1),2,IF(AND($C47="Milestone",HJ$8&gt;=$G47,HJ$8&lt;=$G47+$H47-1),1,""))</f>
        <v/>
      </c>
      <c r="HK47" s="69" t="str">
        <f ca="1">IF(AND($C47="Goal",HK$8&gt;=$G47,HK$8&lt;=$G47+$H47-1),2,IF(AND($C47="Milestone",HK$8&gt;=$G47,HK$8&lt;=$G47+$H47-1),1,""))</f>
        <v/>
      </c>
      <c r="HL47" s="69" t="str">
        <f ca="1">IF(AND($C47="Goal",HL$8&gt;=$G47,HL$8&lt;=$G47+$H47-1),2,IF(AND($C47="Milestone",HL$8&gt;=$G47,HL$8&lt;=$G47+$H47-1),1,""))</f>
        <v/>
      </c>
      <c r="HM47" s="69" t="str">
        <f ca="1">IF(AND($C47="Goal",HM$8&gt;=$G47,HM$8&lt;=$G47+$H47-1),2,IF(AND($C47="Milestone",HM$8&gt;=$G47,HM$8&lt;=$G47+$H47-1),1,""))</f>
        <v/>
      </c>
      <c r="HN47" s="69" t="str">
        <f ca="1">IF(AND($C47="Goal",HN$8&gt;=$G47,HN$8&lt;=$G47+$H47-1),2,IF(AND($C47="Milestone",HN$8&gt;=$G47,HN$8&lt;=$G47+$H47-1),1,""))</f>
        <v/>
      </c>
      <c r="HO47" s="69" t="str">
        <f ca="1">IF(AND($C47="Goal",HO$8&gt;=$G47,HO$8&lt;=$G47+$H47-1),2,IF(AND($C47="Milestone",HO$8&gt;=$G47,HO$8&lt;=$G47+$H47-1),1,""))</f>
        <v/>
      </c>
      <c r="HP47" s="69" t="str">
        <f ca="1">IF(AND($C47="Goal",HP$8&gt;=$G47,HP$8&lt;=$G47+$H47-1),2,IF(AND($C47="Milestone",HP$8&gt;=$G47,HP$8&lt;=$G47+$H47-1),1,""))</f>
        <v/>
      </c>
      <c r="HQ47" s="69" t="str">
        <f ca="1">IF(AND($C47="Goal",HQ$8&gt;=$G47,HQ$8&lt;=$G47+$H47-1),2,IF(AND($C47="Milestone",HQ$8&gt;=$G47,HQ$8&lt;=$G47+$H47-1),1,""))</f>
        <v/>
      </c>
      <c r="HR47" s="69" t="str">
        <f ca="1">IF(AND($C47="Goal",HR$8&gt;=$G47,HR$8&lt;=$G47+$H47-1),2,IF(AND($C47="Milestone",HR$8&gt;=$G47,HR$8&lt;=$G47+$H47-1),1,""))</f>
        <v/>
      </c>
      <c r="HS47" s="69" t="str">
        <f ca="1">IF(AND($C47="Goal",HS$8&gt;=$G47,HS$8&lt;=$G47+$H47-1),2,IF(AND($C47="Milestone",HS$8&gt;=$G47,HS$8&lt;=$G47+$H47-1),1,""))</f>
        <v/>
      </c>
      <c r="HT47" s="69" t="str">
        <f ca="1">IF(AND($C47="Goal",HT$8&gt;=$G47,HT$8&lt;=$G47+$H47-1),2,IF(AND($C47="Milestone",HT$8&gt;=$G47,HT$8&lt;=$G47+$H47-1),1,""))</f>
        <v/>
      </c>
      <c r="HU47" s="69" t="str">
        <f ca="1">IF(AND($C47="Goal",HU$8&gt;=$G47,HU$8&lt;=$G47+$H47-1),2,IF(AND($C47="Milestone",HU$8&gt;=$G47,HU$8&lt;=$G47+$H47-1),1,""))</f>
        <v/>
      </c>
      <c r="HV47" s="69" t="str">
        <f ca="1">IF(AND($C47="Goal",HV$8&gt;=$G47,HV$8&lt;=$G47+$H47-1),2,IF(AND($C47="Milestone",HV$8&gt;=$G47,HV$8&lt;=$G47+$H47-1),1,""))</f>
        <v/>
      </c>
      <c r="HW47" s="69" t="str">
        <f ca="1">IF(AND($C47="Goal",HW$8&gt;=$G47,HW$8&lt;=$G47+$H47-1),2,IF(AND($C47="Milestone",HW$8&gt;=$G47,HW$8&lt;=$G47+$H47-1),1,""))</f>
        <v/>
      </c>
      <c r="HX47" s="69" t="str">
        <f ca="1">IF(AND($C47="Goal",HX$8&gt;=$G47,HX$8&lt;=$G47+$H47-1),2,IF(AND($C47="Milestone",HX$8&gt;=$G47,HX$8&lt;=$G47+$H47-1),1,""))</f>
        <v/>
      </c>
      <c r="HY47" s="69" t="str">
        <f ca="1">IF(AND($C47="Goal",HY$8&gt;=$G47,HY$8&lt;=$G47+$H47-1),2,IF(AND($C47="Milestone",HY$8&gt;=$G47,HY$8&lt;=$G47+$H47-1),1,""))</f>
        <v/>
      </c>
      <c r="HZ47" s="69" t="str">
        <f ca="1">IF(AND($C47="Goal",HZ$8&gt;=$G47,HZ$8&lt;=$G47+$H47-1),2,IF(AND($C47="Milestone",HZ$8&gt;=$G47,HZ$8&lt;=$G47+$H47-1),1,""))</f>
        <v/>
      </c>
      <c r="IA47" s="69" t="str">
        <f ca="1">IF(AND($C47="Goal",IA$8&gt;=$G47,IA$8&lt;=$G47+$H47-1),2,IF(AND($C47="Milestone",IA$8&gt;=$G47,IA$8&lt;=$G47+$H47-1),1,""))</f>
        <v/>
      </c>
      <c r="IB47" s="69" t="str">
        <f ca="1">IF(AND($C47="Goal",IB$8&gt;=$G47,IB$8&lt;=$G47+$H47-1),2,IF(AND($C47="Milestone",IB$8&gt;=$G47,IB$8&lt;=$G47+$H47-1),1,""))</f>
        <v/>
      </c>
      <c r="IC47" s="69" t="str">
        <f ca="1">IF(AND($C47="Goal",IC$8&gt;=$G47,IC$8&lt;=$G47+$H47-1),2,IF(AND($C47="Milestone",IC$8&gt;=$G47,IC$8&lt;=$G47+$H47-1),1,""))</f>
        <v/>
      </c>
      <c r="ID47" s="69" t="str">
        <f ca="1">IF(AND($C47="Goal",ID$8&gt;=$G47,ID$8&lt;=$G47+$H47-1),2,IF(AND($C47="Milestone",ID$8&gt;=$G47,ID$8&lt;=$G47+$H47-1),1,""))</f>
        <v/>
      </c>
      <c r="IE47" s="69" t="str">
        <f ca="1">IF(AND($C47="Goal",IE$8&gt;=$G47,IE$8&lt;=$G47+$H47-1),2,IF(AND($C47="Milestone",IE$8&gt;=$G47,IE$8&lt;=$G47+$H47-1),1,""))</f>
        <v/>
      </c>
      <c r="IF47" s="69" t="str">
        <f ca="1">IF(AND($C47="Goal",IF$8&gt;=$G47,IF$8&lt;=$G47+$H47-1),2,IF(AND($C47="Milestone",IF$8&gt;=$G47,IF$8&lt;=$G47+$H47-1),1,""))</f>
        <v/>
      </c>
      <c r="IG47" s="69" t="str">
        <f ca="1">IF(AND($C47="Goal",IG$8&gt;=$G47,IG$8&lt;=$G47+$H47-1),2,IF(AND($C47="Milestone",IG$8&gt;=$G47,IG$8&lt;=$G47+$H47-1),1,""))</f>
        <v/>
      </c>
      <c r="IH47" s="69" t="str">
        <f ca="1">IF(AND($C47="Goal",IH$8&gt;=$G47,IH$8&lt;=$G47+$H47-1),2,IF(AND($C47="Milestone",IH$8&gt;=$G47,IH$8&lt;=$G47+$H47-1),1,""))</f>
        <v/>
      </c>
      <c r="II47" s="69" t="str">
        <f ca="1">IF(AND($C47="Goal",II$8&gt;=$G47,II$8&lt;=$G47+$H47-1),2,IF(AND($C47="Milestone",II$8&gt;=$G47,II$8&lt;=$G47+$H47-1),1,""))</f>
        <v/>
      </c>
      <c r="IJ47" s="69" t="str">
        <f ca="1">IF(AND($C47="Goal",IJ$8&gt;=$G47,IJ$8&lt;=$G47+$H47-1),2,IF(AND($C47="Milestone",IJ$8&gt;=$G47,IJ$8&lt;=$G47+$H47-1),1,""))</f>
        <v/>
      </c>
      <c r="IK47" s="69" t="str">
        <f ca="1">IF(AND($C47="Goal",IK$8&gt;=$G47,IK$8&lt;=$G47+$H47-1),2,IF(AND($C47="Milestone",IK$8&gt;=$G47,IK$8&lt;=$G47+$H47-1),1,""))</f>
        <v/>
      </c>
      <c r="IL47" s="69" t="str">
        <f ca="1">IF(AND($C47="Goal",IL$8&gt;=$G47,IL$8&lt;=$G47+$H47-1),2,IF(AND($C47="Milestone",IL$8&gt;=$G47,IL$8&lt;=$G47+$H47-1),1,""))</f>
        <v/>
      </c>
      <c r="IM47" s="69" t="str">
        <f ca="1">IF(AND($C47="Goal",IM$8&gt;=$G47,IM$8&lt;=$G47+$H47-1),2,IF(AND($C47="Milestone",IM$8&gt;=$G47,IM$8&lt;=$G47+$H47-1),1,""))</f>
        <v/>
      </c>
      <c r="IN47" s="69" t="str">
        <f ca="1">IF(AND($C47="Goal",IN$8&gt;=$G47,IN$8&lt;=$G47+$H47-1),2,IF(AND($C47="Milestone",IN$8&gt;=$G47,IN$8&lt;=$G47+$H47-1),1,""))</f>
        <v/>
      </c>
      <c r="IO47" s="69" t="str">
        <f ca="1">IF(AND($C47="Goal",IO$8&gt;=$G47,IO$8&lt;=$G47+$H47-1),2,IF(AND($C47="Milestone",IO$8&gt;=$G47,IO$8&lt;=$G47+$H47-1),1,""))</f>
        <v/>
      </c>
      <c r="IP47" s="69" t="str">
        <f ca="1">IF(AND($C47="Goal",IP$8&gt;=$G47,IP$8&lt;=$G47+$H47-1),2,IF(AND($C47="Milestone",IP$8&gt;=$G47,IP$8&lt;=$G47+$H47-1),1,""))</f>
        <v/>
      </c>
      <c r="IQ47" s="69" t="str">
        <f ca="1">IF(AND($C47="Goal",IQ$8&gt;=$G47,IQ$8&lt;=$G47+$H47-1),2,IF(AND($C47="Milestone",IQ$8&gt;=$G47,IQ$8&lt;=$G47+$H47-1),1,""))</f>
        <v/>
      </c>
      <c r="IR47" s="69" t="str">
        <f ca="1">IF(AND($C47="Goal",IR$8&gt;=$G47,IR$8&lt;=$G47+$H47-1),2,IF(AND($C47="Milestone",IR$8&gt;=$G47,IR$8&lt;=$G47+$H47-1),1,""))</f>
        <v/>
      </c>
      <c r="IS47" s="69" t="str">
        <f ca="1">IF(AND($C47="Goal",IS$8&gt;=$G47,IS$8&lt;=$G47+$H47-1),2,IF(AND($C47="Milestone",IS$8&gt;=$G47,IS$8&lt;=$G47+$H47-1),1,""))</f>
        <v/>
      </c>
      <c r="IT47" s="69" t="str">
        <f ca="1">IF(AND($C47="Goal",IT$8&gt;=$G47,IT$8&lt;=$G47+$H47-1),2,IF(AND($C47="Milestone",IT$8&gt;=$G47,IT$8&lt;=$G47+$H47-1),1,""))</f>
        <v/>
      </c>
      <c r="IU47" s="69" t="str">
        <f ca="1">IF(AND($C47="Goal",IU$8&gt;=$G47,IU$8&lt;=$G47+$H47-1),2,IF(AND($C47="Milestone",IU$8&gt;=$G47,IU$8&lt;=$G47+$H47-1),1,""))</f>
        <v/>
      </c>
      <c r="IV47" s="69" t="str">
        <f ca="1">IF(AND($C47="Goal",IV$8&gt;=$G47,IV$8&lt;=$G47+$H47-1),2,IF(AND($C47="Milestone",IV$8&gt;=$G47,IV$8&lt;=$G47+$H47-1),1,""))</f>
        <v/>
      </c>
      <c r="IW47" s="69" t="str">
        <f ca="1">IF(AND($C47="Goal",IW$8&gt;=$G47,IW$8&lt;=$G47+$H47-1),2,IF(AND($C47="Milestone",IW$8&gt;=$G47,IW$8&lt;=$G47+$H47-1),1,""))</f>
        <v/>
      </c>
      <c r="IX47" s="69" t="str">
        <f ca="1">IF(AND($C47="Goal",IX$8&gt;=$G47,IX$8&lt;=$G47+$H47-1),2,IF(AND($C47="Milestone",IX$8&gt;=$G47,IX$8&lt;=$G47+$H47-1),1,""))</f>
        <v/>
      </c>
      <c r="IY47" s="69" t="str">
        <f ca="1">IF(AND($C47="Goal",IY$8&gt;=$G47,IY$8&lt;=$G47+$H47-1),2,IF(AND($C47="Milestone",IY$8&gt;=$G47,IY$8&lt;=$G47+$H47-1),1,""))</f>
        <v/>
      </c>
      <c r="IZ47" s="69" t="str">
        <f ca="1">IF(AND($C47="Goal",IZ$8&gt;=$G47,IZ$8&lt;=$G47+$H47-1),2,IF(AND($C47="Milestone",IZ$8&gt;=$G47,IZ$8&lt;=$G47+$H47-1),1,""))</f>
        <v/>
      </c>
      <c r="JA47" s="69" t="str">
        <f ca="1">IF(AND($C47="Goal",JA$8&gt;=$G47,JA$8&lt;=$G47+$H47-1),2,IF(AND($C47="Milestone",JA$8&gt;=$G47,JA$8&lt;=$G47+$H47-1),1,""))</f>
        <v/>
      </c>
      <c r="JB47" s="69" t="str">
        <f ca="1">IF(AND($C47="Goal",JB$8&gt;=$G47,JB$8&lt;=$G47+$H47-1),2,IF(AND($C47="Milestone",JB$8&gt;=$G47,JB$8&lt;=$G47+$H47-1),1,""))</f>
        <v/>
      </c>
      <c r="JC47" s="69" t="str">
        <f ca="1">IF(AND($C47="Goal",JC$8&gt;=$G47,JC$8&lt;=$G47+$H47-1),2,IF(AND($C47="Milestone",JC$8&gt;=$G47,JC$8&lt;=$G47+$H47-1),1,""))</f>
        <v/>
      </c>
      <c r="JD47" s="69" t="str">
        <f ca="1">IF(AND($C47="Goal",JD$8&gt;=$G47,JD$8&lt;=$G47+$H47-1),2,IF(AND($C47="Milestone",JD$8&gt;=$G47,JD$8&lt;=$G47+$H47-1),1,""))</f>
        <v/>
      </c>
      <c r="JE47" s="69" t="str">
        <f ca="1">IF(AND($C47="Goal",JE$8&gt;=$G47,JE$8&lt;=$G47+$H47-1),2,IF(AND($C47="Milestone",JE$8&gt;=$G47,JE$8&lt;=$G47+$H47-1),1,""))</f>
        <v/>
      </c>
      <c r="JF47" s="69" t="str">
        <f ca="1">IF(AND($C47="Goal",JF$8&gt;=$G47,JF$8&lt;=$G47+$H47-1),2,IF(AND($C47="Milestone",JF$8&gt;=$G47,JF$8&lt;=$G47+$H47-1),1,""))</f>
        <v/>
      </c>
      <c r="JG47" s="69" t="str">
        <f ca="1">IF(AND($C47="Goal",JG$8&gt;=$G47,JG$8&lt;=$G47+$H47-1),2,IF(AND($C47="Milestone",JG$8&gt;=$G47,JG$8&lt;=$G47+$H47-1),1,""))</f>
        <v/>
      </c>
      <c r="JH47" s="69" t="str">
        <f ca="1">IF(AND($C47="Goal",JH$8&gt;=$G47,JH$8&lt;=$G47+$H47-1),2,IF(AND($C47="Milestone",JH$8&gt;=$G47,JH$8&lt;=$G47+$H47-1),1,""))</f>
        <v/>
      </c>
      <c r="JI47" s="69" t="str">
        <f ca="1">IF(AND($C47="Goal",JI$8&gt;=$G47,JI$8&lt;=$G47+$H47-1),2,IF(AND($C47="Milestone",JI$8&gt;=$G47,JI$8&lt;=$G47+$H47-1),1,""))</f>
        <v/>
      </c>
      <c r="JJ47" s="69" t="str">
        <f ca="1">IF(AND($C47="Goal",JJ$8&gt;=$G47,JJ$8&lt;=$G47+$H47-1),2,IF(AND($C47="Milestone",JJ$8&gt;=$G47,JJ$8&lt;=$G47+$H47-1),1,""))</f>
        <v/>
      </c>
      <c r="JK47" s="69" t="str">
        <f ca="1">IF(AND($C47="Goal",JK$8&gt;=$G47,JK$8&lt;=$G47+$H47-1),2,IF(AND($C47="Milestone",JK$8&gt;=$G47,JK$8&lt;=$G47+$H47-1),1,""))</f>
        <v/>
      </c>
      <c r="JL47" s="69" t="str">
        <f ca="1">IF(AND($C47="Goal",JL$8&gt;=$G47,JL$8&lt;=$G47+$H47-1),2,IF(AND($C47="Milestone",JL$8&gt;=$G47,JL$8&lt;=$G47+$H47-1),1,""))</f>
        <v/>
      </c>
      <c r="JM47" s="69" t="str">
        <f ca="1">IF(AND($C47="Goal",JM$8&gt;=$G47,JM$8&lt;=$G47+$H47-1),2,IF(AND($C47="Milestone",JM$8&gt;=$G47,JM$8&lt;=$G47+$H47-1),1,""))</f>
        <v/>
      </c>
      <c r="JN47" s="69" t="str">
        <f ca="1">IF(AND($C47="Goal",JN$8&gt;=$G47,JN$8&lt;=$G47+$H47-1),2,IF(AND($C47="Milestone",JN$8&gt;=$G47,JN$8&lt;=$G47+$H47-1),1,""))</f>
        <v/>
      </c>
      <c r="JO47" s="69" t="str">
        <f ca="1">IF(AND($C47="Goal",JO$8&gt;=$G47,JO$8&lt;=$G47+$H47-1),2,IF(AND($C47="Milestone",JO$8&gt;=$G47,JO$8&lt;=$G47+$H47-1),1,""))</f>
        <v/>
      </c>
      <c r="JP47" s="69" t="str">
        <f ca="1">IF(AND($C47="Goal",JP$8&gt;=$G47,JP$8&lt;=$G47+$H47-1),2,IF(AND($C47="Milestone",JP$8&gt;=$G47,JP$8&lt;=$G47+$H47-1),1,""))</f>
        <v/>
      </c>
      <c r="JQ47" s="69" t="str">
        <f ca="1">IF(AND($C47="Goal",JQ$8&gt;=$G47,JQ$8&lt;=$G47+$H47-1),2,IF(AND($C47="Milestone",JQ$8&gt;=$G47,JQ$8&lt;=$G47+$H47-1),1,""))</f>
        <v/>
      </c>
      <c r="JR47" s="69" t="str">
        <f ca="1">IF(AND($C47="Goal",JR$8&gt;=$G47,JR$8&lt;=$G47+$H47-1),2,IF(AND($C47="Milestone",JR$8&gt;=$G47,JR$8&lt;=$G47+$H47-1),1,""))</f>
        <v/>
      </c>
      <c r="JS47" s="69" t="str">
        <f ca="1">IF(AND($C47="Goal",JS$8&gt;=$G47,JS$8&lt;=$G47+$H47-1),2,IF(AND($C47="Milestone",JS$8&gt;=$G47,JS$8&lt;=$G47+$H47-1),1,""))</f>
        <v/>
      </c>
      <c r="JT47" s="69" t="str">
        <f ca="1">IF(AND($C47="Goal",JT$8&gt;=$G47,JT$8&lt;=$G47+$H47-1),2,IF(AND($C47="Milestone",JT$8&gt;=$G47,JT$8&lt;=$G47+$H47-1),1,""))</f>
        <v/>
      </c>
      <c r="JU47" s="69" t="str">
        <f ca="1">IF(AND($C47="Goal",JU$8&gt;=$G47,JU$8&lt;=$G47+$H47-1),2,IF(AND($C47="Milestone",JU$8&gt;=$G47,JU$8&lt;=$G47+$H47-1),1,""))</f>
        <v/>
      </c>
      <c r="JV47" s="69" t="str">
        <f ca="1">IF(AND($C47="Goal",JV$8&gt;=$G47,JV$8&lt;=$G47+$H47-1),2,IF(AND($C47="Milestone",JV$8&gt;=$G47,JV$8&lt;=$G47+$H47-1),1,""))</f>
        <v/>
      </c>
      <c r="JW47" s="69" t="str">
        <f ca="1">IF(AND($C47="Goal",JW$8&gt;=$G47,JW$8&lt;=$G47+$H47-1),2,IF(AND($C47="Milestone",JW$8&gt;=$G47,JW$8&lt;=$G47+$H47-1),1,""))</f>
        <v/>
      </c>
      <c r="JX47" s="69" t="str">
        <f ca="1">IF(AND($C47="Goal",JX$8&gt;=$G47,JX$8&lt;=$G47+$H47-1),2,IF(AND($C47="Milestone",JX$8&gt;=$G47,JX$8&lt;=$G47+$H47-1),1,""))</f>
        <v/>
      </c>
      <c r="JY47" s="69" t="str">
        <f ca="1">IF(AND($C47="Goal",JY$8&gt;=$G47,JY$8&lt;=$G47+$H47-1),2,IF(AND($C47="Milestone",JY$8&gt;=$G47,JY$8&lt;=$G47+$H47-1),1,""))</f>
        <v/>
      </c>
      <c r="JZ47" s="69" t="str">
        <f ca="1">IF(AND($C47="Goal",JZ$8&gt;=$G47,JZ$8&lt;=$G47+$H47-1),2,IF(AND($C47="Milestone",JZ$8&gt;=$G47,JZ$8&lt;=$G47+$H47-1),1,""))</f>
        <v/>
      </c>
      <c r="KA47" s="69" t="str">
        <f ca="1">IF(AND($C47="Goal",KA$8&gt;=$G47,KA$8&lt;=$G47+$H47-1),2,IF(AND($C47="Milestone",KA$8&gt;=$G47,KA$8&lt;=$G47+$H47-1),1,""))</f>
        <v/>
      </c>
      <c r="KB47" s="69" t="str">
        <f ca="1">IF(AND($C47="Goal",KB$8&gt;=$G47,KB$8&lt;=$G47+$H47-1),2,IF(AND($C47="Milestone",KB$8&gt;=$G47,KB$8&lt;=$G47+$H47-1),1,""))</f>
        <v/>
      </c>
      <c r="KC47" s="69" t="str">
        <f ca="1">IF(AND($C47="Goal",KC$8&gt;=$G47,KC$8&lt;=$G47+$H47-1),2,IF(AND($C47="Milestone",KC$8&gt;=$G47,KC$8&lt;=$G47+$H47-1),1,""))</f>
        <v/>
      </c>
      <c r="KD47" s="69" t="str">
        <f ca="1">IF(AND($C47="Goal",KD$8&gt;=$G47,KD$8&lt;=$G47+$H47-1),2,IF(AND($C47="Milestone",KD$8&gt;=$G47,KD$8&lt;=$G47+$H47-1),1,""))</f>
        <v/>
      </c>
      <c r="KE47" s="69" t="str">
        <f ca="1">IF(AND($C47="Goal",KE$8&gt;=$G47,KE$8&lt;=$G47+$H47-1),2,IF(AND($C47="Milestone",KE$8&gt;=$G47,KE$8&lt;=$G47+$H47-1),1,""))</f>
        <v/>
      </c>
      <c r="KF47" s="69" t="str">
        <f ca="1">IF(AND($C47="Goal",KF$8&gt;=$G47,KF$8&lt;=$G47+$H47-1),2,IF(AND($C47="Milestone",KF$8&gt;=$G47,KF$8&lt;=$G47+$H47-1),1,""))</f>
        <v/>
      </c>
      <c r="KG47" s="69" t="str">
        <f ca="1">IF(AND($C47="Goal",KG$8&gt;=$G47,KG$8&lt;=$G47+$H47-1),2,IF(AND($C47="Milestone",KG$8&gt;=$G47,KG$8&lt;=$G47+$H47-1),1,""))</f>
        <v/>
      </c>
      <c r="KH47" s="69" t="str">
        <f ca="1">IF(AND($C47="Goal",KH$8&gt;=$G47,KH$8&lt;=$G47+$H47-1),2,IF(AND($C47="Milestone",KH$8&gt;=$G47,KH$8&lt;=$G47+$H47-1),1,""))</f>
        <v/>
      </c>
      <c r="KI47" s="69" t="str">
        <f ca="1">IF(AND($C47="Goal",KI$8&gt;=$G47,KI$8&lt;=$G47+$H47-1),2,IF(AND($C47="Milestone",KI$8&gt;=$G47,KI$8&lt;=$G47+$H47-1),1,""))</f>
        <v/>
      </c>
      <c r="KJ47" s="69" t="str">
        <f ca="1">IF(AND($C47="Goal",KJ$8&gt;=$G47,KJ$8&lt;=$G47+$H47-1),2,IF(AND($C47="Milestone",KJ$8&gt;=$G47,KJ$8&lt;=$G47+$H47-1),1,""))</f>
        <v/>
      </c>
      <c r="KK47" s="69" t="str">
        <f ca="1">IF(AND($C47="Goal",KK$8&gt;=$G47,KK$8&lt;=$G47+$H47-1),2,IF(AND($C47="Milestone",KK$8&gt;=$G47,KK$8&lt;=$G47+$H47-1),1,""))</f>
        <v/>
      </c>
      <c r="KL47" s="69" t="str">
        <f ca="1">IF(AND($C47="Goal",KL$8&gt;=$G47,KL$8&lt;=$G47+$H47-1),2,IF(AND($C47="Milestone",KL$8&gt;=$G47,KL$8&lt;=$G47+$H47-1),1,""))</f>
        <v/>
      </c>
      <c r="KM47" s="69" t="str">
        <f ca="1">IF(AND($C47="Goal",KM$8&gt;=$G47,KM$8&lt;=$G47+$H47-1),2,IF(AND($C47="Milestone",KM$8&gt;=$G47,KM$8&lt;=$G47+$H47-1),1,""))</f>
        <v/>
      </c>
      <c r="KN47" s="69" t="str">
        <f ca="1">IF(AND($C47="Goal",KN$8&gt;=$G47,KN$8&lt;=$G47+$H47-1),2,IF(AND($C47="Milestone",KN$8&gt;=$G47,KN$8&lt;=$G47+$H47-1),1,""))</f>
        <v/>
      </c>
      <c r="KO47" s="69" t="str">
        <f ca="1">IF(AND($C47="Goal",KO$8&gt;=$G47,KO$8&lt;=$G47+$H47-1),2,IF(AND($C47="Milestone",KO$8&gt;=$G47,KO$8&lt;=$G47+$H47-1),1,""))</f>
        <v/>
      </c>
      <c r="KP47" s="69" t="str">
        <f ca="1">IF(AND($C47="Goal",KP$8&gt;=$G47,KP$8&lt;=$G47+$H47-1),2,IF(AND($C47="Milestone",KP$8&gt;=$G47,KP$8&lt;=$G47+$H47-1),1,""))</f>
        <v/>
      </c>
      <c r="KQ47" s="69" t="str">
        <f ca="1">IF(AND($C47="Goal",KQ$8&gt;=$G47,KQ$8&lt;=$G47+$H47-1),2,IF(AND($C47="Milestone",KQ$8&gt;=$G47,KQ$8&lt;=$G47+$H47-1),1,""))</f>
        <v/>
      </c>
      <c r="KR47" s="69" t="str">
        <f ca="1">IF(AND($C47="Goal",KR$8&gt;=$G47,KR$8&lt;=$G47+$H47-1),2,IF(AND($C47="Milestone",KR$8&gt;=$G47,KR$8&lt;=$G47+$H47-1),1,""))</f>
        <v/>
      </c>
      <c r="KS47" s="69" t="str">
        <f ca="1">IF(AND($C47="Goal",KS$8&gt;=$G47,KS$8&lt;=$G47+$H47-1),2,IF(AND($C47="Milestone",KS$8&gt;=$G47,KS$8&lt;=$G47+$H47-1),1,""))</f>
        <v/>
      </c>
      <c r="KT47" s="69" t="str">
        <f ca="1">IF(AND($C47="Goal",KT$8&gt;=$G47,KT$8&lt;=$G47+$H47-1),2,IF(AND($C47="Milestone",KT$8&gt;=$G47,KT$8&lt;=$G47+$H47-1),1,""))</f>
        <v/>
      </c>
      <c r="KU47" s="69" t="str">
        <f ca="1">IF(AND($C47="Goal",KU$8&gt;=$G47,KU$8&lt;=$G47+$H47-1),2,IF(AND($C47="Milestone",KU$8&gt;=$G47,KU$8&lt;=$G47+$H47-1),1,""))</f>
        <v/>
      </c>
      <c r="KV47" s="69" t="str">
        <f ca="1">IF(AND($C47="Goal",KV$8&gt;=$G47,KV$8&lt;=$G47+$H47-1),2,IF(AND($C47="Milestone",KV$8&gt;=$G47,KV$8&lt;=$G47+$H47-1),1,""))</f>
        <v/>
      </c>
      <c r="KW47" s="69" t="str">
        <f ca="1">IF(AND($C47="Goal",KW$8&gt;=$G47,KW$8&lt;=$G47+$H47-1),2,IF(AND($C47="Milestone",KW$8&gt;=$G47,KW$8&lt;=$G47+$H47-1),1,""))</f>
        <v/>
      </c>
      <c r="KX47" s="69" t="str">
        <f ca="1">IF(AND($C47="Goal",KX$8&gt;=$G47,KX$8&lt;=$G47+$H47-1),2,IF(AND($C47="Milestone",KX$8&gt;=$G47,KX$8&lt;=$G47+$H47-1),1,""))</f>
        <v/>
      </c>
      <c r="KY47" s="69" t="str">
        <f ca="1">IF(AND($C47="Goal",KY$8&gt;=$G47,KY$8&lt;=$G47+$H47-1),2,IF(AND($C47="Milestone",KY$8&gt;=$G47,KY$8&lt;=$G47+$H47-1),1,""))</f>
        <v/>
      </c>
      <c r="KZ47" s="69" t="str">
        <f ca="1">IF(AND($C47="Goal",KZ$8&gt;=$G47,KZ$8&lt;=$G47+$H47-1),2,IF(AND($C47="Milestone",KZ$8&gt;=$G47,KZ$8&lt;=$G47+$H47-1),1,""))</f>
        <v/>
      </c>
      <c r="LA47" s="69" t="str">
        <f ca="1">IF(AND($C47="Goal",LA$8&gt;=$G47,LA$8&lt;=$G47+$H47-1),2,IF(AND($C47="Milestone",LA$8&gt;=$G47,LA$8&lt;=$G47+$H47-1),1,""))</f>
        <v/>
      </c>
      <c r="LB47" s="69" t="str">
        <f ca="1">IF(AND($C47="Goal",LB$8&gt;=$G47,LB$8&lt;=$G47+$H47-1),2,IF(AND($C47="Milestone",LB$8&gt;=$G47,LB$8&lt;=$G47+$H47-1),1,""))</f>
        <v/>
      </c>
      <c r="LC47" s="69" t="str">
        <f ca="1">IF(AND($C47="Goal",LC$8&gt;=$G47,LC$8&lt;=$G47+$H47-1),2,IF(AND($C47="Milestone",LC$8&gt;=$G47,LC$8&lt;=$G47+$H47-1),1,""))</f>
        <v/>
      </c>
      <c r="LD47" s="69" t="str">
        <f ca="1">IF(AND($C47="Goal",LD$8&gt;=$G47,LD$8&lt;=$G47+$H47-1),2,IF(AND($C47="Milestone",LD$8&gt;=$G47,LD$8&lt;=$G47+$H47-1),1,""))</f>
        <v/>
      </c>
      <c r="LE47" s="69" t="str">
        <f ca="1">IF(AND($C47="Goal",LE$8&gt;=$G47,LE$8&lt;=$G47+$H47-1),2,IF(AND($C47="Milestone",LE$8&gt;=$G47,LE$8&lt;=$G47+$H47-1),1,""))</f>
        <v/>
      </c>
      <c r="LF47" s="69" t="str">
        <f ca="1">IF(AND($C47="Goal",LF$8&gt;=$G47,LF$8&lt;=$G47+$H47-1),2,IF(AND($C47="Milestone",LF$8&gt;=$G47,LF$8&lt;=$G47+$H47-1),1,""))</f>
        <v/>
      </c>
      <c r="LG47" s="69" t="str">
        <f ca="1">IF(AND($C47="Goal",LG$8&gt;=$G47,LG$8&lt;=$G47+$H47-1),2,IF(AND($C47="Milestone",LG$8&gt;=$G47,LG$8&lt;=$G47+$H47-1),1,""))</f>
        <v/>
      </c>
      <c r="LH47" s="69" t="str">
        <f ca="1">IF(AND($C47="Goal",LH$8&gt;=$G47,LH$8&lt;=$G47+$H47-1),2,IF(AND($C47="Milestone",LH$8&gt;=$G47,LH$8&lt;=$G47+$H47-1),1,""))</f>
        <v/>
      </c>
      <c r="LI47" s="69" t="str">
        <f ca="1">IF(AND($C47="Goal",LI$8&gt;=$G47,LI$8&lt;=$G47+$H47-1),2,IF(AND($C47="Milestone",LI$8&gt;=$G47,LI$8&lt;=$G47+$H47-1),1,""))</f>
        <v/>
      </c>
      <c r="LJ47" s="69" t="str">
        <f ca="1">IF(AND($C47="Goal",LJ$8&gt;=$G47,LJ$8&lt;=$G47+$H47-1),2,IF(AND($C47="Milestone",LJ$8&gt;=$G47,LJ$8&lt;=$G47+$H47-1),1,""))</f>
        <v/>
      </c>
      <c r="LK47" s="69" t="str">
        <f ca="1">IF(AND($C47="Goal",LK$8&gt;=$G47,LK$8&lt;=$G47+$H47-1),2,IF(AND($C47="Milestone",LK$8&gt;=$G47,LK$8&lt;=$G47+$H47-1),1,""))</f>
        <v/>
      </c>
      <c r="LL47" s="69" t="str">
        <f ca="1">IF(AND($C47="Goal",LL$8&gt;=$G47,LL$8&lt;=$G47+$H47-1),2,IF(AND($C47="Milestone",LL$8&gt;=$G47,LL$8&lt;=$G47+$H47-1),1,""))</f>
        <v/>
      </c>
      <c r="LM47" s="69" t="str">
        <f ca="1">IF(AND($C47="Goal",LM$8&gt;=$G47,LM$8&lt;=$G47+$H47-1),2,IF(AND($C47="Milestone",LM$8&gt;=$G47,LM$8&lt;=$G47+$H47-1),1,""))</f>
        <v/>
      </c>
      <c r="LN47" s="69" t="str">
        <f ca="1">IF(AND($C47="Goal",LN$8&gt;=$G47,LN$8&lt;=$G47+$H47-1),2,IF(AND($C47="Milestone",LN$8&gt;=$G47,LN$8&lt;=$G47+$H47-1),1,""))</f>
        <v/>
      </c>
      <c r="LO47" s="69" t="str">
        <f ca="1">IF(AND($C47="Goal",LO$8&gt;=$G47,LO$8&lt;=$G47+$H47-1),2,IF(AND($C47="Milestone",LO$8&gt;=$G47,LO$8&lt;=$G47+$H47-1),1,""))</f>
        <v/>
      </c>
      <c r="LP47" s="69" t="str">
        <f ca="1">IF(AND($C47="Goal",LP$8&gt;=$G47,LP$8&lt;=$G47+$H47-1),2,IF(AND($C47="Milestone",LP$8&gt;=$G47,LP$8&lt;=$G47+$H47-1),1,""))</f>
        <v/>
      </c>
      <c r="LQ47" s="69" t="str">
        <f ca="1">IF(AND($C47="Goal",LQ$8&gt;=$G47,LQ$8&lt;=$G47+$H47-1),2,IF(AND($C47="Milestone",LQ$8&gt;=$G47,LQ$8&lt;=$G47+$H47-1),1,""))</f>
        <v/>
      </c>
      <c r="LR47" s="69" t="str">
        <f ca="1">IF(AND($C47="Goal",LR$8&gt;=$G47,LR$8&lt;=$G47+$H47-1),2,IF(AND($C47="Milestone",LR$8&gt;=$G47,LR$8&lt;=$G47+$H47-1),1,""))</f>
        <v/>
      </c>
      <c r="LS47" s="69" t="str">
        <f ca="1">IF(AND($C47="Goal",LS$8&gt;=$G47,LS$8&lt;=$G47+$H47-1),2,IF(AND($C47="Milestone",LS$8&gt;=$G47,LS$8&lt;=$G47+$H47-1),1,""))</f>
        <v/>
      </c>
      <c r="LT47" s="69" t="str">
        <f ca="1">IF(AND($C47="Goal",LT$8&gt;=$G47,LT$8&lt;=$G47+$H47-1),2,IF(AND($C47="Milestone",LT$8&gt;=$G47,LT$8&lt;=$G47+$H47-1),1,""))</f>
        <v/>
      </c>
      <c r="LU47" s="69" t="str">
        <f ca="1">IF(AND($C47="Goal",LU$8&gt;=$G47,LU$8&lt;=$G47+$H47-1),2,IF(AND($C47="Milestone",LU$8&gt;=$G47,LU$8&lt;=$G47+$H47-1),1,""))</f>
        <v/>
      </c>
      <c r="LV47" s="69" t="str">
        <f ca="1">IF(AND($C47="Goal",LV$8&gt;=$G47,LV$8&lt;=$G47+$H47-1),2,IF(AND($C47="Milestone",LV$8&gt;=$G47,LV$8&lt;=$G47+$H47-1),1,""))</f>
        <v/>
      </c>
      <c r="LW47" s="69" t="str">
        <f ca="1">IF(AND($C47="Goal",LW$8&gt;=$G47,LW$8&lt;=$G47+$H47-1),2,IF(AND($C47="Milestone",LW$8&gt;=$G47,LW$8&lt;=$G47+$H47-1),1,""))</f>
        <v/>
      </c>
      <c r="LX47" s="69" t="str">
        <f ca="1">IF(AND($C47="Goal",LX$8&gt;=$G47,LX$8&lt;=$G47+$H47-1),2,IF(AND($C47="Milestone",LX$8&gt;=$G47,LX$8&lt;=$G47+$H47-1),1,""))</f>
        <v/>
      </c>
    </row>
    <row r="48" spans="1:336" s="1" customFormat="1" ht="25.25" customHeight="1" x14ac:dyDescent="0.25">
      <c r="A48" s="6"/>
      <c r="B48" s="75" t="s">
        <v>47</v>
      </c>
      <c r="C48" s="53"/>
      <c r="D48" s="53" t="str">
        <f ca="1">IF(G48="","",
IF(G48+Milestones4352[[#This Row],[Days]]="","",
IF(OR(F48=1,F48=100%),"Complete",
CHOOSE(
  1
  + --(((1-IF(F48&gt;1,F48/100,F48))*POWER(2.718281828,(60-MAX(0,G48+Milestones4352[[#This Row],[Days]]-TODAY()))/12))&gt;=0.6)
  + --(((1-IF(F48&gt;1,F48/100,F48))*POWER(2.718281828,(60-MAX(0,G48+Milestones4352[[#This Row],[Days]]-TODAY()))/12))&gt;=1.2)
  + --(((1-IF(F48&gt;1,F48/100,F48))*POWER(2.718281828,(60-MAX(0,G48+Milestones4352[[#This Row],[Days]]-TODAY()))/12))&gt;=2),
  "On track","Low risk","Medium risk","High risk"
))))</f>
        <v/>
      </c>
      <c r="E48" s="53"/>
      <c r="F48" s="10"/>
      <c r="G48" s="20"/>
      <c r="H48" s="12"/>
      <c r="I48" s="12" t="str">
        <f t="shared" si="207"/>
        <v/>
      </c>
      <c r="J48" s="12" t="str">
        <f ca="1">IF(OR(Milestones4352[[#This Row],[Start]]="",Milestones4352[[#This Row],[Days]]=""),"",(Milestones4352[[#This Row],[Start]]+Milestones4352[[#This Row],[Days]])-TODAY())</f>
        <v/>
      </c>
      <c r="K48" s="9"/>
      <c r="L48" s="69" t="str">
        <f ca="1">IF(AND($C48="Goal",L$8&gt;=$G48,L$8&lt;=$G48+$H48-1),2,IF(AND($C48="Milestone",L$8&gt;=$G48,L$8&lt;=$G48+$H48-1),1,""))</f>
        <v/>
      </c>
      <c r="M48" s="69" t="str">
        <f ca="1">IF(AND($C48="Goal",M$8&gt;=$G48,M$8&lt;=$G48+$H48-1),2,IF(AND($C48="Milestone",M$8&gt;=$G48,M$8&lt;=$G48+$H48-1),1,""))</f>
        <v/>
      </c>
      <c r="N48" s="69" t="str">
        <f ca="1">IF(AND($C48="Goal",N$8&gt;=$G48,N$8&lt;=$G48+$H48-1),2,IF(AND($C48="Milestone",N$8&gt;=$G48,N$8&lt;=$G48+$H48-1),1,""))</f>
        <v/>
      </c>
      <c r="O48" s="69" t="str">
        <f ca="1">IF(AND($C48="Goal",O$8&gt;=$G48,O$8&lt;=$G48+$H48-1),2,IF(AND($C48="Milestone",O$8&gt;=$G48,O$8&lt;=$G48+$H48-1),1,""))</f>
        <v/>
      </c>
      <c r="P48" s="69" t="str">
        <f ca="1">IF(AND($C48="Goal",P$8&gt;=$G48,P$8&lt;=$G48+$H48-1),2,IF(AND($C48="Milestone",P$8&gt;=$G48,P$8&lt;=$G48+$H48-1),1,""))</f>
        <v/>
      </c>
      <c r="Q48" s="69" t="str">
        <f ca="1">IF(AND($C48="Goal",Q$8&gt;=$G48,Q$8&lt;=$G48+$H48-1),2,IF(AND($C48="Milestone",Q$8&gt;=$G48,Q$8&lt;=$G48+$H48-1),1,""))</f>
        <v/>
      </c>
      <c r="R48" s="69" t="str">
        <f ca="1">IF(AND($C48="Goal",R$8&gt;=$G48,R$8&lt;=$G48+$H48-1),2,IF(AND($C48="Milestone",R$8&gt;=$G48,R$8&lt;=$G48+$H48-1),1,""))</f>
        <v/>
      </c>
      <c r="S48" s="69" t="str">
        <f ca="1">IF(AND($C48="Goal",S$8&gt;=$G48,S$8&lt;=$G48+$H48-1),2,IF(AND($C48="Milestone",S$8&gt;=$G48,S$8&lt;=$G48+$H48-1),1,""))</f>
        <v/>
      </c>
      <c r="T48" s="69" t="str">
        <f ca="1">IF(AND($C48="Goal",T$8&gt;=$G48,T$8&lt;=$G48+$H48-1),2,IF(AND($C48="Milestone",T$8&gt;=$G48,T$8&lt;=$G48+$H48-1),1,""))</f>
        <v/>
      </c>
      <c r="U48" s="69" t="str">
        <f ca="1">IF(AND($C48="Goal",U$8&gt;=$G48,U$8&lt;=$G48+$H48-1),2,IF(AND($C48="Milestone",U$8&gt;=$G48,U$8&lt;=$G48+$H48-1),1,""))</f>
        <v/>
      </c>
      <c r="V48" s="69" t="str">
        <f ca="1">IF(AND($C48="Goal",V$8&gt;=$G48,V$8&lt;=$G48+$H48-1),2,IF(AND($C48="Milestone",V$8&gt;=$G48,V$8&lt;=$G48+$H48-1),1,""))</f>
        <v/>
      </c>
      <c r="W48" s="69" t="str">
        <f ca="1">IF(AND($C48="Goal",W$8&gt;=$G48,W$8&lt;=$G48+$H48-1),2,IF(AND($C48="Milestone",W$8&gt;=$G48,W$8&lt;=$G48+$H48-1),1,""))</f>
        <v/>
      </c>
      <c r="X48" s="69" t="str">
        <f ca="1">IF(AND($C48="Goal",X$8&gt;=$G48,X$8&lt;=$G48+$H48-1),2,IF(AND($C48="Milestone",X$8&gt;=$G48,X$8&lt;=$G48+$H48-1),1,""))</f>
        <v/>
      </c>
      <c r="Y48" s="69" t="str">
        <f ca="1">IF(AND($C48="Goal",Y$8&gt;=$G48,Y$8&lt;=$G48+$H48-1),2,IF(AND($C48="Milestone",Y$8&gt;=$G48,Y$8&lt;=$G48+$H48-1),1,""))</f>
        <v/>
      </c>
      <c r="Z48" s="69" t="str">
        <f ca="1">IF(AND($C48="Goal",Z$8&gt;=$G48,Z$8&lt;=$G48+$H48-1),2,IF(AND($C48="Milestone",Z$8&gt;=$G48,Z$8&lt;=$G48+$H48-1),1,""))</f>
        <v/>
      </c>
      <c r="AA48" s="69" t="str">
        <f ca="1">IF(AND($C48="Goal",AA$8&gt;=$G48,AA$8&lt;=$G48+$H48-1),2,IF(AND($C48="Milestone",AA$8&gt;=$G48,AA$8&lt;=$G48+$H48-1),1,""))</f>
        <v/>
      </c>
      <c r="AB48" s="69" t="str">
        <f ca="1">IF(AND($C48="Goal",AB$8&gt;=$G48,AB$8&lt;=$G48+$H48-1),2,IF(AND($C48="Milestone",AB$8&gt;=$G48,AB$8&lt;=$G48+$H48-1),1,""))</f>
        <v/>
      </c>
      <c r="AC48" s="69" t="str">
        <f ca="1">IF(AND($C48="Goal",AC$8&gt;=$G48,AC$8&lt;=$G48+$H48-1),2,IF(AND($C48="Milestone",AC$8&gt;=$G48,AC$8&lt;=$G48+$H48-1),1,""))</f>
        <v/>
      </c>
      <c r="AD48" s="69" t="str">
        <f ca="1">IF(AND($C48="Goal",AD$8&gt;=$G48,AD$8&lt;=$G48+$H48-1),2,IF(AND($C48="Milestone",AD$8&gt;=$G48,AD$8&lt;=$G48+$H48-1),1,""))</f>
        <v/>
      </c>
      <c r="AE48" s="69" t="str">
        <f ca="1">IF(AND($C48="Goal",AE$8&gt;=$G48,AE$8&lt;=$G48+$H48-1),2,IF(AND($C48="Milestone",AE$8&gt;=$G48,AE$8&lt;=$G48+$H48-1),1,""))</f>
        <v/>
      </c>
      <c r="AF48" s="69" t="str">
        <f ca="1">IF(AND($C48="Goal",AF$8&gt;=$G48,AF$8&lt;=$G48+$H48-1),2,IF(AND($C48="Milestone",AF$8&gt;=$G48,AF$8&lt;=$G48+$H48-1),1,""))</f>
        <v/>
      </c>
      <c r="AG48" s="69" t="str">
        <f ca="1">IF(AND($C48="Goal",AG$8&gt;=$G48,AG$8&lt;=$G48+$H48-1),2,IF(AND($C48="Milestone",AG$8&gt;=$G48,AG$8&lt;=$G48+$H48-1),1,""))</f>
        <v/>
      </c>
      <c r="AH48" s="69" t="str">
        <f ca="1">IF(AND($C48="Goal",AH$8&gt;=$G48,AH$8&lt;=$G48+$H48-1),2,IF(AND($C48="Milestone",AH$8&gt;=$G48,AH$8&lt;=$G48+$H48-1),1,""))</f>
        <v/>
      </c>
      <c r="AI48" s="69" t="str">
        <f ca="1">IF(AND($C48="Goal",AI$8&gt;=$G48,AI$8&lt;=$G48+$H48-1),2,IF(AND($C48="Milestone",AI$8&gt;=$G48,AI$8&lt;=$G48+$H48-1),1,""))</f>
        <v/>
      </c>
      <c r="AJ48" s="69" t="str">
        <f ca="1">IF(AND($C48="Goal",AJ$8&gt;=$G48,AJ$8&lt;=$G48+$H48-1),2,IF(AND($C48="Milestone",AJ$8&gt;=$G48,AJ$8&lt;=$G48+$H48-1),1,""))</f>
        <v/>
      </c>
      <c r="AK48" s="69" t="str">
        <f ca="1">IF(AND($C48="Goal",AK$8&gt;=$G48,AK$8&lt;=$G48+$H48-1),2,IF(AND($C48="Milestone",AK$8&gt;=$G48,AK$8&lt;=$G48+$H48-1),1,""))</f>
        <v/>
      </c>
      <c r="AL48" s="69" t="str">
        <f ca="1">IF(AND($C48="Goal",AL$8&gt;=$G48,AL$8&lt;=$G48+$H48-1),2,IF(AND($C48="Milestone",AL$8&gt;=$G48,AL$8&lt;=$G48+$H48-1),1,""))</f>
        <v/>
      </c>
      <c r="AM48" s="69" t="str">
        <f ca="1">IF(AND($C48="Goal",AM$8&gt;=$G48,AM$8&lt;=$G48+$H48-1),2,IF(AND($C48="Milestone",AM$8&gt;=$G48,AM$8&lt;=$G48+$H48-1),1,""))</f>
        <v/>
      </c>
      <c r="AN48" s="69" t="str">
        <f ca="1">IF(AND($C48="Goal",AN$8&gt;=$G48,AN$8&lt;=$G48+$H48-1),2,IF(AND($C48="Milestone",AN$8&gt;=$G48,AN$8&lt;=$G48+$H48-1),1,""))</f>
        <v/>
      </c>
      <c r="AO48" s="69" t="str">
        <f ca="1">IF(AND($C48="Goal",AO$8&gt;=$G48,AO$8&lt;=$G48+$H48-1),2,IF(AND($C48="Milestone",AO$8&gt;=$G48,AO$8&lt;=$G48+$H48-1),1,""))</f>
        <v/>
      </c>
      <c r="AP48" s="69" t="str">
        <f ca="1">IF(AND($C48="Goal",AP$8&gt;=$G48,AP$8&lt;=$G48+$H48-1),2,IF(AND($C48="Milestone",AP$8&gt;=$G48,AP$8&lt;=$G48+$H48-1),1,""))</f>
        <v/>
      </c>
      <c r="AQ48" s="69" t="str">
        <f ca="1">IF(AND($C48="Goal",AQ$8&gt;=$G48,AQ$8&lt;=$G48+$H48-1),2,IF(AND($C48="Milestone",AQ$8&gt;=$G48,AQ$8&lt;=$G48+$H48-1),1,""))</f>
        <v/>
      </c>
      <c r="AR48" s="69" t="str">
        <f ca="1">IF(AND($C48="Goal",AR$8&gt;=$G48,AR$8&lt;=$G48+$H48-1),2,IF(AND($C48="Milestone",AR$8&gt;=$G48,AR$8&lt;=$G48+$H48-1),1,""))</f>
        <v/>
      </c>
      <c r="AS48" s="69" t="str">
        <f ca="1">IF(AND($C48="Goal",AS$8&gt;=$G48,AS$8&lt;=$G48+$H48-1),2,IF(AND($C48="Milestone",AS$8&gt;=$G48,AS$8&lt;=$G48+$H48-1),1,""))</f>
        <v/>
      </c>
      <c r="AT48" s="69" t="str">
        <f ca="1">IF(AND($C48="Goal",AT$8&gt;=$G48,AT$8&lt;=$G48+$H48-1),2,IF(AND($C48="Milestone",AT$8&gt;=$G48,AT$8&lt;=$G48+$H48-1),1,""))</f>
        <v/>
      </c>
      <c r="AU48" s="69" t="str">
        <f ca="1">IF(AND($C48="Goal",AU$8&gt;=$G48,AU$8&lt;=$G48+$H48-1),2,IF(AND($C48="Milestone",AU$8&gt;=$G48,AU$8&lt;=$G48+$H48-1),1,""))</f>
        <v/>
      </c>
      <c r="AV48" s="69" t="str">
        <f ca="1">IF(AND($C48="Goal",AV$8&gt;=$G48,AV$8&lt;=$G48+$H48-1),2,IF(AND($C48="Milestone",AV$8&gt;=$G48,AV$8&lt;=$G48+$H48-1),1,""))</f>
        <v/>
      </c>
      <c r="AW48" s="69" t="str">
        <f ca="1">IF(AND($C48="Goal",AW$8&gt;=$G48,AW$8&lt;=$G48+$H48-1),2,IF(AND($C48="Milestone",AW$8&gt;=$G48,AW$8&lt;=$G48+$H48-1),1,""))</f>
        <v/>
      </c>
      <c r="AX48" s="69" t="str">
        <f ca="1">IF(AND($C48="Goal",AX$8&gt;=$G48,AX$8&lt;=$G48+$H48-1),2,IF(AND($C48="Milestone",AX$8&gt;=$G48,AX$8&lt;=$G48+$H48-1),1,""))</f>
        <v/>
      </c>
      <c r="AY48" s="69" t="str">
        <f ca="1">IF(AND($C48="Goal",AY$8&gt;=$G48,AY$8&lt;=$G48+$H48-1),2,IF(AND($C48="Milestone",AY$8&gt;=$G48,AY$8&lt;=$G48+$H48-1),1,""))</f>
        <v/>
      </c>
      <c r="AZ48" s="69" t="str">
        <f ca="1">IF(AND($C48="Goal",AZ$8&gt;=$G48,AZ$8&lt;=$G48+$H48-1),2,IF(AND($C48="Milestone",AZ$8&gt;=$G48,AZ$8&lt;=$G48+$H48-1),1,""))</f>
        <v/>
      </c>
      <c r="BA48" s="69" t="str">
        <f ca="1">IF(AND($C48="Goal",BA$8&gt;=$G48,BA$8&lt;=$G48+$H48-1),2,IF(AND($C48="Milestone",BA$8&gt;=$G48,BA$8&lt;=$G48+$H48-1),1,""))</f>
        <v/>
      </c>
      <c r="BB48" s="69" t="str">
        <f ca="1">IF(AND($C48="Goal",BB$8&gt;=$G48,BB$8&lt;=$G48+$H48-1),2,IF(AND($C48="Milestone",BB$8&gt;=$G48,BB$8&lt;=$G48+$H48-1),1,""))</f>
        <v/>
      </c>
      <c r="BC48" s="69" t="str">
        <f ca="1">IF(AND($C48="Goal",BC$8&gt;=$G48,BC$8&lt;=$G48+$H48-1),2,IF(AND($C48="Milestone",BC$8&gt;=$G48,BC$8&lt;=$G48+$H48-1),1,""))</f>
        <v/>
      </c>
      <c r="BD48" s="69" t="str">
        <f ca="1">IF(AND($C48="Goal",BD$8&gt;=$G48,BD$8&lt;=$G48+$H48-1),2,IF(AND($C48="Milestone",BD$8&gt;=$G48,BD$8&lt;=$G48+$H48-1),1,""))</f>
        <v/>
      </c>
      <c r="BE48" s="69" t="str">
        <f ca="1">IF(AND($C48="Goal",BE$8&gt;=$G48,BE$8&lt;=$G48+$H48-1),2,IF(AND($C48="Milestone",BE$8&gt;=$G48,BE$8&lt;=$G48+$H48-1),1,""))</f>
        <v/>
      </c>
      <c r="BF48" s="69" t="str">
        <f ca="1">IF(AND($C48="Goal",BF$8&gt;=$G48,BF$8&lt;=$G48+$H48-1),2,IF(AND($C48="Milestone",BF$8&gt;=$G48,BF$8&lt;=$G48+$H48-1),1,""))</f>
        <v/>
      </c>
      <c r="BG48" s="69" t="str">
        <f ca="1">IF(AND($C48="Goal",BG$8&gt;=$G48,BG$8&lt;=$G48+$H48-1),2,IF(AND($C48="Milestone",BG$8&gt;=$G48,BG$8&lt;=$G48+$H48-1),1,""))</f>
        <v/>
      </c>
      <c r="BH48" s="69" t="str">
        <f ca="1">IF(AND($C48="Goal",BH$8&gt;=$G48,BH$8&lt;=$G48+$H48-1),2,IF(AND($C48="Milestone",BH$8&gt;=$G48,BH$8&lt;=$G48+$H48-1),1,""))</f>
        <v/>
      </c>
      <c r="BI48" s="69" t="str">
        <f ca="1">IF(AND($C48="Goal",BI$8&gt;=$G48,BI$8&lt;=$G48+$H48-1),2,IF(AND($C48="Milestone",BI$8&gt;=$G48,BI$8&lt;=$G48+$H48-1),1,""))</f>
        <v/>
      </c>
      <c r="BJ48" s="69" t="str">
        <f ca="1">IF(AND($C48="Goal",BJ$8&gt;=$G48,BJ$8&lt;=$G48+$H48-1),2,IF(AND($C48="Milestone",BJ$8&gt;=$G48,BJ$8&lt;=$G48+$H48-1),1,""))</f>
        <v/>
      </c>
      <c r="BK48" s="69" t="str">
        <f ca="1">IF(AND($C48="Goal",BK$8&gt;=$G48,BK$8&lt;=$G48+$H48-1),2,IF(AND($C48="Milestone",BK$8&gt;=$G48,BK$8&lt;=$G48+$H48-1),1,""))</f>
        <v/>
      </c>
      <c r="BL48" s="69" t="str">
        <f ca="1">IF(AND($C48="Goal",BL$8&gt;=$G48,BL$8&lt;=$G48+$H48-1),2,IF(AND($C48="Milestone",BL$8&gt;=$G48,BL$8&lt;=$G48+$H48-1),1,""))</f>
        <v/>
      </c>
      <c r="BM48" s="69" t="str">
        <f ca="1">IF(AND($C48="Goal",BM$8&gt;=$G48,BM$8&lt;=$G48+$H48-1),2,IF(AND($C48="Milestone",BM$8&gt;=$G48,BM$8&lt;=$G48+$H48-1),1,""))</f>
        <v/>
      </c>
      <c r="BN48" s="69" t="str">
        <f ca="1">IF(AND($C48="Goal",BN$8&gt;=$G48,BN$8&lt;=$G48+$H48-1),2,IF(AND($C48="Milestone",BN$8&gt;=$G48,BN$8&lt;=$G48+$H48-1),1,""))</f>
        <v/>
      </c>
      <c r="BO48" s="69" t="str">
        <f ca="1">IF(AND($C48="Goal",BO$8&gt;=$G48,BO$8&lt;=$G48+$H48-1),2,IF(AND($C48="Milestone",BO$8&gt;=$G48,BO$8&lt;=$G48+$H48-1),1,""))</f>
        <v/>
      </c>
      <c r="BP48" s="69" t="str">
        <f ca="1">IF(AND($C48="Goal",BP$8&gt;=$G48,BP$8&lt;=$G48+$H48-1),2,IF(AND($C48="Milestone",BP$8&gt;=$G48,BP$8&lt;=$G48+$H48-1),1,""))</f>
        <v/>
      </c>
      <c r="BQ48" s="69" t="str">
        <f ca="1">IF(AND($C48="Goal",BQ$8&gt;=$G48,BQ$8&lt;=$G48+$H48-1),2,IF(AND($C48="Milestone",BQ$8&gt;=$G48,BQ$8&lt;=$G48+$H48-1),1,""))</f>
        <v/>
      </c>
      <c r="BR48" s="69" t="str">
        <f ca="1">IF(AND($C48="Goal",BR$8&gt;=$G48,BR$8&lt;=$G48+$H48-1),2,IF(AND($C48="Milestone",BR$8&gt;=$G48,BR$8&lt;=$G48+$H48-1),1,""))</f>
        <v/>
      </c>
      <c r="BS48" s="69" t="str">
        <f ca="1">IF(AND($C48="Goal",BS$8&gt;=$G48,BS$8&lt;=$G48+$H48-1),2,IF(AND($C48="Milestone",BS$8&gt;=$G48,BS$8&lt;=$G48+$H48-1),1,""))</f>
        <v/>
      </c>
      <c r="BT48" s="69" t="str">
        <f ca="1">IF(AND($C48="Goal",BT$8&gt;=$G48,BT$8&lt;=$G48+$H48-1),2,IF(AND($C48="Milestone",BT$8&gt;=$G48,BT$8&lt;=$G48+$H48-1),1,""))</f>
        <v/>
      </c>
      <c r="BU48" s="69" t="str">
        <f ca="1">IF(AND($C48="Goal",BU$8&gt;=$G48,BU$8&lt;=$G48+$H48-1),2,IF(AND($C48="Milestone",BU$8&gt;=$G48,BU$8&lt;=$G48+$H48-1),1,""))</f>
        <v/>
      </c>
      <c r="BV48" s="69" t="str">
        <f ca="1">IF(AND($C48="Goal",BV$8&gt;=$G48,BV$8&lt;=$G48+$H48-1),2,IF(AND($C48="Milestone",BV$8&gt;=$G48,BV$8&lt;=$G48+$H48-1),1,""))</f>
        <v/>
      </c>
      <c r="BW48" s="69" t="str">
        <f ca="1">IF(AND($C48="Goal",BW$8&gt;=$G48,BW$8&lt;=$G48+$H48-1),2,IF(AND($C48="Milestone",BW$8&gt;=$G48,BW$8&lt;=$G48+$H48-1),1,""))</f>
        <v/>
      </c>
      <c r="BX48" s="69" t="str">
        <f ca="1">IF(AND($C48="Goal",BX$8&gt;=$G48,BX$8&lt;=$G48+$H48-1),2,IF(AND($C48="Milestone",BX$8&gt;=$G48,BX$8&lt;=$G48+$H48-1),1,""))</f>
        <v/>
      </c>
      <c r="BY48" s="69" t="str">
        <f ca="1">IF(AND($C48="Goal",BY$8&gt;=$G48,BY$8&lt;=$G48+$H48-1),2,IF(AND($C48="Milestone",BY$8&gt;=$G48,BY$8&lt;=$G48+$H48-1),1,""))</f>
        <v/>
      </c>
      <c r="BZ48" s="69" t="str">
        <f ca="1">IF(AND($C48="Goal",BZ$8&gt;=$G48,BZ$8&lt;=$G48+$H48-1),2,IF(AND($C48="Milestone",BZ$8&gt;=$G48,BZ$8&lt;=$G48+$H48-1),1,""))</f>
        <v/>
      </c>
      <c r="CA48" s="69" t="str">
        <f ca="1">IF(AND($C48="Goal",CA$8&gt;=$G48,CA$8&lt;=$G48+$H48-1),2,IF(AND($C48="Milestone",CA$8&gt;=$G48,CA$8&lt;=$G48+$H48-1),1,""))</f>
        <v/>
      </c>
      <c r="CB48" s="69" t="str">
        <f ca="1">IF(AND($C48="Goal",CB$8&gt;=$G48,CB$8&lt;=$G48+$H48-1),2,IF(AND($C48="Milestone",CB$8&gt;=$G48,CB$8&lt;=$G48+$H48-1),1,""))</f>
        <v/>
      </c>
      <c r="CC48" s="69" t="str">
        <f ca="1">IF(AND($C48="Goal",CC$8&gt;=$G48,CC$8&lt;=$G48+$H48-1),2,IF(AND($C48="Milestone",CC$8&gt;=$G48,CC$8&lt;=$G48+$H48-1),1,""))</f>
        <v/>
      </c>
      <c r="CD48" s="69" t="str">
        <f ca="1">IF(AND($C48="Goal",CD$8&gt;=$G48,CD$8&lt;=$G48+$H48-1),2,IF(AND($C48="Milestone",CD$8&gt;=$G48,CD$8&lt;=$G48+$H48-1),1,""))</f>
        <v/>
      </c>
      <c r="CE48" s="69" t="str">
        <f ca="1">IF(AND($C48="Goal",CE$8&gt;=$G48,CE$8&lt;=$G48+$H48-1),2,IF(AND($C48="Milestone",CE$8&gt;=$G48,CE$8&lt;=$G48+$H48-1),1,""))</f>
        <v/>
      </c>
      <c r="CF48" s="69" t="str">
        <f ca="1">IF(AND($C48="Goal",CF$8&gt;=$G48,CF$8&lt;=$G48+$H48-1),2,IF(AND($C48="Milestone",CF$8&gt;=$G48,CF$8&lt;=$G48+$H48-1),1,""))</f>
        <v/>
      </c>
      <c r="CG48" s="69" t="str">
        <f ca="1">IF(AND($C48="Goal",CG$8&gt;=$G48,CG$8&lt;=$G48+$H48-1),2,IF(AND($C48="Milestone",CG$8&gt;=$G48,CG$8&lt;=$G48+$H48-1),1,""))</f>
        <v/>
      </c>
      <c r="CH48" s="69" t="str">
        <f ca="1">IF(AND($C48="Goal",CH$8&gt;=$G48,CH$8&lt;=$G48+$H48-1),2,IF(AND($C48="Milestone",CH$8&gt;=$G48,CH$8&lt;=$G48+$H48-1),1,""))</f>
        <v/>
      </c>
      <c r="CI48" s="69" t="str">
        <f ca="1">IF(AND($C48="Goal",CI$8&gt;=$G48,CI$8&lt;=$G48+$H48-1),2,IF(AND($C48="Milestone",CI$8&gt;=$G48,CI$8&lt;=$G48+$H48-1),1,""))</f>
        <v/>
      </c>
      <c r="CJ48" s="69" t="str">
        <f ca="1">IF(AND($C48="Goal",CJ$8&gt;=$G48,CJ$8&lt;=$G48+$H48-1),2,IF(AND($C48="Milestone",CJ$8&gt;=$G48,CJ$8&lt;=$G48+$H48-1),1,""))</f>
        <v/>
      </c>
      <c r="CK48" s="69" t="str">
        <f ca="1">IF(AND($C48="Goal",CK$8&gt;=$G48,CK$8&lt;=$G48+$H48-1),2,IF(AND($C48="Milestone",CK$8&gt;=$G48,CK$8&lt;=$G48+$H48-1),1,""))</f>
        <v/>
      </c>
      <c r="CL48" s="69" t="str">
        <f ca="1">IF(AND($C48="Goal",CL$8&gt;=$G48,CL$8&lt;=$G48+$H48-1),2,IF(AND($C48="Milestone",CL$8&gt;=$G48,CL$8&lt;=$G48+$H48-1),1,""))</f>
        <v/>
      </c>
      <c r="CM48" s="69" t="str">
        <f ca="1">IF(AND($C48="Goal",CM$8&gt;=$G48,CM$8&lt;=$G48+$H48-1),2,IF(AND($C48="Milestone",CM$8&gt;=$G48,CM$8&lt;=$G48+$H48-1),1,""))</f>
        <v/>
      </c>
      <c r="CN48" s="69" t="str">
        <f ca="1">IF(AND($C48="Goal",CN$8&gt;=$G48,CN$8&lt;=$G48+$H48-1),2,IF(AND($C48="Milestone",CN$8&gt;=$G48,CN$8&lt;=$G48+$H48-1),1,""))</f>
        <v/>
      </c>
      <c r="CO48" s="69" t="str">
        <f ca="1">IF(AND($C48="Goal",CO$8&gt;=$G48,CO$8&lt;=$G48+$H48-1),2,IF(AND($C48="Milestone",CO$8&gt;=$G48,CO$8&lt;=$G48+$H48-1),1,""))</f>
        <v/>
      </c>
      <c r="CP48" s="69" t="str">
        <f ca="1">IF(AND($C48="Goal",CP$8&gt;=$G48,CP$8&lt;=$G48+$H48-1),2,IF(AND($C48="Milestone",CP$8&gt;=$G48,CP$8&lt;=$G48+$H48-1),1,""))</f>
        <v/>
      </c>
      <c r="CQ48" s="69" t="str">
        <f ca="1">IF(AND($C48="Goal",CQ$8&gt;=$G48,CQ$8&lt;=$G48+$H48-1),2,IF(AND($C48="Milestone",CQ$8&gt;=$G48,CQ$8&lt;=$G48+$H48-1),1,""))</f>
        <v/>
      </c>
      <c r="CR48" s="69" t="str">
        <f ca="1">IF(AND($C48="Goal",CR$8&gt;=$G48,CR$8&lt;=$G48+$H48-1),2,IF(AND($C48="Milestone",CR$8&gt;=$G48,CR$8&lt;=$G48+$H48-1),1,""))</f>
        <v/>
      </c>
      <c r="CS48" s="69" t="str">
        <f ca="1">IF(AND($C48="Goal",CS$8&gt;=$G48,CS$8&lt;=$G48+$H48-1),2,IF(AND($C48="Milestone",CS$8&gt;=$G48,CS$8&lt;=$G48+$H48-1),1,""))</f>
        <v/>
      </c>
      <c r="CT48" s="69" t="str">
        <f ca="1">IF(AND($C48="Goal",CT$8&gt;=$G48,CT$8&lt;=$G48+$H48-1),2,IF(AND($C48="Milestone",CT$8&gt;=$G48,CT$8&lt;=$G48+$H48-1),1,""))</f>
        <v/>
      </c>
      <c r="CU48" s="69" t="str">
        <f ca="1">IF(AND($C48="Goal",CU$8&gt;=$G48,CU$8&lt;=$G48+$H48-1),2,IF(AND($C48="Milestone",CU$8&gt;=$G48,CU$8&lt;=$G48+$H48-1),1,""))</f>
        <v/>
      </c>
      <c r="CV48" s="69" t="str">
        <f ca="1">IF(AND($C48="Goal",CV$8&gt;=$G48,CV$8&lt;=$G48+$H48-1),2,IF(AND($C48="Milestone",CV$8&gt;=$G48,CV$8&lt;=$G48+$H48-1),1,""))</f>
        <v/>
      </c>
      <c r="CW48" s="69" t="str">
        <f ca="1">IF(AND($C48="Goal",CW$8&gt;=$G48,CW$8&lt;=$G48+$H48-1),2,IF(AND($C48="Milestone",CW$8&gt;=$G48,CW$8&lt;=$G48+$H48-1),1,""))</f>
        <v/>
      </c>
      <c r="CX48" s="69" t="str">
        <f ca="1">IF(AND($C48="Goal",CX$8&gt;=$G48,CX$8&lt;=$G48+$H48-1),2,IF(AND($C48="Milestone",CX$8&gt;=$G48,CX$8&lt;=$G48+$H48-1),1,""))</f>
        <v/>
      </c>
      <c r="CY48" s="69" t="str">
        <f ca="1">IF(AND($C48="Goal",CY$8&gt;=$G48,CY$8&lt;=$G48+$H48-1),2,IF(AND($C48="Milestone",CY$8&gt;=$G48,CY$8&lt;=$G48+$H48-1),1,""))</f>
        <v/>
      </c>
      <c r="CZ48" s="69" t="str">
        <f ca="1">IF(AND($C48="Goal",CZ$8&gt;=$G48,CZ$8&lt;=$G48+$H48-1),2,IF(AND($C48="Milestone",CZ$8&gt;=$G48,CZ$8&lt;=$G48+$H48-1),1,""))</f>
        <v/>
      </c>
      <c r="DA48" s="69" t="str">
        <f ca="1">IF(AND($C48="Goal",DA$8&gt;=$G48,DA$8&lt;=$G48+$H48-1),2,IF(AND($C48="Milestone",DA$8&gt;=$G48,DA$8&lt;=$G48+$H48-1),1,""))</f>
        <v/>
      </c>
      <c r="DB48" s="69" t="str">
        <f ca="1">IF(AND($C48="Goal",DB$8&gt;=$G48,DB$8&lt;=$G48+$H48-1),2,IF(AND($C48="Milestone",DB$8&gt;=$G48,DB$8&lt;=$G48+$H48-1),1,""))</f>
        <v/>
      </c>
      <c r="DC48" s="69" t="str">
        <f ca="1">IF(AND($C48="Goal",DC$8&gt;=$G48,DC$8&lt;=$G48+$H48-1),2,IF(AND($C48="Milestone",DC$8&gt;=$G48,DC$8&lt;=$G48+$H48-1),1,""))</f>
        <v/>
      </c>
      <c r="DD48" s="69" t="str">
        <f ca="1">IF(AND($C48="Goal",DD$8&gt;=$G48,DD$8&lt;=$G48+$H48-1),2,IF(AND($C48="Milestone",DD$8&gt;=$G48,DD$8&lt;=$G48+$H48-1),1,""))</f>
        <v/>
      </c>
      <c r="DE48" s="69" t="str">
        <f ca="1">IF(AND($C48="Goal",DE$8&gt;=$G48,DE$8&lt;=$G48+$H48-1),2,IF(AND($C48="Milestone",DE$8&gt;=$G48,DE$8&lt;=$G48+$H48-1),1,""))</f>
        <v/>
      </c>
      <c r="DF48" s="69" t="str">
        <f ca="1">IF(AND($C48="Goal",DF$8&gt;=$G48,DF$8&lt;=$G48+$H48-1),2,IF(AND($C48="Milestone",DF$8&gt;=$G48,DF$8&lt;=$G48+$H48-1),1,""))</f>
        <v/>
      </c>
      <c r="DG48" s="69" t="str">
        <f ca="1">IF(AND($C48="Goal",DG$8&gt;=$G48,DG$8&lt;=$G48+$H48-1),2,IF(AND($C48="Milestone",DG$8&gt;=$G48,DG$8&lt;=$G48+$H48-1),1,""))</f>
        <v/>
      </c>
      <c r="DH48" s="69" t="str">
        <f ca="1">IF(AND($C48="Goal",DH$8&gt;=$G48,DH$8&lt;=$G48+$H48-1),2,IF(AND($C48="Milestone",DH$8&gt;=$G48,DH$8&lt;=$G48+$H48-1),1,""))</f>
        <v/>
      </c>
      <c r="DI48" s="69" t="str">
        <f ca="1">IF(AND($C48="Goal",DI$8&gt;=$G48,DI$8&lt;=$G48+$H48-1),2,IF(AND($C48="Milestone",DI$8&gt;=$G48,DI$8&lt;=$G48+$H48-1),1,""))</f>
        <v/>
      </c>
      <c r="DJ48" s="69" t="str">
        <f ca="1">IF(AND($C48="Goal",DJ$8&gt;=$G48,DJ$8&lt;=$G48+$H48-1),2,IF(AND($C48="Milestone",DJ$8&gt;=$G48,DJ$8&lt;=$G48+$H48-1),1,""))</f>
        <v/>
      </c>
      <c r="DK48" s="69" t="str">
        <f ca="1">IF(AND($C48="Goal",DK$8&gt;=$G48,DK$8&lt;=$G48+$H48-1),2,IF(AND($C48="Milestone",DK$8&gt;=$G48,DK$8&lt;=$G48+$H48-1),1,""))</f>
        <v/>
      </c>
      <c r="DL48" s="69" t="str">
        <f ca="1">IF(AND($C48="Goal",DL$8&gt;=$G48,DL$8&lt;=$G48+$H48-1),2,IF(AND($C48="Milestone",DL$8&gt;=$G48,DL$8&lt;=$G48+$H48-1),1,""))</f>
        <v/>
      </c>
      <c r="DM48" s="69" t="str">
        <f ca="1">IF(AND($C48="Goal",DM$8&gt;=$G48,DM$8&lt;=$G48+$H48-1),2,IF(AND($C48="Milestone",DM$8&gt;=$G48,DM$8&lt;=$G48+$H48-1),1,""))</f>
        <v/>
      </c>
      <c r="DN48" s="69" t="str">
        <f ca="1">IF(AND($C48="Goal",DN$8&gt;=$G48,DN$8&lt;=$G48+$H48-1),2,IF(AND($C48="Milestone",DN$8&gt;=$G48,DN$8&lt;=$G48+$H48-1),1,""))</f>
        <v/>
      </c>
      <c r="DO48" s="69" t="str">
        <f ca="1">IF(AND($C48="Goal",DO$8&gt;=$G48,DO$8&lt;=$G48+$H48-1),2,IF(AND($C48="Milestone",DO$8&gt;=$G48,DO$8&lt;=$G48+$H48-1),1,""))</f>
        <v/>
      </c>
      <c r="DP48" s="69" t="str">
        <f ca="1">IF(AND($C48="Goal",DP$8&gt;=$G48,DP$8&lt;=$G48+$H48-1),2,IF(AND($C48="Milestone",DP$8&gt;=$G48,DP$8&lt;=$G48+$H48-1),1,""))</f>
        <v/>
      </c>
      <c r="DQ48" s="69" t="str">
        <f ca="1">IF(AND($C48="Goal",DQ$8&gt;=$G48,DQ$8&lt;=$G48+$H48-1),2,IF(AND($C48="Milestone",DQ$8&gt;=$G48,DQ$8&lt;=$G48+$H48-1),1,""))</f>
        <v/>
      </c>
      <c r="DR48" s="69" t="str">
        <f ca="1">IF(AND($C48="Goal",DR$8&gt;=$G48,DR$8&lt;=$G48+$H48-1),2,IF(AND($C48="Milestone",DR$8&gt;=$G48,DR$8&lt;=$G48+$H48-1),1,""))</f>
        <v/>
      </c>
      <c r="DS48" s="69" t="str">
        <f ca="1">IF(AND($C48="Goal",DS$8&gt;=$G48,DS$8&lt;=$G48+$H48-1),2,IF(AND($C48="Milestone",DS$8&gt;=$G48,DS$8&lt;=$G48+$H48-1),1,""))</f>
        <v/>
      </c>
      <c r="DT48" s="69" t="str">
        <f ca="1">IF(AND($C48="Goal",DT$8&gt;=$G48,DT$8&lt;=$G48+$H48-1),2,IF(AND($C48="Milestone",DT$8&gt;=$G48,DT$8&lt;=$G48+$H48-1),1,""))</f>
        <v/>
      </c>
      <c r="DU48" s="69" t="str">
        <f ca="1">IF(AND($C48="Goal",DU$8&gt;=$G48,DU$8&lt;=$G48+$H48-1),2,IF(AND($C48="Milestone",DU$8&gt;=$G48,DU$8&lt;=$G48+$H48-1),1,""))</f>
        <v/>
      </c>
      <c r="DV48" s="69" t="str">
        <f ca="1">IF(AND($C48="Goal",DV$8&gt;=$G48,DV$8&lt;=$G48+$H48-1),2,IF(AND($C48="Milestone",DV$8&gt;=$G48,DV$8&lt;=$G48+$H48-1),1,""))</f>
        <v/>
      </c>
      <c r="DW48" s="69" t="str">
        <f ca="1">IF(AND($C48="Goal",DW$8&gt;=$G48,DW$8&lt;=$G48+$H48-1),2,IF(AND($C48="Milestone",DW$8&gt;=$G48,DW$8&lt;=$G48+$H48-1),1,""))</f>
        <v/>
      </c>
      <c r="DX48" s="69" t="str">
        <f ca="1">IF(AND($C48="Goal",DX$8&gt;=$G48,DX$8&lt;=$G48+$H48-1),2,IF(AND($C48="Milestone",DX$8&gt;=$G48,DX$8&lt;=$G48+$H48-1),1,""))</f>
        <v/>
      </c>
      <c r="DY48" s="69" t="str">
        <f ca="1">IF(AND($C48="Goal",DY$8&gt;=$G48,DY$8&lt;=$G48+$H48-1),2,IF(AND($C48="Milestone",DY$8&gt;=$G48,DY$8&lt;=$G48+$H48-1),1,""))</f>
        <v/>
      </c>
      <c r="DZ48" s="69" t="str">
        <f ca="1">IF(AND($C48="Goal",DZ$8&gt;=$G48,DZ$8&lt;=$G48+$H48-1),2,IF(AND($C48="Milestone",DZ$8&gt;=$G48,DZ$8&lt;=$G48+$H48-1),1,""))</f>
        <v/>
      </c>
      <c r="EA48" s="69" t="str">
        <f ca="1">IF(AND($C48="Goal",EA$8&gt;=$G48,EA$8&lt;=$G48+$H48-1),2,IF(AND($C48="Milestone",EA$8&gt;=$G48,EA$8&lt;=$G48+$H48-1),1,""))</f>
        <v/>
      </c>
      <c r="EB48" s="69" t="str">
        <f ca="1">IF(AND($C48="Goal",EB$8&gt;=$G48,EB$8&lt;=$G48+$H48-1),2,IF(AND($C48="Milestone",EB$8&gt;=$G48,EB$8&lt;=$G48+$H48-1),1,""))</f>
        <v/>
      </c>
      <c r="EC48" s="69" t="str">
        <f ca="1">IF(AND($C48="Goal",EC$8&gt;=$G48,EC$8&lt;=$G48+$H48-1),2,IF(AND($C48="Milestone",EC$8&gt;=$G48,EC$8&lt;=$G48+$H48-1),1,""))</f>
        <v/>
      </c>
      <c r="ED48" s="69" t="str">
        <f ca="1">IF(AND($C48="Goal",ED$8&gt;=$G48,ED$8&lt;=$G48+$H48-1),2,IF(AND($C48="Milestone",ED$8&gt;=$G48,ED$8&lt;=$G48+$H48-1),1,""))</f>
        <v/>
      </c>
      <c r="EE48" s="69" t="str">
        <f ca="1">IF(AND($C48="Goal",EE$8&gt;=$G48,EE$8&lt;=$G48+$H48-1),2,IF(AND($C48="Milestone",EE$8&gt;=$G48,EE$8&lt;=$G48+$H48-1),1,""))</f>
        <v/>
      </c>
      <c r="EF48" s="69" t="str">
        <f ca="1">IF(AND($C48="Goal",EF$8&gt;=$G48,EF$8&lt;=$G48+$H48-1),2,IF(AND($C48="Milestone",EF$8&gt;=$G48,EF$8&lt;=$G48+$H48-1),1,""))</f>
        <v/>
      </c>
      <c r="EG48" s="69" t="str">
        <f ca="1">IF(AND($C48="Goal",EG$8&gt;=$G48,EG$8&lt;=$G48+$H48-1),2,IF(AND($C48="Milestone",EG$8&gt;=$G48,EG$8&lt;=$G48+$H48-1),1,""))</f>
        <v/>
      </c>
      <c r="EH48" s="69" t="str">
        <f ca="1">IF(AND($C48="Goal",EH$8&gt;=$G48,EH$8&lt;=$G48+$H48-1),2,IF(AND($C48="Milestone",EH$8&gt;=$G48,EH$8&lt;=$G48+$H48-1),1,""))</f>
        <v/>
      </c>
      <c r="EI48" s="69" t="str">
        <f ca="1">IF(AND($C48="Goal",EI$8&gt;=$G48,EI$8&lt;=$G48+$H48-1),2,IF(AND($C48="Milestone",EI$8&gt;=$G48,EI$8&lt;=$G48+$H48-1),1,""))</f>
        <v/>
      </c>
      <c r="EJ48" s="69" t="str">
        <f ca="1">IF(AND($C48="Goal",EJ$8&gt;=$G48,EJ$8&lt;=$G48+$H48-1),2,IF(AND($C48="Milestone",EJ$8&gt;=$G48,EJ$8&lt;=$G48+$H48-1),1,""))</f>
        <v/>
      </c>
      <c r="EK48" s="69" t="str">
        <f ca="1">IF(AND($C48="Goal",EK$8&gt;=$G48,EK$8&lt;=$G48+$H48-1),2,IF(AND($C48="Milestone",EK$8&gt;=$G48,EK$8&lt;=$G48+$H48-1),1,""))</f>
        <v/>
      </c>
      <c r="EL48" s="69" t="str">
        <f ca="1">IF(AND($C48="Goal",EL$8&gt;=$G48,EL$8&lt;=$G48+$H48-1),2,IF(AND($C48="Milestone",EL$8&gt;=$G48,EL$8&lt;=$G48+$H48-1),1,""))</f>
        <v/>
      </c>
      <c r="EM48" s="69" t="str">
        <f ca="1">IF(AND($C48="Goal",EM$8&gt;=$G48,EM$8&lt;=$G48+$H48-1),2,IF(AND($C48="Milestone",EM$8&gt;=$G48,EM$8&lt;=$G48+$H48-1),1,""))</f>
        <v/>
      </c>
      <c r="EN48" s="69" t="str">
        <f ca="1">IF(AND($C48="Goal",EN$8&gt;=$G48,EN$8&lt;=$G48+$H48-1),2,IF(AND($C48="Milestone",EN$8&gt;=$G48,EN$8&lt;=$G48+$H48-1),1,""))</f>
        <v/>
      </c>
      <c r="EO48" s="69" t="str">
        <f ca="1">IF(AND($C48="Goal",EO$8&gt;=$G48,EO$8&lt;=$G48+$H48-1),2,IF(AND($C48="Milestone",EO$8&gt;=$G48,EO$8&lt;=$G48+$H48-1),1,""))</f>
        <v/>
      </c>
      <c r="EP48" s="69" t="str">
        <f ca="1">IF(AND($C48="Goal",EP$8&gt;=$G48,EP$8&lt;=$G48+$H48-1),2,IF(AND($C48="Milestone",EP$8&gt;=$G48,EP$8&lt;=$G48+$H48-1),1,""))</f>
        <v/>
      </c>
      <c r="EQ48" s="69" t="str">
        <f ca="1">IF(AND($C48="Goal",EQ$8&gt;=$G48,EQ$8&lt;=$G48+$H48-1),2,IF(AND($C48="Milestone",EQ$8&gt;=$G48,EQ$8&lt;=$G48+$H48-1),1,""))</f>
        <v/>
      </c>
      <c r="ER48" s="69" t="str">
        <f ca="1">IF(AND($C48="Goal",ER$8&gt;=$G48,ER$8&lt;=$G48+$H48-1),2,IF(AND($C48="Milestone",ER$8&gt;=$G48,ER$8&lt;=$G48+$H48-1),1,""))</f>
        <v/>
      </c>
      <c r="ES48" s="69" t="str">
        <f ca="1">IF(AND($C48="Goal",ES$8&gt;=$G48,ES$8&lt;=$G48+$H48-1),2,IF(AND($C48="Milestone",ES$8&gt;=$G48,ES$8&lt;=$G48+$H48-1),1,""))</f>
        <v/>
      </c>
      <c r="ET48" s="69" t="str">
        <f ca="1">IF(AND($C48="Goal",ET$8&gt;=$G48,ET$8&lt;=$G48+$H48-1),2,IF(AND($C48="Milestone",ET$8&gt;=$G48,ET$8&lt;=$G48+$H48-1),1,""))</f>
        <v/>
      </c>
      <c r="EU48" s="69" t="str">
        <f ca="1">IF(AND($C48="Goal",EU$8&gt;=$G48,EU$8&lt;=$G48+$H48-1),2,IF(AND($C48="Milestone",EU$8&gt;=$G48,EU$8&lt;=$G48+$H48-1),1,""))</f>
        <v/>
      </c>
      <c r="EV48" s="69" t="str">
        <f ca="1">IF(AND($C48="Goal",EV$8&gt;=$G48,EV$8&lt;=$G48+$H48-1),2,IF(AND($C48="Milestone",EV$8&gt;=$G48,EV$8&lt;=$G48+$H48-1),1,""))</f>
        <v/>
      </c>
      <c r="EW48" s="69" t="str">
        <f ca="1">IF(AND($C48="Goal",EW$8&gt;=$G48,EW$8&lt;=$G48+$H48-1),2,IF(AND($C48="Milestone",EW$8&gt;=$G48,EW$8&lt;=$G48+$H48-1),1,""))</f>
        <v/>
      </c>
      <c r="EX48" s="69" t="str">
        <f ca="1">IF(AND($C48="Goal",EX$8&gt;=$G48,EX$8&lt;=$G48+$H48-1),2,IF(AND($C48="Milestone",EX$8&gt;=$G48,EX$8&lt;=$G48+$H48-1),1,""))</f>
        <v/>
      </c>
      <c r="EY48" s="69" t="str">
        <f ca="1">IF(AND($C48="Goal",EY$8&gt;=$G48,EY$8&lt;=$G48+$H48-1),2,IF(AND($C48="Milestone",EY$8&gt;=$G48,EY$8&lt;=$G48+$H48-1),1,""))</f>
        <v/>
      </c>
      <c r="EZ48" s="69" t="str">
        <f ca="1">IF(AND($C48="Goal",EZ$8&gt;=$G48,EZ$8&lt;=$G48+$H48-1),2,IF(AND($C48="Milestone",EZ$8&gt;=$G48,EZ$8&lt;=$G48+$H48-1),1,""))</f>
        <v/>
      </c>
      <c r="FA48" s="69" t="str">
        <f ca="1">IF(AND($C48="Goal",FA$8&gt;=$G48,FA$8&lt;=$G48+$H48-1),2,IF(AND($C48="Milestone",FA$8&gt;=$G48,FA$8&lt;=$G48+$H48-1),1,""))</f>
        <v/>
      </c>
      <c r="FB48" s="69" t="str">
        <f ca="1">IF(AND($C48="Goal",FB$8&gt;=$G48,FB$8&lt;=$G48+$H48-1),2,IF(AND($C48="Milestone",FB$8&gt;=$G48,FB$8&lt;=$G48+$H48-1),1,""))</f>
        <v/>
      </c>
      <c r="FC48" s="69" t="str">
        <f ca="1">IF(AND($C48="Goal",FC$8&gt;=$G48,FC$8&lt;=$G48+$H48-1),2,IF(AND($C48="Milestone",FC$8&gt;=$G48,FC$8&lt;=$G48+$H48-1),1,""))</f>
        <v/>
      </c>
      <c r="FD48" s="69" t="str">
        <f ca="1">IF(AND($C48="Goal",FD$8&gt;=$G48,FD$8&lt;=$G48+$H48-1),2,IF(AND($C48="Milestone",FD$8&gt;=$G48,FD$8&lt;=$G48+$H48-1),1,""))</f>
        <v/>
      </c>
      <c r="FE48" s="69" t="str">
        <f ca="1">IF(AND($C48="Goal",FE$8&gt;=$G48,FE$8&lt;=$G48+$H48-1),2,IF(AND($C48="Milestone",FE$8&gt;=$G48,FE$8&lt;=$G48+$H48-1),1,""))</f>
        <v/>
      </c>
      <c r="FF48" s="69" t="str">
        <f ca="1">IF(AND($C48="Goal",FF$8&gt;=$G48,FF$8&lt;=$G48+$H48-1),2,IF(AND($C48="Milestone",FF$8&gt;=$G48,FF$8&lt;=$G48+$H48-1),1,""))</f>
        <v/>
      </c>
      <c r="FG48" s="69" t="str">
        <f ca="1">IF(AND($C48="Goal",FG$8&gt;=$G48,FG$8&lt;=$G48+$H48-1),2,IF(AND($C48="Milestone",FG$8&gt;=$G48,FG$8&lt;=$G48+$H48-1),1,""))</f>
        <v/>
      </c>
      <c r="FH48" s="69" t="str">
        <f ca="1">IF(AND($C48="Goal",FH$8&gt;=$G48,FH$8&lt;=$G48+$H48-1),2,IF(AND($C48="Milestone",FH$8&gt;=$G48,FH$8&lt;=$G48+$H48-1),1,""))</f>
        <v/>
      </c>
      <c r="FI48" s="69" t="str">
        <f ca="1">IF(AND($C48="Goal",FI$8&gt;=$G48,FI$8&lt;=$G48+$H48-1),2,IF(AND($C48="Milestone",FI$8&gt;=$G48,FI$8&lt;=$G48+$H48-1),1,""))</f>
        <v/>
      </c>
      <c r="FJ48" s="69" t="str">
        <f ca="1">IF(AND($C48="Goal",FJ$8&gt;=$G48,FJ$8&lt;=$G48+$H48-1),2,IF(AND($C48="Milestone",FJ$8&gt;=$G48,FJ$8&lt;=$G48+$H48-1),1,""))</f>
        <v/>
      </c>
      <c r="FK48" s="69" t="str">
        <f ca="1">IF(AND($C48="Goal",FK$8&gt;=$G48,FK$8&lt;=$G48+$H48-1),2,IF(AND($C48="Milestone",FK$8&gt;=$G48,FK$8&lt;=$G48+$H48-1),1,""))</f>
        <v/>
      </c>
      <c r="FL48" s="69" t="str">
        <f ca="1">IF(AND($C48="Goal",FL$8&gt;=$G48,FL$8&lt;=$G48+$H48-1),2,IF(AND($C48="Milestone",FL$8&gt;=$G48,FL$8&lt;=$G48+$H48-1),1,""))</f>
        <v/>
      </c>
      <c r="FM48" s="69" t="str">
        <f ca="1">IF(AND($C48="Goal",FM$8&gt;=$G48,FM$8&lt;=$G48+$H48-1),2,IF(AND($C48="Milestone",FM$8&gt;=$G48,FM$8&lt;=$G48+$H48-1),1,""))</f>
        <v/>
      </c>
      <c r="FN48" s="69" t="str">
        <f ca="1">IF(AND($C48="Goal",FN$8&gt;=$G48,FN$8&lt;=$G48+$H48-1),2,IF(AND($C48="Milestone",FN$8&gt;=$G48,FN$8&lt;=$G48+$H48-1),1,""))</f>
        <v/>
      </c>
      <c r="FO48" s="69" t="str">
        <f ca="1">IF(AND($C48="Goal",FO$8&gt;=$G48,FO$8&lt;=$G48+$H48-1),2,IF(AND($C48="Milestone",FO$8&gt;=$G48,FO$8&lt;=$G48+$H48-1),1,""))</f>
        <v/>
      </c>
      <c r="FP48" s="69" t="str">
        <f ca="1">IF(AND($C48="Goal",FP$8&gt;=$G48,FP$8&lt;=$G48+$H48-1),2,IF(AND($C48="Milestone",FP$8&gt;=$G48,FP$8&lt;=$G48+$H48-1),1,""))</f>
        <v/>
      </c>
      <c r="FQ48" s="69" t="str">
        <f ca="1">IF(AND($C48="Goal",FQ$8&gt;=$G48,FQ$8&lt;=$G48+$H48-1),2,IF(AND($C48="Milestone",FQ$8&gt;=$G48,FQ$8&lt;=$G48+$H48-1),1,""))</f>
        <v/>
      </c>
      <c r="FR48" s="69" t="str">
        <f ca="1">IF(AND($C48="Goal",FR$8&gt;=$G48,FR$8&lt;=$G48+$H48-1),2,IF(AND($C48="Milestone",FR$8&gt;=$G48,FR$8&lt;=$G48+$H48-1),1,""))</f>
        <v/>
      </c>
      <c r="FS48" s="69" t="str">
        <f ca="1">IF(AND($C48="Goal",FS$8&gt;=$G48,FS$8&lt;=$G48+$H48-1),2,IF(AND($C48="Milestone",FS$8&gt;=$G48,FS$8&lt;=$G48+$H48-1),1,""))</f>
        <v/>
      </c>
      <c r="FT48" s="69" t="str">
        <f ca="1">IF(AND($C48="Goal",FT$8&gt;=$G48,FT$8&lt;=$G48+$H48-1),2,IF(AND($C48="Milestone",FT$8&gt;=$G48,FT$8&lt;=$G48+$H48-1),1,""))</f>
        <v/>
      </c>
      <c r="FU48" s="69" t="str">
        <f ca="1">IF(AND($C48="Goal",FU$8&gt;=$G48,FU$8&lt;=$G48+$H48-1),2,IF(AND($C48="Milestone",FU$8&gt;=$G48,FU$8&lt;=$G48+$H48-1),1,""))</f>
        <v/>
      </c>
      <c r="FV48" s="69" t="str">
        <f ca="1">IF(AND($C48="Goal",FV$8&gt;=$G48,FV$8&lt;=$G48+$H48-1),2,IF(AND($C48="Milestone",FV$8&gt;=$G48,FV$8&lt;=$G48+$H48-1),1,""))</f>
        <v/>
      </c>
      <c r="FW48" s="69" t="str">
        <f ca="1">IF(AND($C48="Goal",FW$8&gt;=$G48,FW$8&lt;=$G48+$H48-1),2,IF(AND($C48="Milestone",FW$8&gt;=$G48,FW$8&lt;=$G48+$H48-1),1,""))</f>
        <v/>
      </c>
      <c r="FX48" s="69" t="str">
        <f ca="1">IF(AND($C48="Goal",FX$8&gt;=$G48,FX$8&lt;=$G48+$H48-1),2,IF(AND($C48="Milestone",FX$8&gt;=$G48,FX$8&lt;=$G48+$H48-1),1,""))</f>
        <v/>
      </c>
      <c r="FY48" s="69" t="str">
        <f ca="1">IF(AND($C48="Goal",FY$8&gt;=$G48,FY$8&lt;=$G48+$H48-1),2,IF(AND($C48="Milestone",FY$8&gt;=$G48,FY$8&lt;=$G48+$H48-1),1,""))</f>
        <v/>
      </c>
      <c r="FZ48" s="69" t="str">
        <f ca="1">IF(AND($C48="Goal",FZ$8&gt;=$G48,FZ$8&lt;=$G48+$H48-1),2,IF(AND($C48="Milestone",FZ$8&gt;=$G48,FZ$8&lt;=$G48+$H48-1),1,""))</f>
        <v/>
      </c>
      <c r="GA48" s="69" t="str">
        <f ca="1">IF(AND($C48="Goal",GA$8&gt;=$G48,GA$8&lt;=$G48+$H48-1),2,IF(AND($C48="Milestone",GA$8&gt;=$G48,GA$8&lt;=$G48+$H48-1),1,""))</f>
        <v/>
      </c>
      <c r="GB48" s="69" t="str">
        <f ca="1">IF(AND($C48="Goal",GB$8&gt;=$G48,GB$8&lt;=$G48+$H48-1),2,IF(AND($C48="Milestone",GB$8&gt;=$G48,GB$8&lt;=$G48+$H48-1),1,""))</f>
        <v/>
      </c>
      <c r="GC48" s="69" t="str">
        <f ca="1">IF(AND($C48="Goal",GC$8&gt;=$G48,GC$8&lt;=$G48+$H48-1),2,IF(AND($C48="Milestone",GC$8&gt;=$G48,GC$8&lt;=$G48+$H48-1),1,""))</f>
        <v/>
      </c>
      <c r="GD48" s="69" t="str">
        <f ca="1">IF(AND($C48="Goal",GD$8&gt;=$G48,GD$8&lt;=$G48+$H48-1),2,IF(AND($C48="Milestone",GD$8&gt;=$G48,GD$8&lt;=$G48+$H48-1),1,""))</f>
        <v/>
      </c>
      <c r="GE48" s="69" t="str">
        <f ca="1">IF(AND($C48="Goal",GE$8&gt;=$G48,GE$8&lt;=$G48+$H48-1),2,IF(AND($C48="Milestone",GE$8&gt;=$G48,GE$8&lt;=$G48+$H48-1),1,""))</f>
        <v/>
      </c>
      <c r="GF48" s="69" t="str">
        <f ca="1">IF(AND($C48="Goal",GF$8&gt;=$G48,GF$8&lt;=$G48+$H48-1),2,IF(AND($C48="Milestone",GF$8&gt;=$G48,GF$8&lt;=$G48+$H48-1),1,""))</f>
        <v/>
      </c>
      <c r="GG48" s="69" t="str">
        <f ca="1">IF(AND($C48="Goal",GG$8&gt;=$G48,GG$8&lt;=$G48+$H48-1),2,IF(AND($C48="Milestone",GG$8&gt;=$G48,GG$8&lt;=$G48+$H48-1),1,""))</f>
        <v/>
      </c>
      <c r="GH48" s="69" t="str">
        <f ca="1">IF(AND($C48="Goal",GH$8&gt;=$G48,GH$8&lt;=$G48+$H48-1),2,IF(AND($C48="Milestone",GH$8&gt;=$G48,GH$8&lt;=$G48+$H48-1),1,""))</f>
        <v/>
      </c>
      <c r="GI48" s="69" t="str">
        <f ca="1">IF(AND($C48="Goal",GI$8&gt;=$G48,GI$8&lt;=$G48+$H48-1),2,IF(AND($C48="Milestone",GI$8&gt;=$G48,GI$8&lt;=$G48+$H48-1),1,""))</f>
        <v/>
      </c>
      <c r="GJ48" s="69" t="str">
        <f ca="1">IF(AND($C48="Goal",GJ$8&gt;=$G48,GJ$8&lt;=$G48+$H48-1),2,IF(AND($C48="Milestone",GJ$8&gt;=$G48,GJ$8&lt;=$G48+$H48-1),1,""))</f>
        <v/>
      </c>
      <c r="GK48" s="69" t="str">
        <f ca="1">IF(AND($C48="Goal",GK$8&gt;=$G48,GK$8&lt;=$G48+$H48-1),2,IF(AND($C48="Milestone",GK$8&gt;=$G48,GK$8&lt;=$G48+$H48-1),1,""))</f>
        <v/>
      </c>
      <c r="GL48" s="69" t="str">
        <f ca="1">IF(AND($C48="Goal",GL$8&gt;=$G48,GL$8&lt;=$G48+$H48-1),2,IF(AND($C48="Milestone",GL$8&gt;=$G48,GL$8&lt;=$G48+$H48-1),1,""))</f>
        <v/>
      </c>
      <c r="GM48" s="69" t="str">
        <f ca="1">IF(AND($C48="Goal",GM$8&gt;=$G48,GM$8&lt;=$G48+$H48-1),2,IF(AND($C48="Milestone",GM$8&gt;=$G48,GM$8&lt;=$G48+$H48-1),1,""))</f>
        <v/>
      </c>
      <c r="GN48" s="69" t="str">
        <f ca="1">IF(AND($C48="Goal",GN$8&gt;=$G48,GN$8&lt;=$G48+$H48-1),2,IF(AND($C48="Milestone",GN$8&gt;=$G48,GN$8&lt;=$G48+$H48-1),1,""))</f>
        <v/>
      </c>
      <c r="GO48" s="69" t="str">
        <f ca="1">IF(AND($C48="Goal",GO$8&gt;=$G48,GO$8&lt;=$G48+$H48-1),2,IF(AND($C48="Milestone",GO$8&gt;=$G48,GO$8&lt;=$G48+$H48-1),1,""))</f>
        <v/>
      </c>
      <c r="GP48" s="69" t="str">
        <f ca="1">IF(AND($C48="Goal",GP$8&gt;=$G48,GP$8&lt;=$G48+$H48-1),2,IF(AND($C48="Milestone",GP$8&gt;=$G48,GP$8&lt;=$G48+$H48-1),1,""))</f>
        <v/>
      </c>
      <c r="GQ48" s="69" t="str">
        <f ca="1">IF(AND($C48="Goal",GQ$8&gt;=$G48,GQ$8&lt;=$G48+$H48-1),2,IF(AND($C48="Milestone",GQ$8&gt;=$G48,GQ$8&lt;=$G48+$H48-1),1,""))</f>
        <v/>
      </c>
      <c r="GR48" s="69" t="str">
        <f ca="1">IF(AND($C48="Goal",GR$8&gt;=$G48,GR$8&lt;=$G48+$H48-1),2,IF(AND($C48="Milestone",GR$8&gt;=$G48,GR$8&lt;=$G48+$H48-1),1,""))</f>
        <v/>
      </c>
      <c r="GS48" s="69" t="str">
        <f ca="1">IF(AND($C48="Goal",GS$8&gt;=$G48,GS$8&lt;=$G48+$H48-1),2,IF(AND($C48="Milestone",GS$8&gt;=$G48,GS$8&lt;=$G48+$H48-1),1,""))</f>
        <v/>
      </c>
      <c r="GT48" s="69" t="str">
        <f ca="1">IF(AND($C48="Goal",GT$8&gt;=$G48,GT$8&lt;=$G48+$H48-1),2,IF(AND($C48="Milestone",GT$8&gt;=$G48,GT$8&lt;=$G48+$H48-1),1,""))</f>
        <v/>
      </c>
      <c r="GU48" s="69" t="str">
        <f ca="1">IF(AND($C48="Goal",GU$8&gt;=$G48,GU$8&lt;=$G48+$H48-1),2,IF(AND($C48="Milestone",GU$8&gt;=$G48,GU$8&lt;=$G48+$H48-1),1,""))</f>
        <v/>
      </c>
      <c r="GV48" s="69" t="str">
        <f ca="1">IF(AND($C48="Goal",GV$8&gt;=$G48,GV$8&lt;=$G48+$H48-1),2,IF(AND($C48="Milestone",GV$8&gt;=$G48,GV$8&lt;=$G48+$H48-1),1,""))</f>
        <v/>
      </c>
      <c r="GW48" s="69" t="str">
        <f ca="1">IF(AND($C48="Goal",GW$8&gt;=$G48,GW$8&lt;=$G48+$H48-1),2,IF(AND($C48="Milestone",GW$8&gt;=$G48,GW$8&lt;=$G48+$H48-1),1,""))</f>
        <v/>
      </c>
      <c r="GX48" s="69" t="str">
        <f ca="1">IF(AND($C48="Goal",GX$8&gt;=$G48,GX$8&lt;=$G48+$H48-1),2,IF(AND($C48="Milestone",GX$8&gt;=$G48,GX$8&lt;=$G48+$H48-1),1,""))</f>
        <v/>
      </c>
      <c r="GY48" s="69" t="str">
        <f ca="1">IF(AND($C48="Goal",GY$8&gt;=$G48,GY$8&lt;=$G48+$H48-1),2,IF(AND($C48="Milestone",GY$8&gt;=$G48,GY$8&lt;=$G48+$H48-1),1,""))</f>
        <v/>
      </c>
      <c r="GZ48" s="69" t="str">
        <f ca="1">IF(AND($C48="Goal",GZ$8&gt;=$G48,GZ$8&lt;=$G48+$H48-1),2,IF(AND($C48="Milestone",GZ$8&gt;=$G48,GZ$8&lt;=$G48+$H48-1),1,""))</f>
        <v/>
      </c>
      <c r="HA48" s="69" t="str">
        <f ca="1">IF(AND($C48="Goal",HA$8&gt;=$G48,HA$8&lt;=$G48+$H48-1),2,IF(AND($C48="Milestone",HA$8&gt;=$G48,HA$8&lt;=$G48+$H48-1),1,""))</f>
        <v/>
      </c>
      <c r="HB48" s="69" t="str">
        <f ca="1">IF(AND($C48="Goal",HB$8&gt;=$G48,HB$8&lt;=$G48+$H48-1),2,IF(AND($C48="Milestone",HB$8&gt;=$G48,HB$8&lt;=$G48+$H48-1),1,""))</f>
        <v/>
      </c>
      <c r="HC48" s="69" t="str">
        <f ca="1">IF(AND($C48="Goal",HC$8&gt;=$G48,HC$8&lt;=$G48+$H48-1),2,IF(AND($C48="Milestone",HC$8&gt;=$G48,HC$8&lt;=$G48+$H48-1),1,""))</f>
        <v/>
      </c>
      <c r="HD48" s="69" t="str">
        <f ca="1">IF(AND($C48="Goal",HD$8&gt;=$G48,HD$8&lt;=$G48+$H48-1),2,IF(AND($C48="Milestone",HD$8&gt;=$G48,HD$8&lt;=$G48+$H48-1),1,""))</f>
        <v/>
      </c>
      <c r="HE48" s="69" t="str">
        <f ca="1">IF(AND($C48="Goal",HE$8&gt;=$G48,HE$8&lt;=$G48+$H48-1),2,IF(AND($C48="Milestone",HE$8&gt;=$G48,HE$8&lt;=$G48+$H48-1),1,""))</f>
        <v/>
      </c>
      <c r="HF48" s="69" t="str">
        <f ca="1">IF(AND($C48="Goal",HF$8&gt;=$G48,HF$8&lt;=$G48+$H48-1),2,IF(AND($C48="Milestone",HF$8&gt;=$G48,HF$8&lt;=$G48+$H48-1),1,""))</f>
        <v/>
      </c>
      <c r="HG48" s="69" t="str">
        <f ca="1">IF(AND($C48="Goal",HG$8&gt;=$G48,HG$8&lt;=$G48+$H48-1),2,IF(AND($C48="Milestone",HG$8&gt;=$G48,HG$8&lt;=$G48+$H48-1),1,""))</f>
        <v/>
      </c>
      <c r="HH48" s="69" t="str">
        <f ca="1">IF(AND($C48="Goal",HH$8&gt;=$G48,HH$8&lt;=$G48+$H48-1),2,IF(AND($C48="Milestone",HH$8&gt;=$G48,HH$8&lt;=$G48+$H48-1),1,""))</f>
        <v/>
      </c>
      <c r="HI48" s="69" t="str">
        <f ca="1">IF(AND($C48="Goal",HI$8&gt;=$G48,HI$8&lt;=$G48+$H48-1),2,IF(AND($C48="Milestone",HI$8&gt;=$G48,HI$8&lt;=$G48+$H48-1),1,""))</f>
        <v/>
      </c>
      <c r="HJ48" s="69" t="str">
        <f ca="1">IF(AND($C48="Goal",HJ$8&gt;=$G48,HJ$8&lt;=$G48+$H48-1),2,IF(AND($C48="Milestone",HJ$8&gt;=$G48,HJ$8&lt;=$G48+$H48-1),1,""))</f>
        <v/>
      </c>
      <c r="HK48" s="69" t="str">
        <f ca="1">IF(AND($C48="Goal",HK$8&gt;=$G48,HK$8&lt;=$G48+$H48-1),2,IF(AND($C48="Milestone",HK$8&gt;=$G48,HK$8&lt;=$G48+$H48-1),1,""))</f>
        <v/>
      </c>
      <c r="HL48" s="69" t="str">
        <f ca="1">IF(AND($C48="Goal",HL$8&gt;=$G48,HL$8&lt;=$G48+$H48-1),2,IF(AND($C48="Milestone",HL$8&gt;=$G48,HL$8&lt;=$G48+$H48-1),1,""))</f>
        <v/>
      </c>
      <c r="HM48" s="69" t="str">
        <f ca="1">IF(AND($C48="Goal",HM$8&gt;=$G48,HM$8&lt;=$G48+$H48-1),2,IF(AND($C48="Milestone",HM$8&gt;=$G48,HM$8&lt;=$G48+$H48-1),1,""))</f>
        <v/>
      </c>
      <c r="HN48" s="69" t="str">
        <f ca="1">IF(AND($C48="Goal",HN$8&gt;=$G48,HN$8&lt;=$G48+$H48-1),2,IF(AND($C48="Milestone",HN$8&gt;=$G48,HN$8&lt;=$G48+$H48-1),1,""))</f>
        <v/>
      </c>
      <c r="HO48" s="69" t="str">
        <f ca="1">IF(AND($C48="Goal",HO$8&gt;=$G48,HO$8&lt;=$G48+$H48-1),2,IF(AND($C48="Milestone",HO$8&gt;=$G48,HO$8&lt;=$G48+$H48-1),1,""))</f>
        <v/>
      </c>
      <c r="HP48" s="69" t="str">
        <f ca="1">IF(AND($C48="Goal",HP$8&gt;=$G48,HP$8&lt;=$G48+$H48-1),2,IF(AND($C48="Milestone",HP$8&gt;=$G48,HP$8&lt;=$G48+$H48-1),1,""))</f>
        <v/>
      </c>
      <c r="HQ48" s="69" t="str">
        <f ca="1">IF(AND($C48="Goal",HQ$8&gt;=$G48,HQ$8&lt;=$G48+$H48-1),2,IF(AND($C48="Milestone",HQ$8&gt;=$G48,HQ$8&lt;=$G48+$H48-1),1,""))</f>
        <v/>
      </c>
      <c r="HR48" s="69" t="str">
        <f ca="1">IF(AND($C48="Goal",HR$8&gt;=$G48,HR$8&lt;=$G48+$H48-1),2,IF(AND($C48="Milestone",HR$8&gt;=$G48,HR$8&lt;=$G48+$H48-1),1,""))</f>
        <v/>
      </c>
      <c r="HS48" s="69" t="str">
        <f ca="1">IF(AND($C48="Goal",HS$8&gt;=$G48,HS$8&lt;=$G48+$H48-1),2,IF(AND($C48="Milestone",HS$8&gt;=$G48,HS$8&lt;=$G48+$H48-1),1,""))</f>
        <v/>
      </c>
      <c r="HT48" s="69" t="str">
        <f ca="1">IF(AND($C48="Goal",HT$8&gt;=$G48,HT$8&lt;=$G48+$H48-1),2,IF(AND($C48="Milestone",HT$8&gt;=$G48,HT$8&lt;=$G48+$H48-1),1,""))</f>
        <v/>
      </c>
      <c r="HU48" s="69" t="str">
        <f ca="1">IF(AND($C48="Goal",HU$8&gt;=$G48,HU$8&lt;=$G48+$H48-1),2,IF(AND($C48="Milestone",HU$8&gt;=$G48,HU$8&lt;=$G48+$H48-1),1,""))</f>
        <v/>
      </c>
      <c r="HV48" s="69" t="str">
        <f ca="1">IF(AND($C48="Goal",HV$8&gt;=$G48,HV$8&lt;=$G48+$H48-1),2,IF(AND($C48="Milestone",HV$8&gt;=$G48,HV$8&lt;=$G48+$H48-1),1,""))</f>
        <v/>
      </c>
      <c r="HW48" s="69" t="str">
        <f ca="1">IF(AND($C48="Goal",HW$8&gt;=$G48,HW$8&lt;=$G48+$H48-1),2,IF(AND($C48="Milestone",HW$8&gt;=$G48,HW$8&lt;=$G48+$H48-1),1,""))</f>
        <v/>
      </c>
      <c r="HX48" s="69" t="str">
        <f ca="1">IF(AND($C48="Goal",HX$8&gt;=$G48,HX$8&lt;=$G48+$H48-1),2,IF(AND($C48="Milestone",HX$8&gt;=$G48,HX$8&lt;=$G48+$H48-1),1,""))</f>
        <v/>
      </c>
      <c r="HY48" s="69" t="str">
        <f ca="1">IF(AND($C48="Goal",HY$8&gt;=$G48,HY$8&lt;=$G48+$H48-1),2,IF(AND($C48="Milestone",HY$8&gt;=$G48,HY$8&lt;=$G48+$H48-1),1,""))</f>
        <v/>
      </c>
      <c r="HZ48" s="69" t="str">
        <f ca="1">IF(AND($C48="Goal",HZ$8&gt;=$G48,HZ$8&lt;=$G48+$H48-1),2,IF(AND($C48="Milestone",HZ$8&gt;=$G48,HZ$8&lt;=$G48+$H48-1),1,""))</f>
        <v/>
      </c>
      <c r="IA48" s="69" t="str">
        <f ca="1">IF(AND($C48="Goal",IA$8&gt;=$G48,IA$8&lt;=$G48+$H48-1),2,IF(AND($C48="Milestone",IA$8&gt;=$G48,IA$8&lt;=$G48+$H48-1),1,""))</f>
        <v/>
      </c>
      <c r="IB48" s="69" t="str">
        <f ca="1">IF(AND($C48="Goal",IB$8&gt;=$G48,IB$8&lt;=$G48+$H48-1),2,IF(AND($C48="Milestone",IB$8&gt;=$G48,IB$8&lt;=$G48+$H48-1),1,""))</f>
        <v/>
      </c>
      <c r="IC48" s="69" t="str">
        <f ca="1">IF(AND($C48="Goal",IC$8&gt;=$G48,IC$8&lt;=$G48+$H48-1),2,IF(AND($C48="Milestone",IC$8&gt;=$G48,IC$8&lt;=$G48+$H48-1),1,""))</f>
        <v/>
      </c>
      <c r="ID48" s="69" t="str">
        <f ca="1">IF(AND($C48="Goal",ID$8&gt;=$G48,ID$8&lt;=$G48+$H48-1),2,IF(AND($C48="Milestone",ID$8&gt;=$G48,ID$8&lt;=$G48+$H48-1),1,""))</f>
        <v/>
      </c>
      <c r="IE48" s="69" t="str">
        <f ca="1">IF(AND($C48="Goal",IE$8&gt;=$G48,IE$8&lt;=$G48+$H48-1),2,IF(AND($C48="Milestone",IE$8&gt;=$G48,IE$8&lt;=$G48+$H48-1),1,""))</f>
        <v/>
      </c>
      <c r="IF48" s="69" t="str">
        <f ca="1">IF(AND($C48="Goal",IF$8&gt;=$G48,IF$8&lt;=$G48+$H48-1),2,IF(AND($C48="Milestone",IF$8&gt;=$G48,IF$8&lt;=$G48+$H48-1),1,""))</f>
        <v/>
      </c>
      <c r="IG48" s="69" t="str">
        <f ca="1">IF(AND($C48="Goal",IG$8&gt;=$G48,IG$8&lt;=$G48+$H48-1),2,IF(AND($C48="Milestone",IG$8&gt;=$G48,IG$8&lt;=$G48+$H48-1),1,""))</f>
        <v/>
      </c>
      <c r="IH48" s="69" t="str">
        <f ca="1">IF(AND($C48="Goal",IH$8&gt;=$G48,IH$8&lt;=$G48+$H48-1),2,IF(AND($C48="Milestone",IH$8&gt;=$G48,IH$8&lt;=$G48+$H48-1),1,""))</f>
        <v/>
      </c>
      <c r="II48" s="69" t="str">
        <f ca="1">IF(AND($C48="Goal",II$8&gt;=$G48,II$8&lt;=$G48+$H48-1),2,IF(AND($C48="Milestone",II$8&gt;=$G48,II$8&lt;=$G48+$H48-1),1,""))</f>
        <v/>
      </c>
      <c r="IJ48" s="69" t="str">
        <f ca="1">IF(AND($C48="Goal",IJ$8&gt;=$G48,IJ$8&lt;=$G48+$H48-1),2,IF(AND($C48="Milestone",IJ$8&gt;=$G48,IJ$8&lt;=$G48+$H48-1),1,""))</f>
        <v/>
      </c>
      <c r="IK48" s="69" t="str">
        <f ca="1">IF(AND($C48="Goal",IK$8&gt;=$G48,IK$8&lt;=$G48+$H48-1),2,IF(AND($C48="Milestone",IK$8&gt;=$G48,IK$8&lt;=$G48+$H48-1),1,""))</f>
        <v/>
      </c>
      <c r="IL48" s="69" t="str">
        <f ca="1">IF(AND($C48="Goal",IL$8&gt;=$G48,IL$8&lt;=$G48+$H48-1),2,IF(AND($C48="Milestone",IL$8&gt;=$G48,IL$8&lt;=$G48+$H48-1),1,""))</f>
        <v/>
      </c>
      <c r="IM48" s="69" t="str">
        <f ca="1">IF(AND($C48="Goal",IM$8&gt;=$G48,IM$8&lt;=$G48+$H48-1),2,IF(AND($C48="Milestone",IM$8&gt;=$G48,IM$8&lt;=$G48+$H48-1),1,""))</f>
        <v/>
      </c>
      <c r="IN48" s="69" t="str">
        <f ca="1">IF(AND($C48="Goal",IN$8&gt;=$G48,IN$8&lt;=$G48+$H48-1),2,IF(AND($C48="Milestone",IN$8&gt;=$G48,IN$8&lt;=$G48+$H48-1),1,""))</f>
        <v/>
      </c>
      <c r="IO48" s="69" t="str">
        <f ca="1">IF(AND($C48="Goal",IO$8&gt;=$G48,IO$8&lt;=$G48+$H48-1),2,IF(AND($C48="Milestone",IO$8&gt;=$G48,IO$8&lt;=$G48+$H48-1),1,""))</f>
        <v/>
      </c>
      <c r="IP48" s="69" t="str">
        <f ca="1">IF(AND($C48="Goal",IP$8&gt;=$G48,IP$8&lt;=$G48+$H48-1),2,IF(AND($C48="Milestone",IP$8&gt;=$G48,IP$8&lt;=$G48+$H48-1),1,""))</f>
        <v/>
      </c>
      <c r="IQ48" s="69" t="str">
        <f ca="1">IF(AND($C48="Goal",IQ$8&gt;=$G48,IQ$8&lt;=$G48+$H48-1),2,IF(AND($C48="Milestone",IQ$8&gt;=$G48,IQ$8&lt;=$G48+$H48-1),1,""))</f>
        <v/>
      </c>
      <c r="IR48" s="69" t="str">
        <f ca="1">IF(AND($C48="Goal",IR$8&gt;=$G48,IR$8&lt;=$G48+$H48-1),2,IF(AND($C48="Milestone",IR$8&gt;=$G48,IR$8&lt;=$G48+$H48-1),1,""))</f>
        <v/>
      </c>
      <c r="IS48" s="69" t="str">
        <f ca="1">IF(AND($C48="Goal",IS$8&gt;=$G48,IS$8&lt;=$G48+$H48-1),2,IF(AND($C48="Milestone",IS$8&gt;=$G48,IS$8&lt;=$G48+$H48-1),1,""))</f>
        <v/>
      </c>
      <c r="IT48" s="69" t="str">
        <f ca="1">IF(AND($C48="Goal",IT$8&gt;=$G48,IT$8&lt;=$G48+$H48-1),2,IF(AND($C48="Milestone",IT$8&gt;=$G48,IT$8&lt;=$G48+$H48-1),1,""))</f>
        <v/>
      </c>
      <c r="IU48" s="69" t="str">
        <f ca="1">IF(AND($C48="Goal",IU$8&gt;=$G48,IU$8&lt;=$G48+$H48-1),2,IF(AND($C48="Milestone",IU$8&gt;=$G48,IU$8&lt;=$G48+$H48-1),1,""))</f>
        <v/>
      </c>
      <c r="IV48" s="69" t="str">
        <f ca="1">IF(AND($C48="Goal",IV$8&gt;=$G48,IV$8&lt;=$G48+$H48-1),2,IF(AND($C48="Milestone",IV$8&gt;=$G48,IV$8&lt;=$G48+$H48-1),1,""))</f>
        <v/>
      </c>
      <c r="IW48" s="69" t="str">
        <f ca="1">IF(AND($C48="Goal",IW$8&gt;=$G48,IW$8&lt;=$G48+$H48-1),2,IF(AND($C48="Milestone",IW$8&gt;=$G48,IW$8&lt;=$G48+$H48-1),1,""))</f>
        <v/>
      </c>
      <c r="IX48" s="69" t="str">
        <f ca="1">IF(AND($C48="Goal",IX$8&gt;=$G48,IX$8&lt;=$G48+$H48-1),2,IF(AND($C48="Milestone",IX$8&gt;=$G48,IX$8&lt;=$G48+$H48-1),1,""))</f>
        <v/>
      </c>
      <c r="IY48" s="69" t="str">
        <f ca="1">IF(AND($C48="Goal",IY$8&gt;=$G48,IY$8&lt;=$G48+$H48-1),2,IF(AND($C48="Milestone",IY$8&gt;=$G48,IY$8&lt;=$G48+$H48-1),1,""))</f>
        <v/>
      </c>
      <c r="IZ48" s="69" t="str">
        <f ca="1">IF(AND($C48="Goal",IZ$8&gt;=$G48,IZ$8&lt;=$G48+$H48-1),2,IF(AND($C48="Milestone",IZ$8&gt;=$G48,IZ$8&lt;=$G48+$H48-1),1,""))</f>
        <v/>
      </c>
      <c r="JA48" s="69" t="str">
        <f ca="1">IF(AND($C48="Goal",JA$8&gt;=$G48,JA$8&lt;=$G48+$H48-1),2,IF(AND($C48="Milestone",JA$8&gt;=$G48,JA$8&lt;=$G48+$H48-1),1,""))</f>
        <v/>
      </c>
      <c r="JB48" s="69" t="str">
        <f ca="1">IF(AND($C48="Goal",JB$8&gt;=$G48,JB$8&lt;=$G48+$H48-1),2,IF(AND($C48="Milestone",JB$8&gt;=$G48,JB$8&lt;=$G48+$H48-1),1,""))</f>
        <v/>
      </c>
      <c r="JC48" s="69" t="str">
        <f ca="1">IF(AND($C48="Goal",JC$8&gt;=$G48,JC$8&lt;=$G48+$H48-1),2,IF(AND($C48="Milestone",JC$8&gt;=$G48,JC$8&lt;=$G48+$H48-1),1,""))</f>
        <v/>
      </c>
      <c r="JD48" s="69" t="str">
        <f ca="1">IF(AND($C48="Goal",JD$8&gt;=$G48,JD$8&lt;=$G48+$H48-1),2,IF(AND($C48="Milestone",JD$8&gt;=$G48,JD$8&lt;=$G48+$H48-1),1,""))</f>
        <v/>
      </c>
      <c r="JE48" s="69" t="str">
        <f ca="1">IF(AND($C48="Goal",JE$8&gt;=$G48,JE$8&lt;=$G48+$H48-1),2,IF(AND($C48="Milestone",JE$8&gt;=$G48,JE$8&lt;=$G48+$H48-1),1,""))</f>
        <v/>
      </c>
      <c r="JF48" s="69" t="str">
        <f ca="1">IF(AND($C48="Goal",JF$8&gt;=$G48,JF$8&lt;=$G48+$H48-1),2,IF(AND($C48="Milestone",JF$8&gt;=$G48,JF$8&lt;=$G48+$H48-1),1,""))</f>
        <v/>
      </c>
      <c r="JG48" s="69" t="str">
        <f ca="1">IF(AND($C48="Goal",JG$8&gt;=$G48,JG$8&lt;=$G48+$H48-1),2,IF(AND($C48="Milestone",JG$8&gt;=$G48,JG$8&lt;=$G48+$H48-1),1,""))</f>
        <v/>
      </c>
      <c r="JH48" s="69" t="str">
        <f ca="1">IF(AND($C48="Goal",JH$8&gt;=$G48,JH$8&lt;=$G48+$H48-1),2,IF(AND($C48="Milestone",JH$8&gt;=$G48,JH$8&lt;=$G48+$H48-1),1,""))</f>
        <v/>
      </c>
      <c r="JI48" s="69" t="str">
        <f ca="1">IF(AND($C48="Goal",JI$8&gt;=$G48,JI$8&lt;=$G48+$H48-1),2,IF(AND($C48="Milestone",JI$8&gt;=$G48,JI$8&lt;=$G48+$H48-1),1,""))</f>
        <v/>
      </c>
      <c r="JJ48" s="69" t="str">
        <f ca="1">IF(AND($C48="Goal",JJ$8&gt;=$G48,JJ$8&lt;=$G48+$H48-1),2,IF(AND($C48="Milestone",JJ$8&gt;=$G48,JJ$8&lt;=$G48+$H48-1),1,""))</f>
        <v/>
      </c>
      <c r="JK48" s="69" t="str">
        <f ca="1">IF(AND($C48="Goal",JK$8&gt;=$G48,JK$8&lt;=$G48+$H48-1),2,IF(AND($C48="Milestone",JK$8&gt;=$G48,JK$8&lt;=$G48+$H48-1),1,""))</f>
        <v/>
      </c>
      <c r="JL48" s="69" t="str">
        <f ca="1">IF(AND($C48="Goal",JL$8&gt;=$G48,JL$8&lt;=$G48+$H48-1),2,IF(AND($C48="Milestone",JL$8&gt;=$G48,JL$8&lt;=$G48+$H48-1),1,""))</f>
        <v/>
      </c>
      <c r="JM48" s="69" t="str">
        <f ca="1">IF(AND($C48="Goal",JM$8&gt;=$G48,JM$8&lt;=$G48+$H48-1),2,IF(AND($C48="Milestone",JM$8&gt;=$G48,JM$8&lt;=$G48+$H48-1),1,""))</f>
        <v/>
      </c>
      <c r="JN48" s="69" t="str">
        <f ca="1">IF(AND($C48="Goal",JN$8&gt;=$G48,JN$8&lt;=$G48+$H48-1),2,IF(AND($C48="Milestone",JN$8&gt;=$G48,JN$8&lt;=$G48+$H48-1),1,""))</f>
        <v/>
      </c>
      <c r="JO48" s="69" t="str">
        <f ca="1">IF(AND($C48="Goal",JO$8&gt;=$G48,JO$8&lt;=$G48+$H48-1),2,IF(AND($C48="Milestone",JO$8&gt;=$G48,JO$8&lt;=$G48+$H48-1),1,""))</f>
        <v/>
      </c>
      <c r="JP48" s="69" t="str">
        <f ca="1">IF(AND($C48="Goal",JP$8&gt;=$G48,JP$8&lt;=$G48+$H48-1),2,IF(AND($C48="Milestone",JP$8&gt;=$G48,JP$8&lt;=$G48+$H48-1),1,""))</f>
        <v/>
      </c>
      <c r="JQ48" s="69" t="str">
        <f ca="1">IF(AND($C48="Goal",JQ$8&gt;=$G48,JQ$8&lt;=$G48+$H48-1),2,IF(AND($C48="Milestone",JQ$8&gt;=$G48,JQ$8&lt;=$G48+$H48-1),1,""))</f>
        <v/>
      </c>
      <c r="JR48" s="69" t="str">
        <f ca="1">IF(AND($C48="Goal",JR$8&gt;=$G48,JR$8&lt;=$G48+$H48-1),2,IF(AND($C48="Milestone",JR$8&gt;=$G48,JR$8&lt;=$G48+$H48-1),1,""))</f>
        <v/>
      </c>
      <c r="JS48" s="69" t="str">
        <f ca="1">IF(AND($C48="Goal",JS$8&gt;=$G48,JS$8&lt;=$G48+$H48-1),2,IF(AND($C48="Milestone",JS$8&gt;=$G48,JS$8&lt;=$G48+$H48-1),1,""))</f>
        <v/>
      </c>
      <c r="JT48" s="69" t="str">
        <f ca="1">IF(AND($C48="Goal",JT$8&gt;=$G48,JT$8&lt;=$G48+$H48-1),2,IF(AND($C48="Milestone",JT$8&gt;=$G48,JT$8&lt;=$G48+$H48-1),1,""))</f>
        <v/>
      </c>
      <c r="JU48" s="69" t="str">
        <f ca="1">IF(AND($C48="Goal",JU$8&gt;=$G48,JU$8&lt;=$G48+$H48-1),2,IF(AND($C48="Milestone",JU$8&gt;=$G48,JU$8&lt;=$G48+$H48-1),1,""))</f>
        <v/>
      </c>
      <c r="JV48" s="69" t="str">
        <f ca="1">IF(AND($C48="Goal",JV$8&gt;=$G48,JV$8&lt;=$G48+$H48-1),2,IF(AND($C48="Milestone",JV$8&gt;=$G48,JV$8&lt;=$G48+$H48-1),1,""))</f>
        <v/>
      </c>
      <c r="JW48" s="69" t="str">
        <f ca="1">IF(AND($C48="Goal",JW$8&gt;=$G48,JW$8&lt;=$G48+$H48-1),2,IF(AND($C48="Milestone",JW$8&gt;=$G48,JW$8&lt;=$G48+$H48-1),1,""))</f>
        <v/>
      </c>
      <c r="JX48" s="69" t="str">
        <f ca="1">IF(AND($C48="Goal",JX$8&gt;=$G48,JX$8&lt;=$G48+$H48-1),2,IF(AND($C48="Milestone",JX$8&gt;=$G48,JX$8&lt;=$G48+$H48-1),1,""))</f>
        <v/>
      </c>
      <c r="JY48" s="69" t="str">
        <f ca="1">IF(AND($C48="Goal",JY$8&gt;=$G48,JY$8&lt;=$G48+$H48-1),2,IF(AND($C48="Milestone",JY$8&gt;=$G48,JY$8&lt;=$G48+$H48-1),1,""))</f>
        <v/>
      </c>
      <c r="JZ48" s="69" t="str">
        <f ca="1">IF(AND($C48="Goal",JZ$8&gt;=$G48,JZ$8&lt;=$G48+$H48-1),2,IF(AND($C48="Milestone",JZ$8&gt;=$G48,JZ$8&lt;=$G48+$H48-1),1,""))</f>
        <v/>
      </c>
      <c r="KA48" s="69" t="str">
        <f ca="1">IF(AND($C48="Goal",KA$8&gt;=$G48,KA$8&lt;=$G48+$H48-1),2,IF(AND($C48="Milestone",KA$8&gt;=$G48,KA$8&lt;=$G48+$H48-1),1,""))</f>
        <v/>
      </c>
      <c r="KB48" s="69" t="str">
        <f ca="1">IF(AND($C48="Goal",KB$8&gt;=$G48,KB$8&lt;=$G48+$H48-1),2,IF(AND($C48="Milestone",KB$8&gt;=$G48,KB$8&lt;=$G48+$H48-1),1,""))</f>
        <v/>
      </c>
      <c r="KC48" s="69" t="str">
        <f ca="1">IF(AND($C48="Goal",KC$8&gt;=$G48,KC$8&lt;=$G48+$H48-1),2,IF(AND($C48="Milestone",KC$8&gt;=$G48,KC$8&lt;=$G48+$H48-1),1,""))</f>
        <v/>
      </c>
      <c r="KD48" s="69" t="str">
        <f ca="1">IF(AND($C48="Goal",KD$8&gt;=$G48,KD$8&lt;=$G48+$H48-1),2,IF(AND($C48="Milestone",KD$8&gt;=$G48,KD$8&lt;=$G48+$H48-1),1,""))</f>
        <v/>
      </c>
      <c r="KE48" s="69" t="str">
        <f ca="1">IF(AND($C48="Goal",KE$8&gt;=$G48,KE$8&lt;=$G48+$H48-1),2,IF(AND($C48="Milestone",KE$8&gt;=$G48,KE$8&lt;=$G48+$H48-1),1,""))</f>
        <v/>
      </c>
      <c r="KF48" s="69" t="str">
        <f ca="1">IF(AND($C48="Goal",KF$8&gt;=$G48,KF$8&lt;=$G48+$H48-1),2,IF(AND($C48="Milestone",KF$8&gt;=$G48,KF$8&lt;=$G48+$H48-1),1,""))</f>
        <v/>
      </c>
      <c r="KG48" s="69" t="str">
        <f ca="1">IF(AND($C48="Goal",KG$8&gt;=$G48,KG$8&lt;=$G48+$H48-1),2,IF(AND($C48="Milestone",KG$8&gt;=$G48,KG$8&lt;=$G48+$H48-1),1,""))</f>
        <v/>
      </c>
      <c r="KH48" s="69" t="str">
        <f ca="1">IF(AND($C48="Goal",KH$8&gt;=$G48,KH$8&lt;=$G48+$H48-1),2,IF(AND($C48="Milestone",KH$8&gt;=$G48,KH$8&lt;=$G48+$H48-1),1,""))</f>
        <v/>
      </c>
      <c r="KI48" s="69" t="str">
        <f ca="1">IF(AND($C48="Goal",KI$8&gt;=$G48,KI$8&lt;=$G48+$H48-1),2,IF(AND($C48="Milestone",KI$8&gt;=$G48,KI$8&lt;=$G48+$H48-1),1,""))</f>
        <v/>
      </c>
      <c r="KJ48" s="69" t="str">
        <f ca="1">IF(AND($C48="Goal",KJ$8&gt;=$G48,KJ$8&lt;=$G48+$H48-1),2,IF(AND($C48="Milestone",KJ$8&gt;=$G48,KJ$8&lt;=$G48+$H48-1),1,""))</f>
        <v/>
      </c>
      <c r="KK48" s="69" t="str">
        <f ca="1">IF(AND($C48="Goal",KK$8&gt;=$G48,KK$8&lt;=$G48+$H48-1),2,IF(AND($C48="Milestone",KK$8&gt;=$G48,KK$8&lt;=$G48+$H48-1),1,""))</f>
        <v/>
      </c>
      <c r="KL48" s="69" t="str">
        <f ca="1">IF(AND($C48="Goal",KL$8&gt;=$G48,KL$8&lt;=$G48+$H48-1),2,IF(AND($C48="Milestone",KL$8&gt;=$G48,KL$8&lt;=$G48+$H48-1),1,""))</f>
        <v/>
      </c>
      <c r="KM48" s="69" t="str">
        <f ca="1">IF(AND($C48="Goal",KM$8&gt;=$G48,KM$8&lt;=$G48+$H48-1),2,IF(AND($C48="Milestone",KM$8&gt;=$G48,KM$8&lt;=$G48+$H48-1),1,""))</f>
        <v/>
      </c>
      <c r="KN48" s="69" t="str">
        <f ca="1">IF(AND($C48="Goal",KN$8&gt;=$G48,KN$8&lt;=$G48+$H48-1),2,IF(AND($C48="Milestone",KN$8&gt;=$G48,KN$8&lt;=$G48+$H48-1),1,""))</f>
        <v/>
      </c>
      <c r="KO48" s="69" t="str">
        <f ca="1">IF(AND($C48="Goal",KO$8&gt;=$G48,KO$8&lt;=$G48+$H48-1),2,IF(AND($C48="Milestone",KO$8&gt;=$G48,KO$8&lt;=$G48+$H48-1),1,""))</f>
        <v/>
      </c>
      <c r="KP48" s="69" t="str">
        <f ca="1">IF(AND($C48="Goal",KP$8&gt;=$G48,KP$8&lt;=$G48+$H48-1),2,IF(AND($C48="Milestone",KP$8&gt;=$G48,KP$8&lt;=$G48+$H48-1),1,""))</f>
        <v/>
      </c>
      <c r="KQ48" s="69" t="str">
        <f ca="1">IF(AND($C48="Goal",KQ$8&gt;=$G48,KQ$8&lt;=$G48+$H48-1),2,IF(AND($C48="Milestone",KQ$8&gt;=$G48,KQ$8&lt;=$G48+$H48-1),1,""))</f>
        <v/>
      </c>
      <c r="KR48" s="69" t="str">
        <f ca="1">IF(AND($C48="Goal",KR$8&gt;=$G48,KR$8&lt;=$G48+$H48-1),2,IF(AND($C48="Milestone",KR$8&gt;=$G48,KR$8&lt;=$G48+$H48-1),1,""))</f>
        <v/>
      </c>
      <c r="KS48" s="69" t="str">
        <f ca="1">IF(AND($C48="Goal",KS$8&gt;=$G48,KS$8&lt;=$G48+$H48-1),2,IF(AND($C48="Milestone",KS$8&gt;=$G48,KS$8&lt;=$G48+$H48-1),1,""))</f>
        <v/>
      </c>
      <c r="KT48" s="69" t="str">
        <f ca="1">IF(AND($C48="Goal",KT$8&gt;=$G48,KT$8&lt;=$G48+$H48-1),2,IF(AND($C48="Milestone",KT$8&gt;=$G48,KT$8&lt;=$G48+$H48-1),1,""))</f>
        <v/>
      </c>
      <c r="KU48" s="69" t="str">
        <f ca="1">IF(AND($C48="Goal",KU$8&gt;=$G48,KU$8&lt;=$G48+$H48-1),2,IF(AND($C48="Milestone",KU$8&gt;=$G48,KU$8&lt;=$G48+$H48-1),1,""))</f>
        <v/>
      </c>
      <c r="KV48" s="69" t="str">
        <f ca="1">IF(AND($C48="Goal",KV$8&gt;=$G48,KV$8&lt;=$G48+$H48-1),2,IF(AND($C48="Milestone",KV$8&gt;=$G48,KV$8&lt;=$G48+$H48-1),1,""))</f>
        <v/>
      </c>
      <c r="KW48" s="69" t="str">
        <f ca="1">IF(AND($C48="Goal",KW$8&gt;=$G48,KW$8&lt;=$G48+$H48-1),2,IF(AND($C48="Milestone",KW$8&gt;=$G48,KW$8&lt;=$G48+$H48-1),1,""))</f>
        <v/>
      </c>
      <c r="KX48" s="69" t="str">
        <f ca="1">IF(AND($C48="Goal",KX$8&gt;=$G48,KX$8&lt;=$G48+$H48-1),2,IF(AND($C48="Milestone",KX$8&gt;=$G48,KX$8&lt;=$G48+$H48-1),1,""))</f>
        <v/>
      </c>
      <c r="KY48" s="69" t="str">
        <f ca="1">IF(AND($C48="Goal",KY$8&gt;=$G48,KY$8&lt;=$G48+$H48-1),2,IF(AND($C48="Milestone",KY$8&gt;=$G48,KY$8&lt;=$G48+$H48-1),1,""))</f>
        <v/>
      </c>
      <c r="KZ48" s="69" t="str">
        <f ca="1">IF(AND($C48="Goal",KZ$8&gt;=$G48,KZ$8&lt;=$G48+$H48-1),2,IF(AND($C48="Milestone",KZ$8&gt;=$G48,KZ$8&lt;=$G48+$H48-1),1,""))</f>
        <v/>
      </c>
      <c r="LA48" s="69" t="str">
        <f ca="1">IF(AND($C48="Goal",LA$8&gt;=$G48,LA$8&lt;=$G48+$H48-1),2,IF(AND($C48="Milestone",LA$8&gt;=$G48,LA$8&lt;=$G48+$H48-1),1,""))</f>
        <v/>
      </c>
      <c r="LB48" s="69" t="str">
        <f ca="1">IF(AND($C48="Goal",LB$8&gt;=$G48,LB$8&lt;=$G48+$H48-1),2,IF(AND($C48="Milestone",LB$8&gt;=$G48,LB$8&lt;=$G48+$H48-1),1,""))</f>
        <v/>
      </c>
      <c r="LC48" s="69" t="str">
        <f ca="1">IF(AND($C48="Goal",LC$8&gt;=$G48,LC$8&lt;=$G48+$H48-1),2,IF(AND($C48="Milestone",LC$8&gt;=$G48,LC$8&lt;=$G48+$H48-1),1,""))</f>
        <v/>
      </c>
      <c r="LD48" s="69" t="str">
        <f ca="1">IF(AND($C48="Goal",LD$8&gt;=$G48,LD$8&lt;=$G48+$H48-1),2,IF(AND($C48="Milestone",LD$8&gt;=$G48,LD$8&lt;=$G48+$H48-1),1,""))</f>
        <v/>
      </c>
      <c r="LE48" s="69" t="str">
        <f ca="1">IF(AND($C48="Goal",LE$8&gt;=$G48,LE$8&lt;=$G48+$H48-1),2,IF(AND($C48="Milestone",LE$8&gt;=$G48,LE$8&lt;=$G48+$H48-1),1,""))</f>
        <v/>
      </c>
      <c r="LF48" s="69" t="str">
        <f ca="1">IF(AND($C48="Goal",LF$8&gt;=$G48,LF$8&lt;=$G48+$H48-1),2,IF(AND($C48="Milestone",LF$8&gt;=$G48,LF$8&lt;=$G48+$H48-1),1,""))</f>
        <v/>
      </c>
      <c r="LG48" s="69" t="str">
        <f ca="1">IF(AND($C48="Goal",LG$8&gt;=$G48,LG$8&lt;=$G48+$H48-1),2,IF(AND($C48="Milestone",LG$8&gt;=$G48,LG$8&lt;=$G48+$H48-1),1,""))</f>
        <v/>
      </c>
      <c r="LH48" s="69" t="str">
        <f ca="1">IF(AND($C48="Goal",LH$8&gt;=$G48,LH$8&lt;=$G48+$H48-1),2,IF(AND($C48="Milestone",LH$8&gt;=$G48,LH$8&lt;=$G48+$H48-1),1,""))</f>
        <v/>
      </c>
      <c r="LI48" s="69" t="str">
        <f ca="1">IF(AND($C48="Goal",LI$8&gt;=$G48,LI$8&lt;=$G48+$H48-1),2,IF(AND($C48="Milestone",LI$8&gt;=$G48,LI$8&lt;=$G48+$H48-1),1,""))</f>
        <v/>
      </c>
      <c r="LJ48" s="69" t="str">
        <f ca="1">IF(AND($C48="Goal",LJ$8&gt;=$G48,LJ$8&lt;=$G48+$H48-1),2,IF(AND($C48="Milestone",LJ$8&gt;=$G48,LJ$8&lt;=$G48+$H48-1),1,""))</f>
        <v/>
      </c>
      <c r="LK48" s="69" t="str">
        <f ca="1">IF(AND($C48="Goal",LK$8&gt;=$G48,LK$8&lt;=$G48+$H48-1),2,IF(AND($C48="Milestone",LK$8&gt;=$G48,LK$8&lt;=$G48+$H48-1),1,""))</f>
        <v/>
      </c>
      <c r="LL48" s="69" t="str">
        <f ca="1">IF(AND($C48="Goal",LL$8&gt;=$G48,LL$8&lt;=$G48+$H48-1),2,IF(AND($C48="Milestone",LL$8&gt;=$G48,LL$8&lt;=$G48+$H48-1),1,""))</f>
        <v/>
      </c>
      <c r="LM48" s="69" t="str">
        <f ca="1">IF(AND($C48="Goal",LM$8&gt;=$G48,LM$8&lt;=$G48+$H48-1),2,IF(AND($C48="Milestone",LM$8&gt;=$G48,LM$8&lt;=$G48+$H48-1),1,""))</f>
        <v/>
      </c>
      <c r="LN48" s="69" t="str">
        <f ca="1">IF(AND($C48="Goal",LN$8&gt;=$G48,LN$8&lt;=$G48+$H48-1),2,IF(AND($C48="Milestone",LN$8&gt;=$G48,LN$8&lt;=$G48+$H48-1),1,""))</f>
        <v/>
      </c>
      <c r="LO48" s="69" t="str">
        <f ca="1">IF(AND($C48="Goal",LO$8&gt;=$G48,LO$8&lt;=$G48+$H48-1),2,IF(AND($C48="Milestone",LO$8&gt;=$G48,LO$8&lt;=$G48+$H48-1),1,""))</f>
        <v/>
      </c>
      <c r="LP48" s="69" t="str">
        <f ca="1">IF(AND($C48="Goal",LP$8&gt;=$G48,LP$8&lt;=$G48+$H48-1),2,IF(AND($C48="Milestone",LP$8&gt;=$G48,LP$8&lt;=$G48+$H48-1),1,""))</f>
        <v/>
      </c>
      <c r="LQ48" s="69" t="str">
        <f ca="1">IF(AND($C48="Goal",LQ$8&gt;=$G48,LQ$8&lt;=$G48+$H48-1),2,IF(AND($C48="Milestone",LQ$8&gt;=$G48,LQ$8&lt;=$G48+$H48-1),1,""))</f>
        <v/>
      </c>
      <c r="LR48" s="69" t="str">
        <f ca="1">IF(AND($C48="Goal",LR$8&gt;=$G48,LR$8&lt;=$G48+$H48-1),2,IF(AND($C48="Milestone",LR$8&gt;=$G48,LR$8&lt;=$G48+$H48-1),1,""))</f>
        <v/>
      </c>
      <c r="LS48" s="69" t="str">
        <f ca="1">IF(AND($C48="Goal",LS$8&gt;=$G48,LS$8&lt;=$G48+$H48-1),2,IF(AND($C48="Milestone",LS$8&gt;=$G48,LS$8&lt;=$G48+$H48-1),1,""))</f>
        <v/>
      </c>
      <c r="LT48" s="69" t="str">
        <f ca="1">IF(AND($C48="Goal",LT$8&gt;=$G48,LT$8&lt;=$G48+$H48-1),2,IF(AND($C48="Milestone",LT$8&gt;=$G48,LT$8&lt;=$G48+$H48-1),1,""))</f>
        <v/>
      </c>
      <c r="LU48" s="69" t="str">
        <f ca="1">IF(AND($C48="Goal",LU$8&gt;=$G48,LU$8&lt;=$G48+$H48-1),2,IF(AND($C48="Milestone",LU$8&gt;=$G48,LU$8&lt;=$G48+$H48-1),1,""))</f>
        <v/>
      </c>
      <c r="LV48" s="69" t="str">
        <f ca="1">IF(AND($C48="Goal",LV$8&gt;=$G48,LV$8&lt;=$G48+$H48-1),2,IF(AND($C48="Milestone",LV$8&gt;=$G48,LV$8&lt;=$G48+$H48-1),1,""))</f>
        <v/>
      </c>
      <c r="LW48" s="69" t="str">
        <f ca="1">IF(AND($C48="Goal",LW$8&gt;=$G48,LW$8&lt;=$G48+$H48-1),2,IF(AND($C48="Milestone",LW$8&gt;=$G48,LW$8&lt;=$G48+$H48-1),1,""))</f>
        <v/>
      </c>
      <c r="LX48" s="69" t="str">
        <f ca="1">IF(AND($C48="Goal",LX$8&gt;=$G48,LX$8&lt;=$G48+$H48-1),2,IF(AND($C48="Milestone",LX$8&gt;=$G48,LX$8&lt;=$G48+$H48-1),1,""))</f>
        <v/>
      </c>
    </row>
    <row r="49" spans="1:336" s="1" customFormat="1" ht="25.25" customHeight="1" x14ac:dyDescent="0.25">
      <c r="A49" s="6"/>
      <c r="B49" s="47" t="s">
        <v>48</v>
      </c>
      <c r="C49" s="58" t="s">
        <v>1</v>
      </c>
      <c r="D49" s="58"/>
      <c r="E49" s="58"/>
      <c r="F49" s="56">
        <v>0</v>
      </c>
      <c r="G49" s="71">
        <v>45960</v>
      </c>
      <c r="H49" s="57">
        <v>1</v>
      </c>
      <c r="I49" s="57">
        <f t="shared" si="207"/>
        <v>2</v>
      </c>
      <c r="J49" s="12">
        <f ca="1">IF(OR(Milestones4352[[#This Row],[Start]]="",Milestones4352[[#This Row],[Days]]=""),"",(Milestones4352[[#This Row],[Start]]+Milestones4352[[#This Row],[Days]])-TODAY())</f>
        <v>12</v>
      </c>
      <c r="K49" s="9"/>
      <c r="L49" s="69" t="str">
        <f ca="1">IF(AND($C49="Goal",L$8&gt;=$G49,L$8&lt;=$G49+$H49-1),2,IF(AND($C49="Milestone",L$8&gt;=$G49,L$8&lt;=$G49+$H49-1),1,""))</f>
        <v/>
      </c>
      <c r="M49" s="69" t="str">
        <f ca="1">IF(AND($C49="Goal",M$8&gt;=$G49,M$8&lt;=$G49+$H49-1),2,IF(AND($C49="Milestone",M$8&gt;=$G49,M$8&lt;=$G49+$H49-1),1,""))</f>
        <v/>
      </c>
      <c r="N49" s="69" t="str">
        <f ca="1">IF(AND($C49="Goal",N$8&gt;=$G49,N$8&lt;=$G49+$H49-1),2,IF(AND($C49="Milestone",N$8&gt;=$G49,N$8&lt;=$G49+$H49-1),1,""))</f>
        <v/>
      </c>
      <c r="O49" s="69" t="str">
        <f ca="1">IF(AND($C49="Goal",O$8&gt;=$G49,O$8&lt;=$G49+$H49-1),2,IF(AND($C49="Milestone",O$8&gt;=$G49,O$8&lt;=$G49+$H49-1),1,""))</f>
        <v/>
      </c>
      <c r="P49" s="69" t="str">
        <f ca="1">IF(AND($C49="Goal",P$8&gt;=$G49,P$8&lt;=$G49+$H49-1),2,IF(AND($C49="Milestone",P$8&gt;=$G49,P$8&lt;=$G49+$H49-1),1,""))</f>
        <v/>
      </c>
      <c r="Q49" s="69" t="str">
        <f ca="1">IF(AND($C49="Goal",Q$8&gt;=$G49,Q$8&lt;=$G49+$H49-1),2,IF(AND($C49="Milestone",Q$8&gt;=$G49,Q$8&lt;=$G49+$H49-1),1,""))</f>
        <v/>
      </c>
      <c r="R49" s="69" t="str">
        <f ca="1">IF(AND($C49="Goal",R$8&gt;=$G49,R$8&lt;=$G49+$H49-1),2,IF(AND($C49="Milestone",R$8&gt;=$G49,R$8&lt;=$G49+$H49-1),1,""))</f>
        <v/>
      </c>
      <c r="S49" s="69" t="str">
        <f ca="1">IF(AND($C49="Goal",S$8&gt;=$G49,S$8&lt;=$G49+$H49-1),2,IF(AND($C49="Milestone",S$8&gt;=$G49,S$8&lt;=$G49+$H49-1),1,""))</f>
        <v/>
      </c>
      <c r="T49" s="69" t="str">
        <f ca="1">IF(AND($C49="Goal",T$8&gt;=$G49,T$8&lt;=$G49+$H49-1),2,IF(AND($C49="Milestone",T$8&gt;=$G49,T$8&lt;=$G49+$H49-1),1,""))</f>
        <v/>
      </c>
      <c r="U49" s="69" t="str">
        <f ca="1">IF(AND($C49="Goal",U$8&gt;=$G49,U$8&lt;=$G49+$H49-1),2,IF(AND($C49="Milestone",U$8&gt;=$G49,U$8&lt;=$G49+$H49-1),1,""))</f>
        <v/>
      </c>
      <c r="V49" s="69" t="str">
        <f ca="1">IF(AND($C49="Goal",V$8&gt;=$G49,V$8&lt;=$G49+$H49-1),2,IF(AND($C49="Milestone",V$8&gt;=$G49,V$8&lt;=$G49+$H49-1),1,""))</f>
        <v/>
      </c>
      <c r="W49" s="69" t="str">
        <f ca="1">IF(AND($C49="Goal",W$8&gt;=$G49,W$8&lt;=$G49+$H49-1),2,IF(AND($C49="Milestone",W$8&gt;=$G49,W$8&lt;=$G49+$H49-1),1,""))</f>
        <v/>
      </c>
      <c r="X49" s="69" t="str">
        <f ca="1">IF(AND($C49="Goal",X$8&gt;=$G49,X$8&lt;=$G49+$H49-1),2,IF(AND($C49="Milestone",X$8&gt;=$G49,X$8&lt;=$G49+$H49-1),1,""))</f>
        <v/>
      </c>
      <c r="Y49" s="69" t="str">
        <f ca="1">IF(AND($C49="Goal",Y$8&gt;=$G49,Y$8&lt;=$G49+$H49-1),2,IF(AND($C49="Milestone",Y$8&gt;=$G49,Y$8&lt;=$G49+$H49-1),1,""))</f>
        <v/>
      </c>
      <c r="Z49" s="69" t="str">
        <f ca="1">IF(AND($C49="Goal",Z$8&gt;=$G49,Z$8&lt;=$G49+$H49-1),2,IF(AND($C49="Milestone",Z$8&gt;=$G49,Z$8&lt;=$G49+$H49-1),1,""))</f>
        <v/>
      </c>
      <c r="AA49" s="69" t="str">
        <f ca="1">IF(AND($C49="Goal",AA$8&gt;=$G49,AA$8&lt;=$G49+$H49-1),2,IF(AND($C49="Milestone",AA$8&gt;=$G49,AA$8&lt;=$G49+$H49-1),1,""))</f>
        <v/>
      </c>
      <c r="AB49" s="69" t="str">
        <f ca="1">IF(AND($C49="Goal",AB$8&gt;=$G49,AB$8&lt;=$G49+$H49-1),2,IF(AND($C49="Milestone",AB$8&gt;=$G49,AB$8&lt;=$G49+$H49-1),1,""))</f>
        <v/>
      </c>
      <c r="AC49" s="69" t="str">
        <f ca="1">IF(AND($C49="Goal",AC$8&gt;=$G49,AC$8&lt;=$G49+$H49-1),2,IF(AND($C49="Milestone",AC$8&gt;=$G49,AC$8&lt;=$G49+$H49-1),1,""))</f>
        <v/>
      </c>
      <c r="AD49" s="69" t="str">
        <f ca="1">IF(AND($C49="Goal",AD$8&gt;=$G49,AD$8&lt;=$G49+$H49-1),2,IF(AND($C49="Milestone",AD$8&gt;=$G49,AD$8&lt;=$G49+$H49-1),1,""))</f>
        <v/>
      </c>
      <c r="AE49" s="69" t="str">
        <f ca="1">IF(AND($C49="Goal",AE$8&gt;=$G49,AE$8&lt;=$G49+$H49-1),2,IF(AND($C49="Milestone",AE$8&gt;=$G49,AE$8&lt;=$G49+$H49-1),1,""))</f>
        <v/>
      </c>
      <c r="AF49" s="69" t="str">
        <f ca="1">IF(AND($C49="Goal",AF$8&gt;=$G49,AF$8&lt;=$G49+$H49-1),2,IF(AND($C49="Milestone",AF$8&gt;=$G49,AF$8&lt;=$G49+$H49-1),1,""))</f>
        <v/>
      </c>
      <c r="AG49" s="69" t="str">
        <f ca="1">IF(AND($C49="Goal",AG$8&gt;=$G49,AG$8&lt;=$G49+$H49-1),2,IF(AND($C49="Milestone",AG$8&gt;=$G49,AG$8&lt;=$G49+$H49-1),1,""))</f>
        <v/>
      </c>
      <c r="AH49" s="69" t="str">
        <f ca="1">IF(AND($C49="Goal",AH$8&gt;=$G49,AH$8&lt;=$G49+$H49-1),2,IF(AND($C49="Milestone",AH$8&gt;=$G49,AH$8&lt;=$G49+$H49-1),1,""))</f>
        <v/>
      </c>
      <c r="AI49" s="69" t="str">
        <f ca="1">IF(AND($C49="Goal",AI$8&gt;=$G49,AI$8&lt;=$G49+$H49-1),2,IF(AND($C49="Milestone",AI$8&gt;=$G49,AI$8&lt;=$G49+$H49-1),1,""))</f>
        <v/>
      </c>
      <c r="AJ49" s="69" t="str">
        <f ca="1">IF(AND($C49="Goal",AJ$8&gt;=$G49,AJ$8&lt;=$G49+$H49-1),2,IF(AND($C49="Milestone",AJ$8&gt;=$G49,AJ$8&lt;=$G49+$H49-1),1,""))</f>
        <v/>
      </c>
      <c r="AK49" s="69" t="str">
        <f ca="1">IF(AND($C49="Goal",AK$8&gt;=$G49,AK$8&lt;=$G49+$H49-1),2,IF(AND($C49="Milestone",AK$8&gt;=$G49,AK$8&lt;=$G49+$H49-1),1,""))</f>
        <v/>
      </c>
      <c r="AL49" s="69" t="str">
        <f ca="1">IF(AND($C49="Goal",AL$8&gt;=$G49,AL$8&lt;=$G49+$H49-1),2,IF(AND($C49="Milestone",AL$8&gt;=$G49,AL$8&lt;=$G49+$H49-1),1,""))</f>
        <v/>
      </c>
      <c r="AM49" s="69" t="str">
        <f ca="1">IF(AND($C49="Goal",AM$8&gt;=$G49,AM$8&lt;=$G49+$H49-1),2,IF(AND($C49="Milestone",AM$8&gt;=$G49,AM$8&lt;=$G49+$H49-1),1,""))</f>
        <v/>
      </c>
      <c r="AN49" s="69" t="str">
        <f ca="1">IF(AND($C49="Goal",AN$8&gt;=$G49,AN$8&lt;=$G49+$H49-1),2,IF(AND($C49="Milestone",AN$8&gt;=$G49,AN$8&lt;=$G49+$H49-1),1,""))</f>
        <v/>
      </c>
      <c r="AO49" s="69" t="str">
        <f ca="1">IF(AND($C49="Goal",AO$8&gt;=$G49,AO$8&lt;=$G49+$H49-1),2,IF(AND($C49="Milestone",AO$8&gt;=$G49,AO$8&lt;=$G49+$H49-1),1,""))</f>
        <v/>
      </c>
      <c r="AP49" s="69" t="str">
        <f ca="1">IF(AND($C49="Goal",AP$8&gt;=$G49,AP$8&lt;=$G49+$H49-1),2,IF(AND($C49="Milestone",AP$8&gt;=$G49,AP$8&lt;=$G49+$H49-1),1,""))</f>
        <v/>
      </c>
      <c r="AQ49" s="69" t="str">
        <f ca="1">IF(AND($C49="Goal",AQ$8&gt;=$G49,AQ$8&lt;=$G49+$H49-1),2,IF(AND($C49="Milestone",AQ$8&gt;=$G49,AQ$8&lt;=$G49+$H49-1),1,""))</f>
        <v/>
      </c>
      <c r="AR49" s="69" t="str">
        <f ca="1">IF(AND($C49="Goal",AR$8&gt;=$G49,AR$8&lt;=$G49+$H49-1),2,IF(AND($C49="Milestone",AR$8&gt;=$G49,AR$8&lt;=$G49+$H49-1),1,""))</f>
        <v/>
      </c>
      <c r="AS49" s="69" t="str">
        <f ca="1">IF(AND($C49="Goal",AS$8&gt;=$G49,AS$8&lt;=$G49+$H49-1),2,IF(AND($C49="Milestone",AS$8&gt;=$G49,AS$8&lt;=$G49+$H49-1),1,""))</f>
        <v/>
      </c>
      <c r="AT49" s="69" t="str">
        <f ca="1">IF(AND($C49="Goal",AT$8&gt;=$G49,AT$8&lt;=$G49+$H49-1),2,IF(AND($C49="Milestone",AT$8&gt;=$G49,AT$8&lt;=$G49+$H49-1),1,""))</f>
        <v/>
      </c>
      <c r="AU49" s="69" t="str">
        <f ca="1">IF(AND($C49="Goal",AU$8&gt;=$G49,AU$8&lt;=$G49+$H49-1),2,IF(AND($C49="Milestone",AU$8&gt;=$G49,AU$8&lt;=$G49+$H49-1),1,""))</f>
        <v/>
      </c>
      <c r="AV49" s="69" t="str">
        <f ca="1">IF(AND($C49="Goal",AV$8&gt;=$G49,AV$8&lt;=$G49+$H49-1),2,IF(AND($C49="Milestone",AV$8&gt;=$G49,AV$8&lt;=$G49+$H49-1),1,""))</f>
        <v/>
      </c>
      <c r="AW49" s="69" t="str">
        <f ca="1">IF(AND($C49="Goal",AW$8&gt;=$G49,AW$8&lt;=$G49+$H49-1),2,IF(AND($C49="Milestone",AW$8&gt;=$G49,AW$8&lt;=$G49+$H49-1),1,""))</f>
        <v/>
      </c>
      <c r="AX49" s="69" t="str">
        <f ca="1">IF(AND($C49="Goal",AX$8&gt;=$G49,AX$8&lt;=$G49+$H49-1),2,IF(AND($C49="Milestone",AX$8&gt;=$G49,AX$8&lt;=$G49+$H49-1),1,""))</f>
        <v/>
      </c>
      <c r="AY49" s="69">
        <f ca="1">IF(AND($C49="Goal",AY$8&gt;=$G49,AY$8&lt;=$G49+$H49-1),2,IF(AND($C49="Milestone",AY$8&gt;=$G49,AY$8&lt;=$G49+$H49-1),1,""))</f>
        <v>2</v>
      </c>
      <c r="AZ49" s="69" t="str">
        <f ca="1">IF(AND($C49="Goal",AZ$8&gt;=$G49,AZ$8&lt;=$G49+$H49-1),2,IF(AND($C49="Milestone",AZ$8&gt;=$G49,AZ$8&lt;=$G49+$H49-1),1,""))</f>
        <v/>
      </c>
      <c r="BA49" s="69" t="str">
        <f ca="1">IF(AND($C49="Goal",BA$8&gt;=$G49,BA$8&lt;=$G49+$H49-1),2,IF(AND($C49="Milestone",BA$8&gt;=$G49,BA$8&lt;=$G49+$H49-1),1,""))</f>
        <v/>
      </c>
      <c r="BB49" s="69" t="str">
        <f ca="1">IF(AND($C49="Goal",BB$8&gt;=$G49,BB$8&lt;=$G49+$H49-1),2,IF(AND($C49="Milestone",BB$8&gt;=$G49,BB$8&lt;=$G49+$H49-1),1,""))</f>
        <v/>
      </c>
      <c r="BC49" s="69" t="str">
        <f ca="1">IF(AND($C49="Goal",BC$8&gt;=$G49,BC$8&lt;=$G49+$H49-1),2,IF(AND($C49="Milestone",BC$8&gt;=$G49,BC$8&lt;=$G49+$H49-1),1,""))</f>
        <v/>
      </c>
      <c r="BD49" s="69" t="str">
        <f ca="1">IF(AND($C49="Goal",BD$8&gt;=$G49,BD$8&lt;=$G49+$H49-1),2,IF(AND($C49="Milestone",BD$8&gt;=$G49,BD$8&lt;=$G49+$H49-1),1,""))</f>
        <v/>
      </c>
      <c r="BE49" s="69" t="str">
        <f ca="1">IF(AND($C49="Goal",BE$8&gt;=$G49,BE$8&lt;=$G49+$H49-1),2,IF(AND($C49="Milestone",BE$8&gt;=$G49,BE$8&lt;=$G49+$H49-1),1,""))</f>
        <v/>
      </c>
      <c r="BF49" s="69" t="str">
        <f ca="1">IF(AND($C49="Goal",BF$8&gt;=$G49,BF$8&lt;=$G49+$H49-1),2,IF(AND($C49="Milestone",BF$8&gt;=$G49,BF$8&lt;=$G49+$H49-1),1,""))</f>
        <v/>
      </c>
      <c r="BG49" s="69" t="str">
        <f ca="1">IF(AND($C49="Goal",BG$8&gt;=$G49,BG$8&lt;=$G49+$H49-1),2,IF(AND($C49="Milestone",BG$8&gt;=$G49,BG$8&lt;=$G49+$H49-1),1,""))</f>
        <v/>
      </c>
      <c r="BH49" s="69" t="str">
        <f ca="1">IF(AND($C49="Goal",BH$8&gt;=$G49,BH$8&lt;=$G49+$H49-1),2,IF(AND($C49="Milestone",BH$8&gt;=$G49,BH$8&lt;=$G49+$H49-1),1,""))</f>
        <v/>
      </c>
      <c r="BI49" s="69" t="str">
        <f ca="1">IF(AND($C49="Goal",BI$8&gt;=$G49,BI$8&lt;=$G49+$H49-1),2,IF(AND($C49="Milestone",BI$8&gt;=$G49,BI$8&lt;=$G49+$H49-1),1,""))</f>
        <v/>
      </c>
      <c r="BJ49" s="69" t="str">
        <f ca="1">IF(AND($C49="Goal",BJ$8&gt;=$G49,BJ$8&lt;=$G49+$H49-1),2,IF(AND($C49="Milestone",BJ$8&gt;=$G49,BJ$8&lt;=$G49+$H49-1),1,""))</f>
        <v/>
      </c>
      <c r="BK49" s="69" t="str">
        <f ca="1">IF(AND($C49="Goal",BK$8&gt;=$G49,BK$8&lt;=$G49+$H49-1),2,IF(AND($C49="Milestone",BK$8&gt;=$G49,BK$8&lt;=$G49+$H49-1),1,""))</f>
        <v/>
      </c>
      <c r="BL49" s="69" t="str">
        <f ca="1">IF(AND($C49="Goal",BL$8&gt;=$G49,BL$8&lt;=$G49+$H49-1),2,IF(AND($C49="Milestone",BL$8&gt;=$G49,BL$8&lt;=$G49+$H49-1),1,""))</f>
        <v/>
      </c>
      <c r="BM49" s="69" t="str">
        <f ca="1">IF(AND($C49="Goal",BM$8&gt;=$G49,BM$8&lt;=$G49+$H49-1),2,IF(AND($C49="Milestone",BM$8&gt;=$G49,BM$8&lt;=$G49+$H49-1),1,""))</f>
        <v/>
      </c>
      <c r="BN49" s="69" t="str">
        <f ca="1">IF(AND($C49="Goal",BN$8&gt;=$G49,BN$8&lt;=$G49+$H49-1),2,IF(AND($C49="Milestone",BN$8&gt;=$G49,BN$8&lt;=$G49+$H49-1),1,""))</f>
        <v/>
      </c>
      <c r="BO49" s="69" t="str">
        <f ca="1">IF(AND($C49="Goal",BO$8&gt;=$G49,BO$8&lt;=$G49+$H49-1),2,IF(AND($C49="Milestone",BO$8&gt;=$G49,BO$8&lt;=$G49+$H49-1),1,""))</f>
        <v/>
      </c>
      <c r="BP49" s="69" t="str">
        <f ca="1">IF(AND($C49="Goal",BP$8&gt;=$G49,BP$8&lt;=$G49+$H49-1),2,IF(AND($C49="Milestone",BP$8&gt;=$G49,BP$8&lt;=$G49+$H49-1),1,""))</f>
        <v/>
      </c>
      <c r="BQ49" s="69" t="str">
        <f ca="1">IF(AND($C49="Goal",BQ$8&gt;=$G49,BQ$8&lt;=$G49+$H49-1),2,IF(AND($C49="Milestone",BQ$8&gt;=$G49,BQ$8&lt;=$G49+$H49-1),1,""))</f>
        <v/>
      </c>
      <c r="BR49" s="69" t="str">
        <f ca="1">IF(AND($C49="Goal",BR$8&gt;=$G49,BR$8&lt;=$G49+$H49-1),2,IF(AND($C49="Milestone",BR$8&gt;=$G49,BR$8&lt;=$G49+$H49-1),1,""))</f>
        <v/>
      </c>
      <c r="BS49" s="69" t="str">
        <f ca="1">IF(AND($C49="Goal",BS$8&gt;=$G49,BS$8&lt;=$G49+$H49-1),2,IF(AND($C49="Milestone",BS$8&gt;=$G49,BS$8&lt;=$G49+$H49-1),1,""))</f>
        <v/>
      </c>
      <c r="BT49" s="69" t="str">
        <f ca="1">IF(AND($C49="Goal",BT$8&gt;=$G49,BT$8&lt;=$G49+$H49-1),2,IF(AND($C49="Milestone",BT$8&gt;=$G49,BT$8&lt;=$G49+$H49-1),1,""))</f>
        <v/>
      </c>
      <c r="BU49" s="69" t="str">
        <f ca="1">IF(AND($C49="Goal",BU$8&gt;=$G49,BU$8&lt;=$G49+$H49-1),2,IF(AND($C49="Milestone",BU$8&gt;=$G49,BU$8&lt;=$G49+$H49-1),1,""))</f>
        <v/>
      </c>
      <c r="BV49" s="69" t="str">
        <f ca="1">IF(AND($C49="Goal",BV$8&gt;=$G49,BV$8&lt;=$G49+$H49-1),2,IF(AND($C49="Milestone",BV$8&gt;=$G49,BV$8&lt;=$G49+$H49-1),1,""))</f>
        <v/>
      </c>
      <c r="BW49" s="69" t="str">
        <f ca="1">IF(AND($C49="Goal",BW$8&gt;=$G49,BW$8&lt;=$G49+$H49-1),2,IF(AND($C49="Milestone",BW$8&gt;=$G49,BW$8&lt;=$G49+$H49-1),1,""))</f>
        <v/>
      </c>
      <c r="BX49" s="69" t="str">
        <f ca="1">IF(AND($C49="Goal",BX$8&gt;=$G49,BX$8&lt;=$G49+$H49-1),2,IF(AND($C49="Milestone",BX$8&gt;=$G49,BX$8&lt;=$G49+$H49-1),1,""))</f>
        <v/>
      </c>
      <c r="BY49" s="69" t="str">
        <f ca="1">IF(AND($C49="Goal",BY$8&gt;=$G49,BY$8&lt;=$G49+$H49-1),2,IF(AND($C49="Milestone",BY$8&gt;=$G49,BY$8&lt;=$G49+$H49-1),1,""))</f>
        <v/>
      </c>
      <c r="BZ49" s="69" t="str">
        <f ca="1">IF(AND($C49="Goal",BZ$8&gt;=$G49,BZ$8&lt;=$G49+$H49-1),2,IF(AND($C49="Milestone",BZ$8&gt;=$G49,BZ$8&lt;=$G49+$H49-1),1,""))</f>
        <v/>
      </c>
      <c r="CA49" s="69" t="str">
        <f ca="1">IF(AND($C49="Goal",CA$8&gt;=$G49,CA$8&lt;=$G49+$H49-1),2,IF(AND($C49="Milestone",CA$8&gt;=$G49,CA$8&lt;=$G49+$H49-1),1,""))</f>
        <v/>
      </c>
      <c r="CB49" s="69" t="str">
        <f ca="1">IF(AND($C49="Goal",CB$8&gt;=$G49,CB$8&lt;=$G49+$H49-1),2,IF(AND($C49="Milestone",CB$8&gt;=$G49,CB$8&lt;=$G49+$H49-1),1,""))</f>
        <v/>
      </c>
      <c r="CC49" s="69" t="str">
        <f ca="1">IF(AND($C49="Goal",CC$8&gt;=$G49,CC$8&lt;=$G49+$H49-1),2,IF(AND($C49="Milestone",CC$8&gt;=$G49,CC$8&lt;=$G49+$H49-1),1,""))</f>
        <v/>
      </c>
      <c r="CD49" s="69" t="str">
        <f ca="1">IF(AND($C49="Goal",CD$8&gt;=$G49,CD$8&lt;=$G49+$H49-1),2,IF(AND($C49="Milestone",CD$8&gt;=$G49,CD$8&lt;=$G49+$H49-1),1,""))</f>
        <v/>
      </c>
      <c r="CE49" s="69" t="str">
        <f ca="1">IF(AND($C49="Goal",CE$8&gt;=$G49,CE$8&lt;=$G49+$H49-1),2,IF(AND($C49="Milestone",CE$8&gt;=$G49,CE$8&lt;=$G49+$H49-1),1,""))</f>
        <v/>
      </c>
      <c r="CF49" s="69" t="str">
        <f ca="1">IF(AND($C49="Goal",CF$8&gt;=$G49,CF$8&lt;=$G49+$H49-1),2,IF(AND($C49="Milestone",CF$8&gt;=$G49,CF$8&lt;=$G49+$H49-1),1,""))</f>
        <v/>
      </c>
      <c r="CG49" s="69" t="str">
        <f ca="1">IF(AND($C49="Goal",CG$8&gt;=$G49,CG$8&lt;=$G49+$H49-1),2,IF(AND($C49="Milestone",CG$8&gt;=$G49,CG$8&lt;=$G49+$H49-1),1,""))</f>
        <v/>
      </c>
      <c r="CH49" s="69" t="str">
        <f ca="1">IF(AND($C49="Goal",CH$8&gt;=$G49,CH$8&lt;=$G49+$H49-1),2,IF(AND($C49="Milestone",CH$8&gt;=$G49,CH$8&lt;=$G49+$H49-1),1,""))</f>
        <v/>
      </c>
      <c r="CI49" s="69" t="str">
        <f ca="1">IF(AND($C49="Goal",CI$8&gt;=$G49,CI$8&lt;=$G49+$H49-1),2,IF(AND($C49="Milestone",CI$8&gt;=$G49,CI$8&lt;=$G49+$H49-1),1,""))</f>
        <v/>
      </c>
      <c r="CJ49" s="69" t="str">
        <f ca="1">IF(AND($C49="Goal",CJ$8&gt;=$G49,CJ$8&lt;=$G49+$H49-1),2,IF(AND($C49="Milestone",CJ$8&gt;=$G49,CJ$8&lt;=$G49+$H49-1),1,""))</f>
        <v/>
      </c>
      <c r="CK49" s="69" t="str">
        <f ca="1">IF(AND($C49="Goal",CK$8&gt;=$G49,CK$8&lt;=$G49+$H49-1),2,IF(AND($C49="Milestone",CK$8&gt;=$G49,CK$8&lt;=$G49+$H49-1),1,""))</f>
        <v/>
      </c>
      <c r="CL49" s="69" t="str">
        <f ca="1">IF(AND($C49="Goal",CL$8&gt;=$G49,CL$8&lt;=$G49+$H49-1),2,IF(AND($C49="Milestone",CL$8&gt;=$G49,CL$8&lt;=$G49+$H49-1),1,""))</f>
        <v/>
      </c>
      <c r="CM49" s="69" t="str">
        <f ca="1">IF(AND($C49="Goal",CM$8&gt;=$G49,CM$8&lt;=$G49+$H49-1),2,IF(AND($C49="Milestone",CM$8&gt;=$G49,CM$8&lt;=$G49+$H49-1),1,""))</f>
        <v/>
      </c>
      <c r="CN49" s="69" t="str">
        <f ca="1">IF(AND($C49="Goal",CN$8&gt;=$G49,CN$8&lt;=$G49+$H49-1),2,IF(AND($C49="Milestone",CN$8&gt;=$G49,CN$8&lt;=$G49+$H49-1),1,""))</f>
        <v/>
      </c>
      <c r="CO49" s="69" t="str">
        <f ca="1">IF(AND($C49="Goal",CO$8&gt;=$G49,CO$8&lt;=$G49+$H49-1),2,IF(AND($C49="Milestone",CO$8&gt;=$G49,CO$8&lt;=$G49+$H49-1),1,""))</f>
        <v/>
      </c>
      <c r="CP49" s="69" t="str">
        <f ca="1">IF(AND($C49="Goal",CP$8&gt;=$G49,CP$8&lt;=$G49+$H49-1),2,IF(AND($C49="Milestone",CP$8&gt;=$G49,CP$8&lt;=$G49+$H49-1),1,""))</f>
        <v/>
      </c>
      <c r="CQ49" s="69" t="str">
        <f ca="1">IF(AND($C49="Goal",CQ$8&gt;=$G49,CQ$8&lt;=$G49+$H49-1),2,IF(AND($C49="Milestone",CQ$8&gt;=$G49,CQ$8&lt;=$G49+$H49-1),1,""))</f>
        <v/>
      </c>
      <c r="CR49" s="69" t="str">
        <f ca="1">IF(AND($C49="Goal",CR$8&gt;=$G49,CR$8&lt;=$G49+$H49-1),2,IF(AND($C49="Milestone",CR$8&gt;=$G49,CR$8&lt;=$G49+$H49-1),1,""))</f>
        <v/>
      </c>
      <c r="CS49" s="69" t="str">
        <f ca="1">IF(AND($C49="Goal",CS$8&gt;=$G49,CS$8&lt;=$G49+$H49-1),2,IF(AND($C49="Milestone",CS$8&gt;=$G49,CS$8&lt;=$G49+$H49-1),1,""))</f>
        <v/>
      </c>
      <c r="CT49" s="69" t="str">
        <f ca="1">IF(AND($C49="Goal",CT$8&gt;=$G49,CT$8&lt;=$G49+$H49-1),2,IF(AND($C49="Milestone",CT$8&gt;=$G49,CT$8&lt;=$G49+$H49-1),1,""))</f>
        <v/>
      </c>
      <c r="CU49" s="69" t="str">
        <f ca="1">IF(AND($C49="Goal",CU$8&gt;=$G49,CU$8&lt;=$G49+$H49-1),2,IF(AND($C49="Milestone",CU$8&gt;=$G49,CU$8&lt;=$G49+$H49-1),1,""))</f>
        <v/>
      </c>
      <c r="CV49" s="69" t="str">
        <f ca="1">IF(AND($C49="Goal",CV$8&gt;=$G49,CV$8&lt;=$G49+$H49-1),2,IF(AND($C49="Milestone",CV$8&gt;=$G49,CV$8&lt;=$G49+$H49-1),1,""))</f>
        <v/>
      </c>
      <c r="CW49" s="69" t="str">
        <f ca="1">IF(AND($C49="Goal",CW$8&gt;=$G49,CW$8&lt;=$G49+$H49-1),2,IF(AND($C49="Milestone",CW$8&gt;=$G49,CW$8&lt;=$G49+$H49-1),1,""))</f>
        <v/>
      </c>
      <c r="CX49" s="69" t="str">
        <f ca="1">IF(AND($C49="Goal",CX$8&gt;=$G49,CX$8&lt;=$G49+$H49-1),2,IF(AND($C49="Milestone",CX$8&gt;=$G49,CX$8&lt;=$G49+$H49-1),1,""))</f>
        <v/>
      </c>
      <c r="CY49" s="69" t="str">
        <f ca="1">IF(AND($C49="Goal",CY$8&gt;=$G49,CY$8&lt;=$G49+$H49-1),2,IF(AND($C49="Milestone",CY$8&gt;=$G49,CY$8&lt;=$G49+$H49-1),1,""))</f>
        <v/>
      </c>
      <c r="CZ49" s="69" t="str">
        <f ca="1">IF(AND($C49="Goal",CZ$8&gt;=$G49,CZ$8&lt;=$G49+$H49-1),2,IF(AND($C49="Milestone",CZ$8&gt;=$G49,CZ$8&lt;=$G49+$H49-1),1,""))</f>
        <v/>
      </c>
      <c r="DA49" s="69" t="str">
        <f ca="1">IF(AND($C49="Goal",DA$8&gt;=$G49,DA$8&lt;=$G49+$H49-1),2,IF(AND($C49="Milestone",DA$8&gt;=$G49,DA$8&lt;=$G49+$H49-1),1,""))</f>
        <v/>
      </c>
      <c r="DB49" s="69" t="str">
        <f ca="1">IF(AND($C49="Goal",DB$8&gt;=$G49,DB$8&lt;=$G49+$H49-1),2,IF(AND($C49="Milestone",DB$8&gt;=$G49,DB$8&lt;=$G49+$H49-1),1,""))</f>
        <v/>
      </c>
      <c r="DC49" s="69" t="str">
        <f ca="1">IF(AND($C49="Goal",DC$8&gt;=$G49,DC$8&lt;=$G49+$H49-1),2,IF(AND($C49="Milestone",DC$8&gt;=$G49,DC$8&lt;=$G49+$H49-1),1,""))</f>
        <v/>
      </c>
      <c r="DD49" s="69" t="str">
        <f ca="1">IF(AND($C49="Goal",DD$8&gt;=$G49,DD$8&lt;=$G49+$H49-1),2,IF(AND($C49="Milestone",DD$8&gt;=$G49,DD$8&lt;=$G49+$H49-1),1,""))</f>
        <v/>
      </c>
      <c r="DE49" s="69" t="str">
        <f ca="1">IF(AND($C49="Goal",DE$8&gt;=$G49,DE$8&lt;=$G49+$H49-1),2,IF(AND($C49="Milestone",DE$8&gt;=$G49,DE$8&lt;=$G49+$H49-1),1,""))</f>
        <v/>
      </c>
      <c r="DF49" s="69" t="str">
        <f ca="1">IF(AND($C49="Goal",DF$8&gt;=$G49,DF$8&lt;=$G49+$H49-1),2,IF(AND($C49="Milestone",DF$8&gt;=$G49,DF$8&lt;=$G49+$H49-1),1,""))</f>
        <v/>
      </c>
      <c r="DG49" s="69" t="str">
        <f ca="1">IF(AND($C49="Goal",DG$8&gt;=$G49,DG$8&lt;=$G49+$H49-1),2,IF(AND($C49="Milestone",DG$8&gt;=$G49,DG$8&lt;=$G49+$H49-1),1,""))</f>
        <v/>
      </c>
      <c r="DH49" s="69" t="str">
        <f ca="1">IF(AND($C49="Goal",DH$8&gt;=$G49,DH$8&lt;=$G49+$H49-1),2,IF(AND($C49="Milestone",DH$8&gt;=$G49,DH$8&lt;=$G49+$H49-1),1,""))</f>
        <v/>
      </c>
      <c r="DI49" s="69" t="str">
        <f ca="1">IF(AND($C49="Goal",DI$8&gt;=$G49,DI$8&lt;=$G49+$H49-1),2,IF(AND($C49="Milestone",DI$8&gt;=$G49,DI$8&lt;=$G49+$H49-1),1,""))</f>
        <v/>
      </c>
      <c r="DJ49" s="69" t="str">
        <f ca="1">IF(AND($C49="Goal",DJ$8&gt;=$G49,DJ$8&lt;=$G49+$H49-1),2,IF(AND($C49="Milestone",DJ$8&gt;=$G49,DJ$8&lt;=$G49+$H49-1),1,""))</f>
        <v/>
      </c>
      <c r="DK49" s="69" t="str">
        <f ca="1">IF(AND($C49="Goal",DK$8&gt;=$G49,DK$8&lt;=$G49+$H49-1),2,IF(AND($C49="Milestone",DK$8&gt;=$G49,DK$8&lt;=$G49+$H49-1),1,""))</f>
        <v/>
      </c>
      <c r="DL49" s="69" t="str">
        <f ca="1">IF(AND($C49="Goal",DL$8&gt;=$G49,DL$8&lt;=$G49+$H49-1),2,IF(AND($C49="Milestone",DL$8&gt;=$G49,DL$8&lt;=$G49+$H49-1),1,""))</f>
        <v/>
      </c>
      <c r="DM49" s="69" t="str">
        <f ca="1">IF(AND($C49="Goal",DM$8&gt;=$G49,DM$8&lt;=$G49+$H49-1),2,IF(AND($C49="Milestone",DM$8&gt;=$G49,DM$8&lt;=$G49+$H49-1),1,""))</f>
        <v/>
      </c>
      <c r="DN49" s="69" t="str">
        <f ca="1">IF(AND($C49="Goal",DN$8&gt;=$G49,DN$8&lt;=$G49+$H49-1),2,IF(AND($C49="Milestone",DN$8&gt;=$G49,DN$8&lt;=$G49+$H49-1),1,""))</f>
        <v/>
      </c>
      <c r="DO49" s="69" t="str">
        <f ca="1">IF(AND($C49="Goal",DO$8&gt;=$G49,DO$8&lt;=$G49+$H49-1),2,IF(AND($C49="Milestone",DO$8&gt;=$G49,DO$8&lt;=$G49+$H49-1),1,""))</f>
        <v/>
      </c>
      <c r="DP49" s="69" t="str">
        <f ca="1">IF(AND($C49="Goal",DP$8&gt;=$G49,DP$8&lt;=$G49+$H49-1),2,IF(AND($C49="Milestone",DP$8&gt;=$G49,DP$8&lt;=$G49+$H49-1),1,""))</f>
        <v/>
      </c>
      <c r="DQ49" s="69" t="str">
        <f ca="1">IF(AND($C49="Goal",DQ$8&gt;=$G49,DQ$8&lt;=$G49+$H49-1),2,IF(AND($C49="Milestone",DQ$8&gt;=$G49,DQ$8&lt;=$G49+$H49-1),1,""))</f>
        <v/>
      </c>
      <c r="DR49" s="69" t="str">
        <f ca="1">IF(AND($C49="Goal",DR$8&gt;=$G49,DR$8&lt;=$G49+$H49-1),2,IF(AND($C49="Milestone",DR$8&gt;=$G49,DR$8&lt;=$G49+$H49-1),1,""))</f>
        <v/>
      </c>
      <c r="DS49" s="69" t="str">
        <f ca="1">IF(AND($C49="Goal",DS$8&gt;=$G49,DS$8&lt;=$G49+$H49-1),2,IF(AND($C49="Milestone",DS$8&gt;=$G49,DS$8&lt;=$G49+$H49-1),1,""))</f>
        <v/>
      </c>
      <c r="DT49" s="69" t="str">
        <f ca="1">IF(AND($C49="Goal",DT$8&gt;=$G49,DT$8&lt;=$G49+$H49-1),2,IF(AND($C49="Milestone",DT$8&gt;=$G49,DT$8&lt;=$G49+$H49-1),1,""))</f>
        <v/>
      </c>
      <c r="DU49" s="69" t="str">
        <f ca="1">IF(AND($C49="Goal",DU$8&gt;=$G49,DU$8&lt;=$G49+$H49-1),2,IF(AND($C49="Milestone",DU$8&gt;=$G49,DU$8&lt;=$G49+$H49-1),1,""))</f>
        <v/>
      </c>
      <c r="DV49" s="69" t="str">
        <f ca="1">IF(AND($C49="Goal",DV$8&gt;=$G49,DV$8&lt;=$G49+$H49-1),2,IF(AND($C49="Milestone",DV$8&gt;=$G49,DV$8&lt;=$G49+$H49-1),1,""))</f>
        <v/>
      </c>
      <c r="DW49" s="69" t="str">
        <f ca="1">IF(AND($C49="Goal",DW$8&gt;=$G49,DW$8&lt;=$G49+$H49-1),2,IF(AND($C49="Milestone",DW$8&gt;=$G49,DW$8&lt;=$G49+$H49-1),1,""))</f>
        <v/>
      </c>
      <c r="DX49" s="69" t="str">
        <f ca="1">IF(AND($C49="Goal",DX$8&gt;=$G49,DX$8&lt;=$G49+$H49-1),2,IF(AND($C49="Milestone",DX$8&gt;=$G49,DX$8&lt;=$G49+$H49-1),1,""))</f>
        <v/>
      </c>
      <c r="DY49" s="69" t="str">
        <f ca="1">IF(AND($C49="Goal",DY$8&gt;=$G49,DY$8&lt;=$G49+$H49-1),2,IF(AND($C49="Milestone",DY$8&gt;=$G49,DY$8&lt;=$G49+$H49-1),1,""))</f>
        <v/>
      </c>
      <c r="DZ49" s="69" t="str">
        <f ca="1">IF(AND($C49="Goal",DZ$8&gt;=$G49,DZ$8&lt;=$G49+$H49-1),2,IF(AND($C49="Milestone",DZ$8&gt;=$G49,DZ$8&lt;=$G49+$H49-1),1,""))</f>
        <v/>
      </c>
      <c r="EA49" s="69" t="str">
        <f ca="1">IF(AND($C49="Goal",EA$8&gt;=$G49,EA$8&lt;=$G49+$H49-1),2,IF(AND($C49="Milestone",EA$8&gt;=$G49,EA$8&lt;=$G49+$H49-1),1,""))</f>
        <v/>
      </c>
      <c r="EB49" s="69" t="str">
        <f ca="1">IF(AND($C49="Goal",EB$8&gt;=$G49,EB$8&lt;=$G49+$H49-1),2,IF(AND($C49="Milestone",EB$8&gt;=$G49,EB$8&lt;=$G49+$H49-1),1,""))</f>
        <v/>
      </c>
      <c r="EC49" s="69" t="str">
        <f ca="1">IF(AND($C49="Goal",EC$8&gt;=$G49,EC$8&lt;=$G49+$H49-1),2,IF(AND($C49="Milestone",EC$8&gt;=$G49,EC$8&lt;=$G49+$H49-1),1,""))</f>
        <v/>
      </c>
      <c r="ED49" s="69" t="str">
        <f ca="1">IF(AND($C49="Goal",ED$8&gt;=$G49,ED$8&lt;=$G49+$H49-1),2,IF(AND($C49="Milestone",ED$8&gt;=$G49,ED$8&lt;=$G49+$H49-1),1,""))</f>
        <v/>
      </c>
      <c r="EE49" s="69" t="str">
        <f ca="1">IF(AND($C49="Goal",EE$8&gt;=$G49,EE$8&lt;=$G49+$H49-1),2,IF(AND($C49="Milestone",EE$8&gt;=$G49,EE$8&lt;=$G49+$H49-1),1,""))</f>
        <v/>
      </c>
      <c r="EF49" s="69" t="str">
        <f ca="1">IF(AND($C49="Goal",EF$8&gt;=$G49,EF$8&lt;=$G49+$H49-1),2,IF(AND($C49="Milestone",EF$8&gt;=$G49,EF$8&lt;=$G49+$H49-1),1,""))</f>
        <v/>
      </c>
      <c r="EG49" s="69" t="str">
        <f ca="1">IF(AND($C49="Goal",EG$8&gt;=$G49,EG$8&lt;=$G49+$H49-1),2,IF(AND($C49="Milestone",EG$8&gt;=$G49,EG$8&lt;=$G49+$H49-1),1,""))</f>
        <v/>
      </c>
      <c r="EH49" s="69" t="str">
        <f ca="1">IF(AND($C49="Goal",EH$8&gt;=$G49,EH$8&lt;=$G49+$H49-1),2,IF(AND($C49="Milestone",EH$8&gt;=$G49,EH$8&lt;=$G49+$H49-1),1,""))</f>
        <v/>
      </c>
      <c r="EI49" s="69" t="str">
        <f ca="1">IF(AND($C49="Goal",EI$8&gt;=$G49,EI$8&lt;=$G49+$H49-1),2,IF(AND($C49="Milestone",EI$8&gt;=$G49,EI$8&lt;=$G49+$H49-1),1,""))</f>
        <v/>
      </c>
      <c r="EJ49" s="69" t="str">
        <f ca="1">IF(AND($C49="Goal",EJ$8&gt;=$G49,EJ$8&lt;=$G49+$H49-1),2,IF(AND($C49="Milestone",EJ$8&gt;=$G49,EJ$8&lt;=$G49+$H49-1),1,""))</f>
        <v/>
      </c>
      <c r="EK49" s="69" t="str">
        <f ca="1">IF(AND($C49="Goal",EK$8&gt;=$G49,EK$8&lt;=$G49+$H49-1),2,IF(AND($C49="Milestone",EK$8&gt;=$G49,EK$8&lt;=$G49+$H49-1),1,""))</f>
        <v/>
      </c>
      <c r="EL49" s="69" t="str">
        <f ca="1">IF(AND($C49="Goal",EL$8&gt;=$G49,EL$8&lt;=$G49+$H49-1),2,IF(AND($C49="Milestone",EL$8&gt;=$G49,EL$8&lt;=$G49+$H49-1),1,""))</f>
        <v/>
      </c>
      <c r="EM49" s="69" t="str">
        <f ca="1">IF(AND($C49="Goal",EM$8&gt;=$G49,EM$8&lt;=$G49+$H49-1),2,IF(AND($C49="Milestone",EM$8&gt;=$G49,EM$8&lt;=$G49+$H49-1),1,""))</f>
        <v/>
      </c>
      <c r="EN49" s="69" t="str">
        <f ca="1">IF(AND($C49="Goal",EN$8&gt;=$G49,EN$8&lt;=$G49+$H49-1),2,IF(AND($C49="Milestone",EN$8&gt;=$G49,EN$8&lt;=$G49+$H49-1),1,""))</f>
        <v/>
      </c>
      <c r="EO49" s="69" t="str">
        <f ca="1">IF(AND($C49="Goal",EO$8&gt;=$G49,EO$8&lt;=$G49+$H49-1),2,IF(AND($C49="Milestone",EO$8&gt;=$G49,EO$8&lt;=$G49+$H49-1),1,""))</f>
        <v/>
      </c>
      <c r="EP49" s="69" t="str">
        <f ca="1">IF(AND($C49="Goal",EP$8&gt;=$G49,EP$8&lt;=$G49+$H49-1),2,IF(AND($C49="Milestone",EP$8&gt;=$G49,EP$8&lt;=$G49+$H49-1),1,""))</f>
        <v/>
      </c>
      <c r="EQ49" s="69" t="str">
        <f ca="1">IF(AND($C49="Goal",EQ$8&gt;=$G49,EQ$8&lt;=$G49+$H49-1),2,IF(AND($C49="Milestone",EQ$8&gt;=$G49,EQ$8&lt;=$G49+$H49-1),1,""))</f>
        <v/>
      </c>
      <c r="ER49" s="69" t="str">
        <f ca="1">IF(AND($C49="Goal",ER$8&gt;=$G49,ER$8&lt;=$G49+$H49-1),2,IF(AND($C49="Milestone",ER$8&gt;=$G49,ER$8&lt;=$G49+$H49-1),1,""))</f>
        <v/>
      </c>
      <c r="ES49" s="69" t="str">
        <f ca="1">IF(AND($C49="Goal",ES$8&gt;=$G49,ES$8&lt;=$G49+$H49-1),2,IF(AND($C49="Milestone",ES$8&gt;=$G49,ES$8&lt;=$G49+$H49-1),1,""))</f>
        <v/>
      </c>
      <c r="ET49" s="69" t="str">
        <f ca="1">IF(AND($C49="Goal",ET$8&gt;=$G49,ET$8&lt;=$G49+$H49-1),2,IF(AND($C49="Milestone",ET$8&gt;=$G49,ET$8&lt;=$G49+$H49-1),1,""))</f>
        <v/>
      </c>
      <c r="EU49" s="69" t="str">
        <f ca="1">IF(AND($C49="Goal",EU$8&gt;=$G49,EU$8&lt;=$G49+$H49-1),2,IF(AND($C49="Milestone",EU$8&gt;=$G49,EU$8&lt;=$G49+$H49-1),1,""))</f>
        <v/>
      </c>
      <c r="EV49" s="69" t="str">
        <f ca="1">IF(AND($C49="Goal",EV$8&gt;=$G49,EV$8&lt;=$G49+$H49-1),2,IF(AND($C49="Milestone",EV$8&gt;=$G49,EV$8&lt;=$G49+$H49-1),1,""))</f>
        <v/>
      </c>
      <c r="EW49" s="69" t="str">
        <f ca="1">IF(AND($C49="Goal",EW$8&gt;=$G49,EW$8&lt;=$G49+$H49-1),2,IF(AND($C49="Milestone",EW$8&gt;=$G49,EW$8&lt;=$G49+$H49-1),1,""))</f>
        <v/>
      </c>
      <c r="EX49" s="69" t="str">
        <f ca="1">IF(AND($C49="Goal",EX$8&gt;=$G49,EX$8&lt;=$G49+$H49-1),2,IF(AND($C49="Milestone",EX$8&gt;=$G49,EX$8&lt;=$G49+$H49-1),1,""))</f>
        <v/>
      </c>
      <c r="EY49" s="69" t="str">
        <f ca="1">IF(AND($C49="Goal",EY$8&gt;=$G49,EY$8&lt;=$G49+$H49-1),2,IF(AND($C49="Milestone",EY$8&gt;=$G49,EY$8&lt;=$G49+$H49-1),1,""))</f>
        <v/>
      </c>
      <c r="EZ49" s="69" t="str">
        <f ca="1">IF(AND($C49="Goal",EZ$8&gt;=$G49,EZ$8&lt;=$G49+$H49-1),2,IF(AND($C49="Milestone",EZ$8&gt;=$G49,EZ$8&lt;=$G49+$H49-1),1,""))</f>
        <v/>
      </c>
      <c r="FA49" s="69" t="str">
        <f ca="1">IF(AND($C49="Goal",FA$8&gt;=$G49,FA$8&lt;=$G49+$H49-1),2,IF(AND($C49="Milestone",FA$8&gt;=$G49,FA$8&lt;=$G49+$H49-1),1,""))</f>
        <v/>
      </c>
      <c r="FB49" s="69" t="str">
        <f ca="1">IF(AND($C49="Goal",FB$8&gt;=$G49,FB$8&lt;=$G49+$H49-1),2,IF(AND($C49="Milestone",FB$8&gt;=$G49,FB$8&lt;=$G49+$H49-1),1,""))</f>
        <v/>
      </c>
      <c r="FC49" s="69" t="str">
        <f ca="1">IF(AND($C49="Goal",FC$8&gt;=$G49,FC$8&lt;=$G49+$H49-1),2,IF(AND($C49="Milestone",FC$8&gt;=$G49,FC$8&lt;=$G49+$H49-1),1,""))</f>
        <v/>
      </c>
      <c r="FD49" s="69" t="str">
        <f ca="1">IF(AND($C49="Goal",FD$8&gt;=$G49,FD$8&lt;=$G49+$H49-1),2,IF(AND($C49="Milestone",FD$8&gt;=$G49,FD$8&lt;=$G49+$H49-1),1,""))</f>
        <v/>
      </c>
      <c r="FE49" s="69" t="str">
        <f ca="1">IF(AND($C49="Goal",FE$8&gt;=$G49,FE$8&lt;=$G49+$H49-1),2,IF(AND($C49="Milestone",FE$8&gt;=$G49,FE$8&lt;=$G49+$H49-1),1,""))</f>
        <v/>
      </c>
      <c r="FF49" s="69" t="str">
        <f ca="1">IF(AND($C49="Goal",FF$8&gt;=$G49,FF$8&lt;=$G49+$H49-1),2,IF(AND($C49="Milestone",FF$8&gt;=$G49,FF$8&lt;=$G49+$H49-1),1,""))</f>
        <v/>
      </c>
      <c r="FG49" s="69" t="str">
        <f ca="1">IF(AND($C49="Goal",FG$8&gt;=$G49,FG$8&lt;=$G49+$H49-1),2,IF(AND($C49="Milestone",FG$8&gt;=$G49,FG$8&lt;=$G49+$H49-1),1,""))</f>
        <v/>
      </c>
      <c r="FH49" s="69" t="str">
        <f ca="1">IF(AND($C49="Goal",FH$8&gt;=$G49,FH$8&lt;=$G49+$H49-1),2,IF(AND($C49="Milestone",FH$8&gt;=$G49,FH$8&lt;=$G49+$H49-1),1,""))</f>
        <v/>
      </c>
      <c r="FI49" s="69" t="str">
        <f ca="1">IF(AND($C49="Goal",FI$8&gt;=$G49,FI$8&lt;=$G49+$H49-1),2,IF(AND($C49="Milestone",FI$8&gt;=$G49,FI$8&lt;=$G49+$H49-1),1,""))</f>
        <v/>
      </c>
      <c r="FJ49" s="69" t="str">
        <f ca="1">IF(AND($C49="Goal",FJ$8&gt;=$G49,FJ$8&lt;=$G49+$H49-1),2,IF(AND($C49="Milestone",FJ$8&gt;=$G49,FJ$8&lt;=$G49+$H49-1),1,""))</f>
        <v/>
      </c>
      <c r="FK49" s="69" t="str">
        <f ca="1">IF(AND($C49="Goal",FK$8&gt;=$G49,FK$8&lt;=$G49+$H49-1),2,IF(AND($C49="Milestone",FK$8&gt;=$G49,FK$8&lt;=$G49+$H49-1),1,""))</f>
        <v/>
      </c>
      <c r="FL49" s="69" t="str">
        <f ca="1">IF(AND($C49="Goal",FL$8&gt;=$G49,FL$8&lt;=$G49+$H49-1),2,IF(AND($C49="Milestone",FL$8&gt;=$G49,FL$8&lt;=$G49+$H49-1),1,""))</f>
        <v/>
      </c>
      <c r="FM49" s="69" t="str">
        <f ca="1">IF(AND($C49="Goal",FM$8&gt;=$G49,FM$8&lt;=$G49+$H49-1),2,IF(AND($C49="Milestone",FM$8&gt;=$G49,FM$8&lt;=$G49+$H49-1),1,""))</f>
        <v/>
      </c>
      <c r="FN49" s="69" t="str">
        <f ca="1">IF(AND($C49="Goal",FN$8&gt;=$G49,FN$8&lt;=$G49+$H49-1),2,IF(AND($C49="Milestone",FN$8&gt;=$G49,FN$8&lt;=$G49+$H49-1),1,""))</f>
        <v/>
      </c>
      <c r="FO49" s="69" t="str">
        <f ca="1">IF(AND($C49="Goal",FO$8&gt;=$G49,FO$8&lt;=$G49+$H49-1),2,IF(AND($C49="Milestone",FO$8&gt;=$G49,FO$8&lt;=$G49+$H49-1),1,""))</f>
        <v/>
      </c>
      <c r="FP49" s="69" t="str">
        <f ca="1">IF(AND($C49="Goal",FP$8&gt;=$G49,FP$8&lt;=$G49+$H49-1),2,IF(AND($C49="Milestone",FP$8&gt;=$G49,FP$8&lt;=$G49+$H49-1),1,""))</f>
        <v/>
      </c>
      <c r="FQ49" s="69" t="str">
        <f ca="1">IF(AND($C49="Goal",FQ$8&gt;=$G49,FQ$8&lt;=$G49+$H49-1),2,IF(AND($C49="Milestone",FQ$8&gt;=$G49,FQ$8&lt;=$G49+$H49-1),1,""))</f>
        <v/>
      </c>
      <c r="FR49" s="69" t="str">
        <f ca="1">IF(AND($C49="Goal",FR$8&gt;=$G49,FR$8&lt;=$G49+$H49-1),2,IF(AND($C49="Milestone",FR$8&gt;=$G49,FR$8&lt;=$G49+$H49-1),1,""))</f>
        <v/>
      </c>
      <c r="FS49" s="69" t="str">
        <f ca="1">IF(AND($C49="Goal",FS$8&gt;=$G49,FS$8&lt;=$G49+$H49-1),2,IF(AND($C49="Milestone",FS$8&gt;=$G49,FS$8&lt;=$G49+$H49-1),1,""))</f>
        <v/>
      </c>
      <c r="FT49" s="69" t="str">
        <f ca="1">IF(AND($C49="Goal",FT$8&gt;=$G49,FT$8&lt;=$G49+$H49-1),2,IF(AND($C49="Milestone",FT$8&gt;=$G49,FT$8&lt;=$G49+$H49-1),1,""))</f>
        <v/>
      </c>
      <c r="FU49" s="69" t="str">
        <f ca="1">IF(AND($C49="Goal",FU$8&gt;=$G49,FU$8&lt;=$G49+$H49-1),2,IF(AND($C49="Milestone",FU$8&gt;=$G49,FU$8&lt;=$G49+$H49-1),1,""))</f>
        <v/>
      </c>
      <c r="FV49" s="69" t="str">
        <f ca="1">IF(AND($C49="Goal",FV$8&gt;=$G49,FV$8&lt;=$G49+$H49-1),2,IF(AND($C49="Milestone",FV$8&gt;=$G49,FV$8&lt;=$G49+$H49-1),1,""))</f>
        <v/>
      </c>
      <c r="FW49" s="69" t="str">
        <f ca="1">IF(AND($C49="Goal",FW$8&gt;=$G49,FW$8&lt;=$G49+$H49-1),2,IF(AND($C49="Milestone",FW$8&gt;=$G49,FW$8&lt;=$G49+$H49-1),1,""))</f>
        <v/>
      </c>
      <c r="FX49" s="69" t="str">
        <f ca="1">IF(AND($C49="Goal",FX$8&gt;=$G49,FX$8&lt;=$G49+$H49-1),2,IF(AND($C49="Milestone",FX$8&gt;=$G49,FX$8&lt;=$G49+$H49-1),1,""))</f>
        <v/>
      </c>
      <c r="FY49" s="69" t="str">
        <f ca="1">IF(AND($C49="Goal",FY$8&gt;=$G49,FY$8&lt;=$G49+$H49-1),2,IF(AND($C49="Milestone",FY$8&gt;=$G49,FY$8&lt;=$G49+$H49-1),1,""))</f>
        <v/>
      </c>
      <c r="FZ49" s="69" t="str">
        <f ca="1">IF(AND($C49="Goal",FZ$8&gt;=$G49,FZ$8&lt;=$G49+$H49-1),2,IF(AND($C49="Milestone",FZ$8&gt;=$G49,FZ$8&lt;=$G49+$H49-1),1,""))</f>
        <v/>
      </c>
      <c r="GA49" s="69" t="str">
        <f ca="1">IF(AND($C49="Goal",GA$8&gt;=$G49,GA$8&lt;=$G49+$H49-1),2,IF(AND($C49="Milestone",GA$8&gt;=$G49,GA$8&lt;=$G49+$H49-1),1,""))</f>
        <v/>
      </c>
      <c r="GB49" s="69" t="str">
        <f ca="1">IF(AND($C49="Goal",GB$8&gt;=$G49,GB$8&lt;=$G49+$H49-1),2,IF(AND($C49="Milestone",GB$8&gt;=$G49,GB$8&lt;=$G49+$H49-1),1,""))</f>
        <v/>
      </c>
      <c r="GC49" s="69" t="str">
        <f ca="1">IF(AND($C49="Goal",GC$8&gt;=$G49,GC$8&lt;=$G49+$H49-1),2,IF(AND($C49="Milestone",GC$8&gt;=$G49,GC$8&lt;=$G49+$H49-1),1,""))</f>
        <v/>
      </c>
      <c r="GD49" s="69" t="str">
        <f ca="1">IF(AND($C49="Goal",GD$8&gt;=$G49,GD$8&lt;=$G49+$H49-1),2,IF(AND($C49="Milestone",GD$8&gt;=$G49,GD$8&lt;=$G49+$H49-1),1,""))</f>
        <v/>
      </c>
      <c r="GE49" s="69" t="str">
        <f ca="1">IF(AND($C49="Goal",GE$8&gt;=$G49,GE$8&lt;=$G49+$H49-1),2,IF(AND($C49="Milestone",GE$8&gt;=$G49,GE$8&lt;=$G49+$H49-1),1,""))</f>
        <v/>
      </c>
      <c r="GF49" s="69" t="str">
        <f ca="1">IF(AND($C49="Goal",GF$8&gt;=$G49,GF$8&lt;=$G49+$H49-1),2,IF(AND($C49="Milestone",GF$8&gt;=$G49,GF$8&lt;=$G49+$H49-1),1,""))</f>
        <v/>
      </c>
      <c r="GG49" s="69" t="str">
        <f ca="1">IF(AND($C49="Goal",GG$8&gt;=$G49,GG$8&lt;=$G49+$H49-1),2,IF(AND($C49="Milestone",GG$8&gt;=$G49,GG$8&lt;=$G49+$H49-1),1,""))</f>
        <v/>
      </c>
      <c r="GH49" s="69" t="str">
        <f ca="1">IF(AND($C49="Goal",GH$8&gt;=$G49,GH$8&lt;=$G49+$H49-1),2,IF(AND($C49="Milestone",GH$8&gt;=$G49,GH$8&lt;=$G49+$H49-1),1,""))</f>
        <v/>
      </c>
      <c r="GI49" s="69" t="str">
        <f ca="1">IF(AND($C49="Goal",GI$8&gt;=$G49,GI$8&lt;=$G49+$H49-1),2,IF(AND($C49="Milestone",GI$8&gt;=$G49,GI$8&lt;=$G49+$H49-1),1,""))</f>
        <v/>
      </c>
      <c r="GJ49" s="69" t="str">
        <f ca="1">IF(AND($C49="Goal",GJ$8&gt;=$G49,GJ$8&lt;=$G49+$H49-1),2,IF(AND($C49="Milestone",GJ$8&gt;=$G49,GJ$8&lt;=$G49+$H49-1),1,""))</f>
        <v/>
      </c>
      <c r="GK49" s="69" t="str">
        <f ca="1">IF(AND($C49="Goal",GK$8&gt;=$G49,GK$8&lt;=$G49+$H49-1),2,IF(AND($C49="Milestone",GK$8&gt;=$G49,GK$8&lt;=$G49+$H49-1),1,""))</f>
        <v/>
      </c>
      <c r="GL49" s="69" t="str">
        <f ca="1">IF(AND($C49="Goal",GL$8&gt;=$G49,GL$8&lt;=$G49+$H49-1),2,IF(AND($C49="Milestone",GL$8&gt;=$G49,GL$8&lt;=$G49+$H49-1),1,""))</f>
        <v/>
      </c>
      <c r="GM49" s="69" t="str">
        <f ca="1">IF(AND($C49="Goal",GM$8&gt;=$G49,GM$8&lt;=$G49+$H49-1),2,IF(AND($C49="Milestone",GM$8&gt;=$G49,GM$8&lt;=$G49+$H49-1),1,""))</f>
        <v/>
      </c>
      <c r="GN49" s="69" t="str">
        <f ca="1">IF(AND($C49="Goal",GN$8&gt;=$G49,GN$8&lt;=$G49+$H49-1),2,IF(AND($C49="Milestone",GN$8&gt;=$G49,GN$8&lt;=$G49+$H49-1),1,""))</f>
        <v/>
      </c>
      <c r="GO49" s="69" t="str">
        <f ca="1">IF(AND($C49="Goal",GO$8&gt;=$G49,GO$8&lt;=$G49+$H49-1),2,IF(AND($C49="Milestone",GO$8&gt;=$G49,GO$8&lt;=$G49+$H49-1),1,""))</f>
        <v/>
      </c>
      <c r="GP49" s="69" t="str">
        <f ca="1">IF(AND($C49="Goal",GP$8&gt;=$G49,GP$8&lt;=$G49+$H49-1),2,IF(AND($C49="Milestone",GP$8&gt;=$G49,GP$8&lt;=$G49+$H49-1),1,""))</f>
        <v/>
      </c>
      <c r="GQ49" s="69" t="str">
        <f ca="1">IF(AND($C49="Goal",GQ$8&gt;=$G49,GQ$8&lt;=$G49+$H49-1),2,IF(AND($C49="Milestone",GQ$8&gt;=$G49,GQ$8&lt;=$G49+$H49-1),1,""))</f>
        <v/>
      </c>
      <c r="GR49" s="69" t="str">
        <f ca="1">IF(AND($C49="Goal",GR$8&gt;=$G49,GR$8&lt;=$G49+$H49-1),2,IF(AND($C49="Milestone",GR$8&gt;=$G49,GR$8&lt;=$G49+$H49-1),1,""))</f>
        <v/>
      </c>
      <c r="GS49" s="69" t="str">
        <f ca="1">IF(AND($C49="Goal",GS$8&gt;=$G49,GS$8&lt;=$G49+$H49-1),2,IF(AND($C49="Milestone",GS$8&gt;=$G49,GS$8&lt;=$G49+$H49-1),1,""))</f>
        <v/>
      </c>
      <c r="GT49" s="69" t="str">
        <f ca="1">IF(AND($C49="Goal",GT$8&gt;=$G49,GT$8&lt;=$G49+$H49-1),2,IF(AND($C49="Milestone",GT$8&gt;=$G49,GT$8&lt;=$G49+$H49-1),1,""))</f>
        <v/>
      </c>
      <c r="GU49" s="69" t="str">
        <f ca="1">IF(AND($C49="Goal",GU$8&gt;=$G49,GU$8&lt;=$G49+$H49-1),2,IF(AND($C49="Milestone",GU$8&gt;=$G49,GU$8&lt;=$G49+$H49-1),1,""))</f>
        <v/>
      </c>
      <c r="GV49" s="69" t="str">
        <f ca="1">IF(AND($C49="Goal",GV$8&gt;=$G49,GV$8&lt;=$G49+$H49-1),2,IF(AND($C49="Milestone",GV$8&gt;=$G49,GV$8&lt;=$G49+$H49-1),1,""))</f>
        <v/>
      </c>
      <c r="GW49" s="69" t="str">
        <f ca="1">IF(AND($C49="Goal",GW$8&gt;=$G49,GW$8&lt;=$G49+$H49-1),2,IF(AND($C49="Milestone",GW$8&gt;=$G49,GW$8&lt;=$G49+$H49-1),1,""))</f>
        <v/>
      </c>
      <c r="GX49" s="69" t="str">
        <f ca="1">IF(AND($C49="Goal",GX$8&gt;=$G49,GX$8&lt;=$G49+$H49-1),2,IF(AND($C49="Milestone",GX$8&gt;=$G49,GX$8&lt;=$G49+$H49-1),1,""))</f>
        <v/>
      </c>
      <c r="GY49" s="69" t="str">
        <f ca="1">IF(AND($C49="Goal",GY$8&gt;=$G49,GY$8&lt;=$G49+$H49-1),2,IF(AND($C49="Milestone",GY$8&gt;=$G49,GY$8&lt;=$G49+$H49-1),1,""))</f>
        <v/>
      </c>
      <c r="GZ49" s="69" t="str">
        <f ca="1">IF(AND($C49="Goal",GZ$8&gt;=$G49,GZ$8&lt;=$G49+$H49-1),2,IF(AND($C49="Milestone",GZ$8&gt;=$G49,GZ$8&lt;=$G49+$H49-1),1,""))</f>
        <v/>
      </c>
      <c r="HA49" s="69" t="str">
        <f ca="1">IF(AND($C49="Goal",HA$8&gt;=$G49,HA$8&lt;=$G49+$H49-1),2,IF(AND($C49="Milestone",HA$8&gt;=$G49,HA$8&lt;=$G49+$H49-1),1,""))</f>
        <v/>
      </c>
      <c r="HB49" s="69" t="str">
        <f ca="1">IF(AND($C49="Goal",HB$8&gt;=$G49,HB$8&lt;=$G49+$H49-1),2,IF(AND($C49="Milestone",HB$8&gt;=$G49,HB$8&lt;=$G49+$H49-1),1,""))</f>
        <v/>
      </c>
      <c r="HC49" s="69" t="str">
        <f ca="1">IF(AND($C49="Goal",HC$8&gt;=$G49,HC$8&lt;=$G49+$H49-1),2,IF(AND($C49="Milestone",HC$8&gt;=$G49,HC$8&lt;=$G49+$H49-1),1,""))</f>
        <v/>
      </c>
      <c r="HD49" s="69" t="str">
        <f ca="1">IF(AND($C49="Goal",HD$8&gt;=$G49,HD$8&lt;=$G49+$H49-1),2,IF(AND($C49="Milestone",HD$8&gt;=$G49,HD$8&lt;=$G49+$H49-1),1,""))</f>
        <v/>
      </c>
      <c r="HE49" s="69" t="str">
        <f ca="1">IF(AND($C49="Goal",HE$8&gt;=$G49,HE$8&lt;=$G49+$H49-1),2,IF(AND($C49="Milestone",HE$8&gt;=$G49,HE$8&lt;=$G49+$H49-1),1,""))</f>
        <v/>
      </c>
      <c r="HF49" s="69" t="str">
        <f ca="1">IF(AND($C49="Goal",HF$8&gt;=$G49,HF$8&lt;=$G49+$H49-1),2,IF(AND($C49="Milestone",HF$8&gt;=$G49,HF$8&lt;=$G49+$H49-1),1,""))</f>
        <v/>
      </c>
      <c r="HG49" s="69" t="str">
        <f ca="1">IF(AND($C49="Goal",HG$8&gt;=$G49,HG$8&lt;=$G49+$H49-1),2,IF(AND($C49="Milestone",HG$8&gt;=$G49,HG$8&lt;=$G49+$H49-1),1,""))</f>
        <v/>
      </c>
      <c r="HH49" s="69" t="str">
        <f ca="1">IF(AND($C49="Goal",HH$8&gt;=$G49,HH$8&lt;=$G49+$H49-1),2,IF(AND($C49="Milestone",HH$8&gt;=$G49,HH$8&lt;=$G49+$H49-1),1,""))</f>
        <v/>
      </c>
      <c r="HI49" s="69" t="str">
        <f ca="1">IF(AND($C49="Goal",HI$8&gt;=$G49,HI$8&lt;=$G49+$H49-1),2,IF(AND($C49="Milestone",HI$8&gt;=$G49,HI$8&lt;=$G49+$H49-1),1,""))</f>
        <v/>
      </c>
      <c r="HJ49" s="69" t="str">
        <f ca="1">IF(AND($C49="Goal",HJ$8&gt;=$G49,HJ$8&lt;=$G49+$H49-1),2,IF(AND($C49="Milestone",HJ$8&gt;=$G49,HJ$8&lt;=$G49+$H49-1),1,""))</f>
        <v/>
      </c>
      <c r="HK49" s="69" t="str">
        <f ca="1">IF(AND($C49="Goal",HK$8&gt;=$G49,HK$8&lt;=$G49+$H49-1),2,IF(AND($C49="Milestone",HK$8&gt;=$G49,HK$8&lt;=$G49+$H49-1),1,""))</f>
        <v/>
      </c>
      <c r="HL49" s="69" t="str">
        <f ca="1">IF(AND($C49="Goal",HL$8&gt;=$G49,HL$8&lt;=$G49+$H49-1),2,IF(AND($C49="Milestone",HL$8&gt;=$G49,HL$8&lt;=$G49+$H49-1),1,""))</f>
        <v/>
      </c>
      <c r="HM49" s="69" t="str">
        <f ca="1">IF(AND($C49="Goal",HM$8&gt;=$G49,HM$8&lt;=$G49+$H49-1),2,IF(AND($C49="Milestone",HM$8&gt;=$G49,HM$8&lt;=$G49+$H49-1),1,""))</f>
        <v/>
      </c>
      <c r="HN49" s="69" t="str">
        <f ca="1">IF(AND($C49="Goal",HN$8&gt;=$G49,HN$8&lt;=$G49+$H49-1),2,IF(AND($C49="Milestone",HN$8&gt;=$G49,HN$8&lt;=$G49+$H49-1),1,""))</f>
        <v/>
      </c>
      <c r="HO49" s="69" t="str">
        <f ca="1">IF(AND($C49="Goal",HO$8&gt;=$G49,HO$8&lt;=$G49+$H49-1),2,IF(AND($C49="Milestone",HO$8&gt;=$G49,HO$8&lt;=$G49+$H49-1),1,""))</f>
        <v/>
      </c>
      <c r="HP49" s="69" t="str">
        <f ca="1">IF(AND($C49="Goal",HP$8&gt;=$G49,HP$8&lt;=$G49+$H49-1),2,IF(AND($C49="Milestone",HP$8&gt;=$G49,HP$8&lt;=$G49+$H49-1),1,""))</f>
        <v/>
      </c>
      <c r="HQ49" s="69" t="str">
        <f ca="1">IF(AND($C49="Goal",HQ$8&gt;=$G49,HQ$8&lt;=$G49+$H49-1),2,IF(AND($C49="Milestone",HQ$8&gt;=$G49,HQ$8&lt;=$G49+$H49-1),1,""))</f>
        <v/>
      </c>
      <c r="HR49" s="69" t="str">
        <f ca="1">IF(AND($C49="Goal",HR$8&gt;=$G49,HR$8&lt;=$G49+$H49-1),2,IF(AND($C49="Milestone",HR$8&gt;=$G49,HR$8&lt;=$G49+$H49-1),1,""))</f>
        <v/>
      </c>
      <c r="HS49" s="69" t="str">
        <f ca="1">IF(AND($C49="Goal",HS$8&gt;=$G49,HS$8&lt;=$G49+$H49-1),2,IF(AND($C49="Milestone",HS$8&gt;=$G49,HS$8&lt;=$G49+$H49-1),1,""))</f>
        <v/>
      </c>
      <c r="HT49" s="69" t="str">
        <f ca="1">IF(AND($C49="Goal",HT$8&gt;=$G49,HT$8&lt;=$G49+$H49-1),2,IF(AND($C49="Milestone",HT$8&gt;=$G49,HT$8&lt;=$G49+$H49-1),1,""))</f>
        <v/>
      </c>
      <c r="HU49" s="69" t="str">
        <f ca="1">IF(AND($C49="Goal",HU$8&gt;=$G49,HU$8&lt;=$G49+$H49-1),2,IF(AND($C49="Milestone",HU$8&gt;=$G49,HU$8&lt;=$G49+$H49-1),1,""))</f>
        <v/>
      </c>
      <c r="HV49" s="69" t="str">
        <f ca="1">IF(AND($C49="Goal",HV$8&gt;=$G49,HV$8&lt;=$G49+$H49-1),2,IF(AND($C49="Milestone",HV$8&gt;=$G49,HV$8&lt;=$G49+$H49-1),1,""))</f>
        <v/>
      </c>
      <c r="HW49" s="69" t="str">
        <f ca="1">IF(AND($C49="Goal",HW$8&gt;=$G49,HW$8&lt;=$G49+$H49-1),2,IF(AND($C49="Milestone",HW$8&gt;=$G49,HW$8&lt;=$G49+$H49-1),1,""))</f>
        <v/>
      </c>
      <c r="HX49" s="69" t="str">
        <f ca="1">IF(AND($C49="Goal",HX$8&gt;=$G49,HX$8&lt;=$G49+$H49-1),2,IF(AND($C49="Milestone",HX$8&gt;=$G49,HX$8&lt;=$G49+$H49-1),1,""))</f>
        <v/>
      </c>
      <c r="HY49" s="69" t="str">
        <f ca="1">IF(AND($C49="Goal",HY$8&gt;=$G49,HY$8&lt;=$G49+$H49-1),2,IF(AND($C49="Milestone",HY$8&gt;=$G49,HY$8&lt;=$G49+$H49-1),1,""))</f>
        <v/>
      </c>
      <c r="HZ49" s="69" t="str">
        <f ca="1">IF(AND($C49="Goal",HZ$8&gt;=$G49,HZ$8&lt;=$G49+$H49-1),2,IF(AND($C49="Milestone",HZ$8&gt;=$G49,HZ$8&lt;=$G49+$H49-1),1,""))</f>
        <v/>
      </c>
      <c r="IA49" s="69" t="str">
        <f ca="1">IF(AND($C49="Goal",IA$8&gt;=$G49,IA$8&lt;=$G49+$H49-1),2,IF(AND($C49="Milestone",IA$8&gt;=$G49,IA$8&lt;=$G49+$H49-1),1,""))</f>
        <v/>
      </c>
      <c r="IB49" s="69" t="str">
        <f ca="1">IF(AND($C49="Goal",IB$8&gt;=$G49,IB$8&lt;=$G49+$H49-1),2,IF(AND($C49="Milestone",IB$8&gt;=$G49,IB$8&lt;=$G49+$H49-1),1,""))</f>
        <v/>
      </c>
      <c r="IC49" s="69" t="str">
        <f ca="1">IF(AND($C49="Goal",IC$8&gt;=$G49,IC$8&lt;=$G49+$H49-1),2,IF(AND($C49="Milestone",IC$8&gt;=$G49,IC$8&lt;=$G49+$H49-1),1,""))</f>
        <v/>
      </c>
      <c r="ID49" s="69" t="str">
        <f ca="1">IF(AND($C49="Goal",ID$8&gt;=$G49,ID$8&lt;=$G49+$H49-1),2,IF(AND($C49="Milestone",ID$8&gt;=$G49,ID$8&lt;=$G49+$H49-1),1,""))</f>
        <v/>
      </c>
      <c r="IE49" s="69" t="str">
        <f ca="1">IF(AND($C49="Goal",IE$8&gt;=$G49,IE$8&lt;=$G49+$H49-1),2,IF(AND($C49="Milestone",IE$8&gt;=$G49,IE$8&lt;=$G49+$H49-1),1,""))</f>
        <v/>
      </c>
      <c r="IF49" s="69" t="str">
        <f ca="1">IF(AND($C49="Goal",IF$8&gt;=$G49,IF$8&lt;=$G49+$H49-1),2,IF(AND($C49="Milestone",IF$8&gt;=$G49,IF$8&lt;=$G49+$H49-1),1,""))</f>
        <v/>
      </c>
      <c r="IG49" s="69" t="str">
        <f ca="1">IF(AND($C49="Goal",IG$8&gt;=$G49,IG$8&lt;=$G49+$H49-1),2,IF(AND($C49="Milestone",IG$8&gt;=$G49,IG$8&lt;=$G49+$H49-1),1,""))</f>
        <v/>
      </c>
      <c r="IH49" s="69" t="str">
        <f ca="1">IF(AND($C49="Goal",IH$8&gt;=$G49,IH$8&lt;=$G49+$H49-1),2,IF(AND($C49="Milestone",IH$8&gt;=$G49,IH$8&lt;=$G49+$H49-1),1,""))</f>
        <v/>
      </c>
      <c r="II49" s="69" t="str">
        <f ca="1">IF(AND($C49="Goal",II$8&gt;=$G49,II$8&lt;=$G49+$H49-1),2,IF(AND($C49="Milestone",II$8&gt;=$G49,II$8&lt;=$G49+$H49-1),1,""))</f>
        <v/>
      </c>
      <c r="IJ49" s="69" t="str">
        <f ca="1">IF(AND($C49="Goal",IJ$8&gt;=$G49,IJ$8&lt;=$G49+$H49-1),2,IF(AND($C49="Milestone",IJ$8&gt;=$G49,IJ$8&lt;=$G49+$H49-1),1,""))</f>
        <v/>
      </c>
      <c r="IK49" s="69" t="str">
        <f ca="1">IF(AND($C49="Goal",IK$8&gt;=$G49,IK$8&lt;=$G49+$H49-1),2,IF(AND($C49="Milestone",IK$8&gt;=$G49,IK$8&lt;=$G49+$H49-1),1,""))</f>
        <v/>
      </c>
      <c r="IL49" s="69" t="str">
        <f ca="1">IF(AND($C49="Goal",IL$8&gt;=$G49,IL$8&lt;=$G49+$H49-1),2,IF(AND($C49="Milestone",IL$8&gt;=$G49,IL$8&lt;=$G49+$H49-1),1,""))</f>
        <v/>
      </c>
      <c r="IM49" s="69" t="str">
        <f ca="1">IF(AND($C49="Goal",IM$8&gt;=$G49,IM$8&lt;=$G49+$H49-1),2,IF(AND($C49="Milestone",IM$8&gt;=$G49,IM$8&lt;=$G49+$H49-1),1,""))</f>
        <v/>
      </c>
      <c r="IN49" s="69" t="str">
        <f ca="1">IF(AND($C49="Goal",IN$8&gt;=$G49,IN$8&lt;=$G49+$H49-1),2,IF(AND($C49="Milestone",IN$8&gt;=$G49,IN$8&lt;=$G49+$H49-1),1,""))</f>
        <v/>
      </c>
      <c r="IO49" s="69" t="str">
        <f ca="1">IF(AND($C49="Goal",IO$8&gt;=$G49,IO$8&lt;=$G49+$H49-1),2,IF(AND($C49="Milestone",IO$8&gt;=$G49,IO$8&lt;=$G49+$H49-1),1,""))</f>
        <v/>
      </c>
      <c r="IP49" s="69" t="str">
        <f ca="1">IF(AND($C49="Goal",IP$8&gt;=$G49,IP$8&lt;=$G49+$H49-1),2,IF(AND($C49="Milestone",IP$8&gt;=$G49,IP$8&lt;=$G49+$H49-1),1,""))</f>
        <v/>
      </c>
      <c r="IQ49" s="69" t="str">
        <f ca="1">IF(AND($C49="Goal",IQ$8&gt;=$G49,IQ$8&lt;=$G49+$H49-1),2,IF(AND($C49="Milestone",IQ$8&gt;=$G49,IQ$8&lt;=$G49+$H49-1),1,""))</f>
        <v/>
      </c>
      <c r="IR49" s="69" t="str">
        <f ca="1">IF(AND($C49="Goal",IR$8&gt;=$G49,IR$8&lt;=$G49+$H49-1),2,IF(AND($C49="Milestone",IR$8&gt;=$G49,IR$8&lt;=$G49+$H49-1),1,""))</f>
        <v/>
      </c>
      <c r="IS49" s="69" t="str">
        <f ca="1">IF(AND($C49="Goal",IS$8&gt;=$G49,IS$8&lt;=$G49+$H49-1),2,IF(AND($C49="Milestone",IS$8&gt;=$G49,IS$8&lt;=$G49+$H49-1),1,""))</f>
        <v/>
      </c>
      <c r="IT49" s="69" t="str">
        <f ca="1">IF(AND($C49="Goal",IT$8&gt;=$G49,IT$8&lt;=$G49+$H49-1),2,IF(AND($C49="Milestone",IT$8&gt;=$G49,IT$8&lt;=$G49+$H49-1),1,""))</f>
        <v/>
      </c>
      <c r="IU49" s="69" t="str">
        <f ca="1">IF(AND($C49="Goal",IU$8&gt;=$G49,IU$8&lt;=$G49+$H49-1),2,IF(AND($C49="Milestone",IU$8&gt;=$G49,IU$8&lt;=$G49+$H49-1),1,""))</f>
        <v/>
      </c>
      <c r="IV49" s="69" t="str">
        <f ca="1">IF(AND($C49="Goal",IV$8&gt;=$G49,IV$8&lt;=$G49+$H49-1),2,IF(AND($C49="Milestone",IV$8&gt;=$G49,IV$8&lt;=$G49+$H49-1),1,""))</f>
        <v/>
      </c>
      <c r="IW49" s="69" t="str">
        <f ca="1">IF(AND($C49="Goal",IW$8&gt;=$G49,IW$8&lt;=$G49+$H49-1),2,IF(AND($C49="Milestone",IW$8&gt;=$G49,IW$8&lt;=$G49+$H49-1),1,""))</f>
        <v/>
      </c>
      <c r="IX49" s="69" t="str">
        <f ca="1">IF(AND($C49="Goal",IX$8&gt;=$G49,IX$8&lt;=$G49+$H49-1),2,IF(AND($C49="Milestone",IX$8&gt;=$G49,IX$8&lt;=$G49+$H49-1),1,""))</f>
        <v/>
      </c>
      <c r="IY49" s="69" t="str">
        <f ca="1">IF(AND($C49="Goal",IY$8&gt;=$G49,IY$8&lt;=$G49+$H49-1),2,IF(AND($C49="Milestone",IY$8&gt;=$G49,IY$8&lt;=$G49+$H49-1),1,""))</f>
        <v/>
      </c>
      <c r="IZ49" s="69" t="str">
        <f ca="1">IF(AND($C49="Goal",IZ$8&gt;=$G49,IZ$8&lt;=$G49+$H49-1),2,IF(AND($C49="Milestone",IZ$8&gt;=$G49,IZ$8&lt;=$G49+$H49-1),1,""))</f>
        <v/>
      </c>
      <c r="JA49" s="69" t="str">
        <f ca="1">IF(AND($C49="Goal",JA$8&gt;=$G49,JA$8&lt;=$G49+$H49-1),2,IF(AND($C49="Milestone",JA$8&gt;=$G49,JA$8&lt;=$G49+$H49-1),1,""))</f>
        <v/>
      </c>
      <c r="JB49" s="69" t="str">
        <f ca="1">IF(AND($C49="Goal",JB$8&gt;=$G49,JB$8&lt;=$G49+$H49-1),2,IF(AND($C49="Milestone",JB$8&gt;=$G49,JB$8&lt;=$G49+$H49-1),1,""))</f>
        <v/>
      </c>
      <c r="JC49" s="69" t="str">
        <f ca="1">IF(AND($C49="Goal",JC$8&gt;=$G49,JC$8&lt;=$G49+$H49-1),2,IF(AND($C49="Milestone",JC$8&gt;=$G49,JC$8&lt;=$G49+$H49-1),1,""))</f>
        <v/>
      </c>
      <c r="JD49" s="69" t="str">
        <f ca="1">IF(AND($C49="Goal",JD$8&gt;=$G49,JD$8&lt;=$G49+$H49-1),2,IF(AND($C49="Milestone",JD$8&gt;=$G49,JD$8&lt;=$G49+$H49-1),1,""))</f>
        <v/>
      </c>
      <c r="JE49" s="69" t="str">
        <f ca="1">IF(AND($C49="Goal",JE$8&gt;=$G49,JE$8&lt;=$G49+$H49-1),2,IF(AND($C49="Milestone",JE$8&gt;=$G49,JE$8&lt;=$G49+$H49-1),1,""))</f>
        <v/>
      </c>
      <c r="JF49" s="69" t="str">
        <f ca="1">IF(AND($C49="Goal",JF$8&gt;=$G49,JF$8&lt;=$G49+$H49-1),2,IF(AND($C49="Milestone",JF$8&gt;=$G49,JF$8&lt;=$G49+$H49-1),1,""))</f>
        <v/>
      </c>
      <c r="JG49" s="69" t="str">
        <f ca="1">IF(AND($C49="Goal",JG$8&gt;=$G49,JG$8&lt;=$G49+$H49-1),2,IF(AND($C49="Milestone",JG$8&gt;=$G49,JG$8&lt;=$G49+$H49-1),1,""))</f>
        <v/>
      </c>
      <c r="JH49" s="69" t="str">
        <f ca="1">IF(AND($C49="Goal",JH$8&gt;=$G49,JH$8&lt;=$G49+$H49-1),2,IF(AND($C49="Milestone",JH$8&gt;=$G49,JH$8&lt;=$G49+$H49-1),1,""))</f>
        <v/>
      </c>
      <c r="JI49" s="69" t="str">
        <f ca="1">IF(AND($C49="Goal",JI$8&gt;=$G49,JI$8&lt;=$G49+$H49-1),2,IF(AND($C49="Milestone",JI$8&gt;=$G49,JI$8&lt;=$G49+$H49-1),1,""))</f>
        <v/>
      </c>
      <c r="JJ49" s="69" t="str">
        <f ca="1">IF(AND($C49="Goal",JJ$8&gt;=$G49,JJ$8&lt;=$G49+$H49-1),2,IF(AND($C49="Milestone",JJ$8&gt;=$G49,JJ$8&lt;=$G49+$H49-1),1,""))</f>
        <v/>
      </c>
      <c r="JK49" s="69" t="str">
        <f ca="1">IF(AND($C49="Goal",JK$8&gt;=$G49,JK$8&lt;=$G49+$H49-1),2,IF(AND($C49="Milestone",JK$8&gt;=$G49,JK$8&lt;=$G49+$H49-1),1,""))</f>
        <v/>
      </c>
      <c r="JL49" s="69" t="str">
        <f ca="1">IF(AND($C49="Goal",JL$8&gt;=$G49,JL$8&lt;=$G49+$H49-1),2,IF(AND($C49="Milestone",JL$8&gt;=$G49,JL$8&lt;=$G49+$H49-1),1,""))</f>
        <v/>
      </c>
      <c r="JM49" s="69" t="str">
        <f ca="1">IF(AND($C49="Goal",JM$8&gt;=$G49,JM$8&lt;=$G49+$H49-1),2,IF(AND($C49="Milestone",JM$8&gt;=$G49,JM$8&lt;=$G49+$H49-1),1,""))</f>
        <v/>
      </c>
      <c r="JN49" s="69" t="str">
        <f ca="1">IF(AND($C49="Goal",JN$8&gt;=$G49,JN$8&lt;=$G49+$H49-1),2,IF(AND($C49="Milestone",JN$8&gt;=$G49,JN$8&lt;=$G49+$H49-1),1,""))</f>
        <v/>
      </c>
      <c r="JO49" s="69" t="str">
        <f ca="1">IF(AND($C49="Goal",JO$8&gt;=$G49,JO$8&lt;=$G49+$H49-1),2,IF(AND($C49="Milestone",JO$8&gt;=$G49,JO$8&lt;=$G49+$H49-1),1,""))</f>
        <v/>
      </c>
      <c r="JP49" s="69" t="str">
        <f ca="1">IF(AND($C49="Goal",JP$8&gt;=$G49,JP$8&lt;=$G49+$H49-1),2,IF(AND($C49="Milestone",JP$8&gt;=$G49,JP$8&lt;=$G49+$H49-1),1,""))</f>
        <v/>
      </c>
      <c r="JQ49" s="69" t="str">
        <f ca="1">IF(AND($C49="Goal",JQ$8&gt;=$G49,JQ$8&lt;=$G49+$H49-1),2,IF(AND($C49="Milestone",JQ$8&gt;=$G49,JQ$8&lt;=$G49+$H49-1),1,""))</f>
        <v/>
      </c>
      <c r="JR49" s="69" t="str">
        <f ca="1">IF(AND($C49="Goal",JR$8&gt;=$G49,JR$8&lt;=$G49+$H49-1),2,IF(AND($C49="Milestone",JR$8&gt;=$G49,JR$8&lt;=$G49+$H49-1),1,""))</f>
        <v/>
      </c>
      <c r="JS49" s="69" t="str">
        <f ca="1">IF(AND($C49="Goal",JS$8&gt;=$G49,JS$8&lt;=$G49+$H49-1),2,IF(AND($C49="Milestone",JS$8&gt;=$G49,JS$8&lt;=$G49+$H49-1),1,""))</f>
        <v/>
      </c>
      <c r="JT49" s="69" t="str">
        <f ca="1">IF(AND($C49="Goal",JT$8&gt;=$G49,JT$8&lt;=$G49+$H49-1),2,IF(AND($C49="Milestone",JT$8&gt;=$G49,JT$8&lt;=$G49+$H49-1),1,""))</f>
        <v/>
      </c>
      <c r="JU49" s="69" t="str">
        <f ca="1">IF(AND($C49="Goal",JU$8&gt;=$G49,JU$8&lt;=$G49+$H49-1),2,IF(AND($C49="Milestone",JU$8&gt;=$G49,JU$8&lt;=$G49+$H49-1),1,""))</f>
        <v/>
      </c>
      <c r="JV49" s="69" t="str">
        <f ca="1">IF(AND($C49="Goal",JV$8&gt;=$G49,JV$8&lt;=$G49+$H49-1),2,IF(AND($C49="Milestone",JV$8&gt;=$G49,JV$8&lt;=$G49+$H49-1),1,""))</f>
        <v/>
      </c>
      <c r="JW49" s="69" t="str">
        <f ca="1">IF(AND($C49="Goal",JW$8&gt;=$G49,JW$8&lt;=$G49+$H49-1),2,IF(AND($C49="Milestone",JW$8&gt;=$G49,JW$8&lt;=$G49+$H49-1),1,""))</f>
        <v/>
      </c>
      <c r="JX49" s="69" t="str">
        <f ca="1">IF(AND($C49="Goal",JX$8&gt;=$G49,JX$8&lt;=$G49+$H49-1),2,IF(AND($C49="Milestone",JX$8&gt;=$G49,JX$8&lt;=$G49+$H49-1),1,""))</f>
        <v/>
      </c>
      <c r="JY49" s="69" t="str">
        <f ca="1">IF(AND($C49="Goal",JY$8&gt;=$G49,JY$8&lt;=$G49+$H49-1),2,IF(AND($C49="Milestone",JY$8&gt;=$G49,JY$8&lt;=$G49+$H49-1),1,""))</f>
        <v/>
      </c>
      <c r="JZ49" s="69" t="str">
        <f ca="1">IF(AND($C49="Goal",JZ$8&gt;=$G49,JZ$8&lt;=$G49+$H49-1),2,IF(AND($C49="Milestone",JZ$8&gt;=$G49,JZ$8&lt;=$G49+$H49-1),1,""))</f>
        <v/>
      </c>
      <c r="KA49" s="69" t="str">
        <f ca="1">IF(AND($C49="Goal",KA$8&gt;=$G49,KA$8&lt;=$G49+$H49-1),2,IF(AND($C49="Milestone",KA$8&gt;=$G49,KA$8&lt;=$G49+$H49-1),1,""))</f>
        <v/>
      </c>
      <c r="KB49" s="69" t="str">
        <f ca="1">IF(AND($C49="Goal",KB$8&gt;=$G49,KB$8&lt;=$G49+$H49-1),2,IF(AND($C49="Milestone",KB$8&gt;=$G49,KB$8&lt;=$G49+$H49-1),1,""))</f>
        <v/>
      </c>
      <c r="KC49" s="69" t="str">
        <f ca="1">IF(AND($C49="Goal",KC$8&gt;=$G49,KC$8&lt;=$G49+$H49-1),2,IF(AND($C49="Milestone",KC$8&gt;=$G49,KC$8&lt;=$G49+$H49-1),1,""))</f>
        <v/>
      </c>
      <c r="KD49" s="69" t="str">
        <f ca="1">IF(AND($C49="Goal",KD$8&gt;=$G49,KD$8&lt;=$G49+$H49-1),2,IF(AND($C49="Milestone",KD$8&gt;=$G49,KD$8&lt;=$G49+$H49-1),1,""))</f>
        <v/>
      </c>
      <c r="KE49" s="69" t="str">
        <f ca="1">IF(AND($C49="Goal",KE$8&gt;=$G49,KE$8&lt;=$G49+$H49-1),2,IF(AND($C49="Milestone",KE$8&gt;=$G49,KE$8&lt;=$G49+$H49-1),1,""))</f>
        <v/>
      </c>
      <c r="KF49" s="69" t="str">
        <f ca="1">IF(AND($C49="Goal",KF$8&gt;=$G49,KF$8&lt;=$G49+$H49-1),2,IF(AND($C49="Milestone",KF$8&gt;=$G49,KF$8&lt;=$G49+$H49-1),1,""))</f>
        <v/>
      </c>
      <c r="KG49" s="69" t="str">
        <f ca="1">IF(AND($C49="Goal",KG$8&gt;=$G49,KG$8&lt;=$G49+$H49-1),2,IF(AND($C49="Milestone",KG$8&gt;=$G49,KG$8&lt;=$G49+$H49-1),1,""))</f>
        <v/>
      </c>
      <c r="KH49" s="69" t="str">
        <f ca="1">IF(AND($C49="Goal",KH$8&gt;=$G49,KH$8&lt;=$G49+$H49-1),2,IF(AND($C49="Milestone",KH$8&gt;=$G49,KH$8&lt;=$G49+$H49-1),1,""))</f>
        <v/>
      </c>
      <c r="KI49" s="69" t="str">
        <f ca="1">IF(AND($C49="Goal",KI$8&gt;=$G49,KI$8&lt;=$G49+$H49-1),2,IF(AND($C49="Milestone",KI$8&gt;=$G49,KI$8&lt;=$G49+$H49-1),1,""))</f>
        <v/>
      </c>
      <c r="KJ49" s="69" t="str">
        <f ca="1">IF(AND($C49="Goal",KJ$8&gt;=$G49,KJ$8&lt;=$G49+$H49-1),2,IF(AND($C49="Milestone",KJ$8&gt;=$G49,KJ$8&lt;=$G49+$H49-1),1,""))</f>
        <v/>
      </c>
      <c r="KK49" s="69" t="str">
        <f ca="1">IF(AND($C49="Goal",KK$8&gt;=$G49,KK$8&lt;=$G49+$H49-1),2,IF(AND($C49="Milestone",KK$8&gt;=$G49,KK$8&lt;=$G49+$H49-1),1,""))</f>
        <v/>
      </c>
      <c r="KL49" s="69" t="str">
        <f ca="1">IF(AND($C49="Goal",KL$8&gt;=$G49,KL$8&lt;=$G49+$H49-1),2,IF(AND($C49="Milestone",KL$8&gt;=$G49,KL$8&lt;=$G49+$H49-1),1,""))</f>
        <v/>
      </c>
      <c r="KM49" s="69" t="str">
        <f ca="1">IF(AND($C49="Goal",KM$8&gt;=$G49,KM$8&lt;=$G49+$H49-1),2,IF(AND($C49="Milestone",KM$8&gt;=$G49,KM$8&lt;=$G49+$H49-1),1,""))</f>
        <v/>
      </c>
      <c r="KN49" s="69" t="str">
        <f ca="1">IF(AND($C49="Goal",KN$8&gt;=$G49,KN$8&lt;=$G49+$H49-1),2,IF(AND($C49="Milestone",KN$8&gt;=$G49,KN$8&lt;=$G49+$H49-1),1,""))</f>
        <v/>
      </c>
      <c r="KO49" s="69" t="str">
        <f ca="1">IF(AND($C49="Goal",KO$8&gt;=$G49,KO$8&lt;=$G49+$H49-1),2,IF(AND($C49="Milestone",KO$8&gt;=$G49,KO$8&lt;=$G49+$H49-1),1,""))</f>
        <v/>
      </c>
      <c r="KP49" s="69" t="str">
        <f ca="1">IF(AND($C49="Goal",KP$8&gt;=$G49,KP$8&lt;=$G49+$H49-1),2,IF(AND($C49="Milestone",KP$8&gt;=$G49,KP$8&lt;=$G49+$H49-1),1,""))</f>
        <v/>
      </c>
      <c r="KQ49" s="69" t="str">
        <f ca="1">IF(AND($C49="Goal",KQ$8&gt;=$G49,KQ$8&lt;=$G49+$H49-1),2,IF(AND($C49="Milestone",KQ$8&gt;=$G49,KQ$8&lt;=$G49+$H49-1),1,""))</f>
        <v/>
      </c>
      <c r="KR49" s="69" t="str">
        <f ca="1">IF(AND($C49="Goal",KR$8&gt;=$G49,KR$8&lt;=$G49+$H49-1),2,IF(AND($C49="Milestone",KR$8&gt;=$G49,KR$8&lt;=$G49+$H49-1),1,""))</f>
        <v/>
      </c>
      <c r="KS49" s="69" t="str">
        <f ca="1">IF(AND($C49="Goal",KS$8&gt;=$G49,KS$8&lt;=$G49+$H49-1),2,IF(AND($C49="Milestone",KS$8&gt;=$G49,KS$8&lt;=$G49+$H49-1),1,""))</f>
        <v/>
      </c>
      <c r="KT49" s="69" t="str">
        <f ca="1">IF(AND($C49="Goal",KT$8&gt;=$G49,KT$8&lt;=$G49+$H49-1),2,IF(AND($C49="Milestone",KT$8&gt;=$G49,KT$8&lt;=$G49+$H49-1),1,""))</f>
        <v/>
      </c>
      <c r="KU49" s="69" t="str">
        <f ca="1">IF(AND($C49="Goal",KU$8&gt;=$G49,KU$8&lt;=$G49+$H49-1),2,IF(AND($C49="Milestone",KU$8&gt;=$G49,KU$8&lt;=$G49+$H49-1),1,""))</f>
        <v/>
      </c>
      <c r="KV49" s="69" t="str">
        <f ca="1">IF(AND($C49="Goal",KV$8&gt;=$G49,KV$8&lt;=$G49+$H49-1),2,IF(AND($C49="Milestone",KV$8&gt;=$G49,KV$8&lt;=$G49+$H49-1),1,""))</f>
        <v/>
      </c>
      <c r="KW49" s="69" t="str">
        <f ca="1">IF(AND($C49="Goal",KW$8&gt;=$G49,KW$8&lt;=$G49+$H49-1),2,IF(AND($C49="Milestone",KW$8&gt;=$G49,KW$8&lt;=$G49+$H49-1),1,""))</f>
        <v/>
      </c>
      <c r="KX49" s="69" t="str">
        <f ca="1">IF(AND($C49="Goal",KX$8&gt;=$G49,KX$8&lt;=$G49+$H49-1),2,IF(AND($C49="Milestone",KX$8&gt;=$G49,KX$8&lt;=$G49+$H49-1),1,""))</f>
        <v/>
      </c>
      <c r="KY49" s="69" t="str">
        <f ca="1">IF(AND($C49="Goal",KY$8&gt;=$G49,KY$8&lt;=$G49+$H49-1),2,IF(AND($C49="Milestone",KY$8&gt;=$G49,KY$8&lt;=$G49+$H49-1),1,""))</f>
        <v/>
      </c>
      <c r="KZ49" s="69" t="str">
        <f ca="1">IF(AND($C49="Goal",KZ$8&gt;=$G49,KZ$8&lt;=$G49+$H49-1),2,IF(AND($C49="Milestone",KZ$8&gt;=$G49,KZ$8&lt;=$G49+$H49-1),1,""))</f>
        <v/>
      </c>
      <c r="LA49" s="69" t="str">
        <f ca="1">IF(AND($C49="Goal",LA$8&gt;=$G49,LA$8&lt;=$G49+$H49-1),2,IF(AND($C49="Milestone",LA$8&gt;=$G49,LA$8&lt;=$G49+$H49-1),1,""))</f>
        <v/>
      </c>
      <c r="LB49" s="69" t="str">
        <f ca="1">IF(AND($C49="Goal",LB$8&gt;=$G49,LB$8&lt;=$G49+$H49-1),2,IF(AND($C49="Milestone",LB$8&gt;=$G49,LB$8&lt;=$G49+$H49-1),1,""))</f>
        <v/>
      </c>
      <c r="LC49" s="69" t="str">
        <f ca="1">IF(AND($C49="Goal",LC$8&gt;=$G49,LC$8&lt;=$G49+$H49-1),2,IF(AND($C49="Milestone",LC$8&gt;=$G49,LC$8&lt;=$G49+$H49-1),1,""))</f>
        <v/>
      </c>
      <c r="LD49" s="69" t="str">
        <f ca="1">IF(AND($C49="Goal",LD$8&gt;=$G49,LD$8&lt;=$G49+$H49-1),2,IF(AND($C49="Milestone",LD$8&gt;=$G49,LD$8&lt;=$G49+$H49-1),1,""))</f>
        <v/>
      </c>
      <c r="LE49" s="69" t="str">
        <f ca="1">IF(AND($C49="Goal",LE$8&gt;=$G49,LE$8&lt;=$G49+$H49-1),2,IF(AND($C49="Milestone",LE$8&gt;=$G49,LE$8&lt;=$G49+$H49-1),1,""))</f>
        <v/>
      </c>
      <c r="LF49" s="69" t="str">
        <f ca="1">IF(AND($C49="Goal",LF$8&gt;=$G49,LF$8&lt;=$G49+$H49-1),2,IF(AND($C49="Milestone",LF$8&gt;=$G49,LF$8&lt;=$G49+$H49-1),1,""))</f>
        <v/>
      </c>
      <c r="LG49" s="69" t="str">
        <f ca="1">IF(AND($C49="Goal",LG$8&gt;=$G49,LG$8&lt;=$G49+$H49-1),2,IF(AND($C49="Milestone",LG$8&gt;=$G49,LG$8&lt;=$G49+$H49-1),1,""))</f>
        <v/>
      </c>
      <c r="LH49" s="69" t="str">
        <f ca="1">IF(AND($C49="Goal",LH$8&gt;=$G49,LH$8&lt;=$G49+$H49-1),2,IF(AND($C49="Milestone",LH$8&gt;=$G49,LH$8&lt;=$G49+$H49-1),1,""))</f>
        <v/>
      </c>
      <c r="LI49" s="69" t="str">
        <f ca="1">IF(AND($C49="Goal",LI$8&gt;=$G49,LI$8&lt;=$G49+$H49-1),2,IF(AND($C49="Milestone",LI$8&gt;=$G49,LI$8&lt;=$G49+$H49-1),1,""))</f>
        <v/>
      </c>
      <c r="LJ49" s="69" t="str">
        <f ca="1">IF(AND($C49="Goal",LJ$8&gt;=$G49,LJ$8&lt;=$G49+$H49-1),2,IF(AND($C49="Milestone",LJ$8&gt;=$G49,LJ$8&lt;=$G49+$H49-1),1,""))</f>
        <v/>
      </c>
      <c r="LK49" s="69" t="str">
        <f ca="1">IF(AND($C49="Goal",LK$8&gt;=$G49,LK$8&lt;=$G49+$H49-1),2,IF(AND($C49="Milestone",LK$8&gt;=$G49,LK$8&lt;=$G49+$H49-1),1,""))</f>
        <v/>
      </c>
      <c r="LL49" s="69" t="str">
        <f ca="1">IF(AND($C49="Goal",LL$8&gt;=$G49,LL$8&lt;=$G49+$H49-1),2,IF(AND($C49="Milestone",LL$8&gt;=$G49,LL$8&lt;=$G49+$H49-1),1,""))</f>
        <v/>
      </c>
      <c r="LM49" s="69" t="str">
        <f ca="1">IF(AND($C49="Goal",LM$8&gt;=$G49,LM$8&lt;=$G49+$H49-1),2,IF(AND($C49="Milestone",LM$8&gt;=$G49,LM$8&lt;=$G49+$H49-1),1,""))</f>
        <v/>
      </c>
      <c r="LN49" s="69" t="str">
        <f ca="1">IF(AND($C49="Goal",LN$8&gt;=$G49,LN$8&lt;=$G49+$H49-1),2,IF(AND($C49="Milestone",LN$8&gt;=$G49,LN$8&lt;=$G49+$H49-1),1,""))</f>
        <v/>
      </c>
      <c r="LO49" s="69" t="str">
        <f ca="1">IF(AND($C49="Goal",LO$8&gt;=$G49,LO$8&lt;=$G49+$H49-1),2,IF(AND($C49="Milestone",LO$8&gt;=$G49,LO$8&lt;=$G49+$H49-1),1,""))</f>
        <v/>
      </c>
      <c r="LP49" s="69" t="str">
        <f ca="1">IF(AND($C49="Goal",LP$8&gt;=$G49,LP$8&lt;=$G49+$H49-1),2,IF(AND($C49="Milestone",LP$8&gt;=$G49,LP$8&lt;=$G49+$H49-1),1,""))</f>
        <v/>
      </c>
      <c r="LQ49" s="69" t="str">
        <f ca="1">IF(AND($C49="Goal",LQ$8&gt;=$G49,LQ$8&lt;=$G49+$H49-1),2,IF(AND($C49="Milestone",LQ$8&gt;=$G49,LQ$8&lt;=$G49+$H49-1),1,""))</f>
        <v/>
      </c>
      <c r="LR49" s="69" t="str">
        <f ca="1">IF(AND($C49="Goal",LR$8&gt;=$G49,LR$8&lt;=$G49+$H49-1),2,IF(AND($C49="Milestone",LR$8&gt;=$G49,LR$8&lt;=$G49+$H49-1),1,""))</f>
        <v/>
      </c>
      <c r="LS49" s="69" t="str">
        <f ca="1">IF(AND($C49="Goal",LS$8&gt;=$G49,LS$8&lt;=$G49+$H49-1),2,IF(AND($C49="Milestone",LS$8&gt;=$G49,LS$8&lt;=$G49+$H49-1),1,""))</f>
        <v/>
      </c>
      <c r="LT49" s="69" t="str">
        <f ca="1">IF(AND($C49="Goal",LT$8&gt;=$G49,LT$8&lt;=$G49+$H49-1),2,IF(AND($C49="Milestone",LT$8&gt;=$G49,LT$8&lt;=$G49+$H49-1),1,""))</f>
        <v/>
      </c>
      <c r="LU49" s="69" t="str">
        <f ca="1">IF(AND($C49="Goal",LU$8&gt;=$G49,LU$8&lt;=$G49+$H49-1),2,IF(AND($C49="Milestone",LU$8&gt;=$G49,LU$8&lt;=$G49+$H49-1),1,""))</f>
        <v/>
      </c>
      <c r="LV49" s="69" t="str">
        <f ca="1">IF(AND($C49="Goal",LV$8&gt;=$G49,LV$8&lt;=$G49+$H49-1),2,IF(AND($C49="Milestone",LV$8&gt;=$G49,LV$8&lt;=$G49+$H49-1),1,""))</f>
        <v/>
      </c>
      <c r="LW49" s="69" t="str">
        <f ca="1">IF(AND($C49="Goal",LW$8&gt;=$G49,LW$8&lt;=$G49+$H49-1),2,IF(AND($C49="Milestone",LW$8&gt;=$G49,LW$8&lt;=$G49+$H49-1),1,""))</f>
        <v/>
      </c>
      <c r="LX49" s="69" t="str">
        <f ca="1">IF(AND($C49="Goal",LX$8&gt;=$G49,LX$8&lt;=$G49+$H49-1),2,IF(AND($C49="Milestone",LX$8&gt;=$G49,LX$8&lt;=$G49+$H49-1),1,""))</f>
        <v/>
      </c>
    </row>
    <row r="50" spans="1:336" s="1" customFormat="1" ht="27.5" customHeight="1" x14ac:dyDescent="0.25">
      <c r="A50" s="6"/>
      <c r="B50" s="47" t="s">
        <v>49</v>
      </c>
      <c r="C50" s="58" t="s">
        <v>1</v>
      </c>
      <c r="D50" s="58"/>
      <c r="E50" s="58"/>
      <c r="F50" s="56">
        <v>0</v>
      </c>
      <c r="G50" s="71">
        <v>46203</v>
      </c>
      <c r="H50" s="57">
        <v>1</v>
      </c>
      <c r="I50" s="57">
        <f t="shared" si="207"/>
        <v>2</v>
      </c>
      <c r="J50" s="12">
        <f ca="1">IF(OR(Milestones4352[[#This Row],[Start]]="",Milestones4352[[#This Row],[Days]]=""),"",(Milestones4352[[#This Row],[Start]]+Milestones4352[[#This Row],[Days]])-TODAY())</f>
        <v>255</v>
      </c>
      <c r="K50" s="9"/>
      <c r="L50" s="69" t="str">
        <f ca="1">IF(AND($C50="Goal",L$8&gt;=$G50,L$8&lt;=$G50+$H50-1),2,IF(AND($C50="Milestone",L$8&gt;=$G50,L$8&lt;=$G50+$H50-1),1,""))</f>
        <v/>
      </c>
      <c r="M50" s="69" t="str">
        <f ca="1">IF(AND($C50="Goal",M$8&gt;=$G50,M$8&lt;=$G50+$H50-1),2,IF(AND($C50="Milestone",M$8&gt;=$G50,M$8&lt;=$G50+$H50-1),1,""))</f>
        <v/>
      </c>
      <c r="N50" s="69" t="str">
        <f ca="1">IF(AND($C50="Goal",N$8&gt;=$G50,N$8&lt;=$G50+$H50-1),2,IF(AND($C50="Milestone",N$8&gt;=$G50,N$8&lt;=$G50+$H50-1),1,""))</f>
        <v/>
      </c>
      <c r="O50" s="69" t="str">
        <f ca="1">IF(AND($C50="Goal",O$8&gt;=$G50,O$8&lt;=$G50+$H50-1),2,IF(AND($C50="Milestone",O$8&gt;=$G50,O$8&lt;=$G50+$H50-1),1,""))</f>
        <v/>
      </c>
      <c r="P50" s="69" t="str">
        <f ca="1">IF(AND($C50="Goal",P$8&gt;=$G50,P$8&lt;=$G50+$H50-1),2,IF(AND($C50="Milestone",P$8&gt;=$G50,P$8&lt;=$G50+$H50-1),1,""))</f>
        <v/>
      </c>
      <c r="Q50" s="69" t="str">
        <f ca="1">IF(AND($C50="Goal",Q$8&gt;=$G50,Q$8&lt;=$G50+$H50-1),2,IF(AND($C50="Milestone",Q$8&gt;=$G50,Q$8&lt;=$G50+$H50-1),1,""))</f>
        <v/>
      </c>
      <c r="R50" s="69" t="str">
        <f ca="1">IF(AND($C50="Goal",R$8&gt;=$G50,R$8&lt;=$G50+$H50-1),2,IF(AND($C50="Milestone",R$8&gt;=$G50,R$8&lt;=$G50+$H50-1),1,""))</f>
        <v/>
      </c>
      <c r="S50" s="69" t="str">
        <f ca="1">IF(AND($C50="Goal",S$8&gt;=$G50,S$8&lt;=$G50+$H50-1),2,IF(AND($C50="Milestone",S$8&gt;=$G50,S$8&lt;=$G50+$H50-1),1,""))</f>
        <v/>
      </c>
      <c r="T50" s="69" t="str">
        <f ca="1">IF(AND($C50="Goal",T$8&gt;=$G50,T$8&lt;=$G50+$H50-1),2,IF(AND($C50="Milestone",T$8&gt;=$G50,T$8&lt;=$G50+$H50-1),1,""))</f>
        <v/>
      </c>
      <c r="U50" s="69" t="str">
        <f ca="1">IF(AND($C50="Goal",U$8&gt;=$G50,U$8&lt;=$G50+$H50-1),2,IF(AND($C50="Milestone",U$8&gt;=$G50,U$8&lt;=$G50+$H50-1),1,""))</f>
        <v/>
      </c>
      <c r="V50" s="69" t="str">
        <f ca="1">IF(AND($C50="Goal",V$8&gt;=$G50,V$8&lt;=$G50+$H50-1),2,IF(AND($C50="Milestone",V$8&gt;=$G50,V$8&lt;=$G50+$H50-1),1,""))</f>
        <v/>
      </c>
      <c r="W50" s="69" t="str">
        <f ca="1">IF(AND($C50="Goal",W$8&gt;=$G50,W$8&lt;=$G50+$H50-1),2,IF(AND($C50="Milestone",W$8&gt;=$G50,W$8&lt;=$G50+$H50-1),1,""))</f>
        <v/>
      </c>
      <c r="X50" s="69" t="str">
        <f ca="1">IF(AND($C50="Goal",X$8&gt;=$G50,X$8&lt;=$G50+$H50-1),2,IF(AND($C50="Milestone",X$8&gt;=$G50,X$8&lt;=$G50+$H50-1),1,""))</f>
        <v/>
      </c>
      <c r="Y50" s="69" t="str">
        <f ca="1">IF(AND($C50="Goal",Y$8&gt;=$G50,Y$8&lt;=$G50+$H50-1),2,IF(AND($C50="Milestone",Y$8&gt;=$G50,Y$8&lt;=$G50+$H50-1),1,""))</f>
        <v/>
      </c>
      <c r="Z50" s="69" t="str">
        <f ca="1">IF(AND($C50="Goal",Z$8&gt;=$G50,Z$8&lt;=$G50+$H50-1),2,IF(AND($C50="Milestone",Z$8&gt;=$G50,Z$8&lt;=$G50+$H50-1),1,""))</f>
        <v/>
      </c>
      <c r="AA50" s="69" t="str">
        <f ca="1">IF(AND($C50="Goal",AA$8&gt;=$G50,AA$8&lt;=$G50+$H50-1),2,IF(AND($C50="Milestone",AA$8&gt;=$G50,AA$8&lt;=$G50+$H50-1),1,""))</f>
        <v/>
      </c>
      <c r="AB50" s="69" t="str">
        <f ca="1">IF(AND($C50="Goal",AB$8&gt;=$G50,AB$8&lt;=$G50+$H50-1),2,IF(AND($C50="Milestone",AB$8&gt;=$G50,AB$8&lt;=$G50+$H50-1),1,""))</f>
        <v/>
      </c>
      <c r="AC50" s="69" t="str">
        <f ca="1">IF(AND($C50="Goal",AC$8&gt;=$G50,AC$8&lt;=$G50+$H50-1),2,IF(AND($C50="Milestone",AC$8&gt;=$G50,AC$8&lt;=$G50+$H50-1),1,""))</f>
        <v/>
      </c>
      <c r="AD50" s="69" t="str">
        <f ca="1">IF(AND($C50="Goal",AD$8&gt;=$G50,AD$8&lt;=$G50+$H50-1),2,IF(AND($C50="Milestone",AD$8&gt;=$G50,AD$8&lt;=$G50+$H50-1),1,""))</f>
        <v/>
      </c>
      <c r="AE50" s="69" t="str">
        <f ca="1">IF(AND($C50="Goal",AE$8&gt;=$G50,AE$8&lt;=$G50+$H50-1),2,IF(AND($C50="Milestone",AE$8&gt;=$G50,AE$8&lt;=$G50+$H50-1),1,""))</f>
        <v/>
      </c>
      <c r="AF50" s="69" t="str">
        <f ca="1">IF(AND($C50="Goal",AF$8&gt;=$G50,AF$8&lt;=$G50+$H50-1),2,IF(AND($C50="Milestone",AF$8&gt;=$G50,AF$8&lt;=$G50+$H50-1),1,""))</f>
        <v/>
      </c>
      <c r="AG50" s="69" t="str">
        <f ca="1">IF(AND($C50="Goal",AG$8&gt;=$G50,AG$8&lt;=$G50+$H50-1),2,IF(AND($C50="Milestone",AG$8&gt;=$G50,AG$8&lt;=$G50+$H50-1),1,""))</f>
        <v/>
      </c>
      <c r="AH50" s="69" t="str">
        <f ca="1">IF(AND($C50="Goal",AH$8&gt;=$G50,AH$8&lt;=$G50+$H50-1),2,IF(AND($C50="Milestone",AH$8&gt;=$G50,AH$8&lt;=$G50+$H50-1),1,""))</f>
        <v/>
      </c>
      <c r="AI50" s="69" t="str">
        <f ca="1">IF(AND($C50="Goal",AI$8&gt;=$G50,AI$8&lt;=$G50+$H50-1),2,IF(AND($C50="Milestone",AI$8&gt;=$G50,AI$8&lt;=$G50+$H50-1),1,""))</f>
        <v/>
      </c>
      <c r="AJ50" s="69" t="str">
        <f ca="1">IF(AND($C50="Goal",AJ$8&gt;=$G50,AJ$8&lt;=$G50+$H50-1),2,IF(AND($C50="Milestone",AJ$8&gt;=$G50,AJ$8&lt;=$G50+$H50-1),1,""))</f>
        <v/>
      </c>
      <c r="AK50" s="69" t="str">
        <f ca="1">IF(AND($C50="Goal",AK$8&gt;=$G50,AK$8&lt;=$G50+$H50-1),2,IF(AND($C50="Milestone",AK$8&gt;=$G50,AK$8&lt;=$G50+$H50-1),1,""))</f>
        <v/>
      </c>
      <c r="AL50" s="69" t="str">
        <f ca="1">IF(AND($C50="Goal",AL$8&gt;=$G50,AL$8&lt;=$G50+$H50-1),2,IF(AND($C50="Milestone",AL$8&gt;=$G50,AL$8&lt;=$G50+$H50-1),1,""))</f>
        <v/>
      </c>
      <c r="AM50" s="69" t="str">
        <f ca="1">IF(AND($C50="Goal",AM$8&gt;=$G50,AM$8&lt;=$G50+$H50-1),2,IF(AND($C50="Milestone",AM$8&gt;=$G50,AM$8&lt;=$G50+$H50-1),1,""))</f>
        <v/>
      </c>
      <c r="AN50" s="69" t="str">
        <f ca="1">IF(AND($C50="Goal",AN$8&gt;=$G50,AN$8&lt;=$G50+$H50-1),2,IF(AND($C50="Milestone",AN$8&gt;=$G50,AN$8&lt;=$G50+$H50-1),1,""))</f>
        <v/>
      </c>
      <c r="AO50" s="69" t="str">
        <f ca="1">IF(AND($C50="Goal",AO$8&gt;=$G50,AO$8&lt;=$G50+$H50-1),2,IF(AND($C50="Milestone",AO$8&gt;=$G50,AO$8&lt;=$G50+$H50-1),1,""))</f>
        <v/>
      </c>
      <c r="AP50" s="69" t="str">
        <f ca="1">IF(AND($C50="Goal",AP$8&gt;=$G50,AP$8&lt;=$G50+$H50-1),2,IF(AND($C50="Milestone",AP$8&gt;=$G50,AP$8&lt;=$G50+$H50-1),1,""))</f>
        <v/>
      </c>
      <c r="AQ50" s="69" t="str">
        <f ca="1">IF(AND($C50="Goal",AQ$8&gt;=$G50,AQ$8&lt;=$G50+$H50-1),2,IF(AND($C50="Milestone",AQ$8&gt;=$G50,AQ$8&lt;=$G50+$H50-1),1,""))</f>
        <v/>
      </c>
      <c r="AR50" s="69" t="str">
        <f ca="1">IF(AND($C50="Goal",AR$8&gt;=$G50,AR$8&lt;=$G50+$H50-1),2,IF(AND($C50="Milestone",AR$8&gt;=$G50,AR$8&lt;=$G50+$H50-1),1,""))</f>
        <v/>
      </c>
      <c r="AS50" s="69" t="str">
        <f ca="1">IF(AND($C50="Goal",AS$8&gt;=$G50,AS$8&lt;=$G50+$H50-1),2,IF(AND($C50="Milestone",AS$8&gt;=$G50,AS$8&lt;=$G50+$H50-1),1,""))</f>
        <v/>
      </c>
      <c r="AT50" s="69" t="str">
        <f ca="1">IF(AND($C50="Goal",AT$8&gt;=$G50,AT$8&lt;=$G50+$H50-1),2,IF(AND($C50="Milestone",AT$8&gt;=$G50,AT$8&lt;=$G50+$H50-1),1,""))</f>
        <v/>
      </c>
      <c r="AU50" s="69" t="str">
        <f ca="1">IF(AND($C50="Goal",AU$8&gt;=$G50,AU$8&lt;=$G50+$H50-1),2,IF(AND($C50="Milestone",AU$8&gt;=$G50,AU$8&lt;=$G50+$H50-1),1,""))</f>
        <v/>
      </c>
      <c r="AV50" s="69" t="str">
        <f ca="1">IF(AND($C50="Goal",AV$8&gt;=$G50,AV$8&lt;=$G50+$H50-1),2,IF(AND($C50="Milestone",AV$8&gt;=$G50,AV$8&lt;=$G50+$H50-1),1,""))</f>
        <v/>
      </c>
      <c r="AW50" s="69" t="str">
        <f ca="1">IF(AND($C50="Goal",AW$8&gt;=$G50,AW$8&lt;=$G50+$H50-1),2,IF(AND($C50="Milestone",AW$8&gt;=$G50,AW$8&lt;=$G50+$H50-1),1,""))</f>
        <v/>
      </c>
      <c r="AX50" s="69" t="str">
        <f ca="1">IF(AND($C50="Goal",AX$8&gt;=$G50,AX$8&lt;=$G50+$H50-1),2,IF(AND($C50="Milestone",AX$8&gt;=$G50,AX$8&lt;=$G50+$H50-1),1,""))</f>
        <v/>
      </c>
      <c r="AY50" s="69" t="str">
        <f ca="1">IF(AND($C50="Goal",AY$8&gt;=$G50,AY$8&lt;=$G50+$H50-1),2,IF(AND($C50="Milestone",AY$8&gt;=$G50,AY$8&lt;=$G50+$H50-1),1,""))</f>
        <v/>
      </c>
      <c r="AZ50" s="69" t="str">
        <f ca="1">IF(AND($C50="Goal",AZ$8&gt;=$G50,AZ$8&lt;=$G50+$H50-1),2,IF(AND($C50="Milestone",AZ$8&gt;=$G50,AZ$8&lt;=$G50+$H50-1),1,""))</f>
        <v/>
      </c>
      <c r="BA50" s="69" t="str">
        <f ca="1">IF(AND($C50="Goal",BA$8&gt;=$G50,BA$8&lt;=$G50+$H50-1),2,IF(AND($C50="Milestone",BA$8&gt;=$G50,BA$8&lt;=$G50+$H50-1),1,""))</f>
        <v/>
      </c>
      <c r="BB50" s="69" t="str">
        <f ca="1">IF(AND($C50="Goal",BB$8&gt;=$G50,BB$8&lt;=$G50+$H50-1),2,IF(AND($C50="Milestone",BB$8&gt;=$G50,BB$8&lt;=$G50+$H50-1),1,""))</f>
        <v/>
      </c>
      <c r="BC50" s="69" t="str">
        <f ca="1">IF(AND($C50="Goal",BC$8&gt;=$G50,BC$8&lt;=$G50+$H50-1),2,IF(AND($C50="Milestone",BC$8&gt;=$G50,BC$8&lt;=$G50+$H50-1),1,""))</f>
        <v/>
      </c>
      <c r="BD50" s="69" t="str">
        <f ca="1">IF(AND($C50="Goal",BD$8&gt;=$G50,BD$8&lt;=$G50+$H50-1),2,IF(AND($C50="Milestone",BD$8&gt;=$G50,BD$8&lt;=$G50+$H50-1),1,""))</f>
        <v/>
      </c>
      <c r="BE50" s="69" t="str">
        <f ca="1">IF(AND($C50="Goal",BE$8&gt;=$G50,BE$8&lt;=$G50+$H50-1),2,IF(AND($C50="Milestone",BE$8&gt;=$G50,BE$8&lt;=$G50+$H50-1),1,""))</f>
        <v/>
      </c>
      <c r="BF50" s="69" t="str">
        <f ca="1">IF(AND($C50="Goal",BF$8&gt;=$G50,BF$8&lt;=$G50+$H50-1),2,IF(AND($C50="Milestone",BF$8&gt;=$G50,BF$8&lt;=$G50+$H50-1),1,""))</f>
        <v/>
      </c>
      <c r="BG50" s="69" t="str">
        <f ca="1">IF(AND($C50="Goal",BG$8&gt;=$G50,BG$8&lt;=$G50+$H50-1),2,IF(AND($C50="Milestone",BG$8&gt;=$G50,BG$8&lt;=$G50+$H50-1),1,""))</f>
        <v/>
      </c>
      <c r="BH50" s="69" t="str">
        <f ca="1">IF(AND($C50="Goal",BH$8&gt;=$G50,BH$8&lt;=$G50+$H50-1),2,IF(AND($C50="Milestone",BH$8&gt;=$G50,BH$8&lt;=$G50+$H50-1),1,""))</f>
        <v/>
      </c>
      <c r="BI50" s="69" t="str">
        <f ca="1">IF(AND($C50="Goal",BI$8&gt;=$G50,BI$8&lt;=$G50+$H50-1),2,IF(AND($C50="Milestone",BI$8&gt;=$G50,BI$8&lt;=$G50+$H50-1),1,""))</f>
        <v/>
      </c>
      <c r="BJ50" s="69" t="str">
        <f ca="1">IF(AND($C50="Goal",BJ$8&gt;=$G50,BJ$8&lt;=$G50+$H50-1),2,IF(AND($C50="Milestone",BJ$8&gt;=$G50,BJ$8&lt;=$G50+$H50-1),1,""))</f>
        <v/>
      </c>
      <c r="BK50" s="69" t="str">
        <f ca="1">IF(AND($C50="Goal",BK$8&gt;=$G50,BK$8&lt;=$G50+$H50-1),2,IF(AND($C50="Milestone",BK$8&gt;=$G50,BK$8&lt;=$G50+$H50-1),1,""))</f>
        <v/>
      </c>
      <c r="BL50" s="69" t="str">
        <f ca="1">IF(AND($C50="Goal",BL$8&gt;=$G50,BL$8&lt;=$G50+$H50-1),2,IF(AND($C50="Milestone",BL$8&gt;=$G50,BL$8&lt;=$G50+$H50-1),1,""))</f>
        <v/>
      </c>
      <c r="BM50" s="69" t="str">
        <f ca="1">IF(AND($C50="Goal",BM$8&gt;=$G50,BM$8&lt;=$G50+$H50-1),2,IF(AND($C50="Milestone",BM$8&gt;=$G50,BM$8&lt;=$G50+$H50-1),1,""))</f>
        <v/>
      </c>
      <c r="BN50" s="69" t="str">
        <f ca="1">IF(AND($C50="Goal",BN$8&gt;=$G50,BN$8&lt;=$G50+$H50-1),2,IF(AND($C50="Milestone",BN$8&gt;=$G50,BN$8&lt;=$G50+$H50-1),1,""))</f>
        <v/>
      </c>
      <c r="BO50" s="69" t="str">
        <f ca="1">IF(AND($C50="Goal",BO$8&gt;=$G50,BO$8&lt;=$G50+$H50-1),2,IF(AND($C50="Milestone",BO$8&gt;=$G50,BO$8&lt;=$G50+$H50-1),1,""))</f>
        <v/>
      </c>
      <c r="BP50" s="69" t="str">
        <f ca="1">IF(AND($C50="Goal",BP$8&gt;=$G50,BP$8&lt;=$G50+$H50-1),2,IF(AND($C50="Milestone",BP$8&gt;=$G50,BP$8&lt;=$G50+$H50-1),1,""))</f>
        <v/>
      </c>
      <c r="BQ50" s="69" t="str">
        <f ca="1">IF(AND($C50="Goal",BQ$8&gt;=$G50,BQ$8&lt;=$G50+$H50-1),2,IF(AND($C50="Milestone",BQ$8&gt;=$G50,BQ$8&lt;=$G50+$H50-1),1,""))</f>
        <v/>
      </c>
      <c r="BR50" s="69" t="str">
        <f ca="1">IF(AND($C50="Goal",BR$8&gt;=$G50,BR$8&lt;=$G50+$H50-1),2,IF(AND($C50="Milestone",BR$8&gt;=$G50,BR$8&lt;=$G50+$H50-1),1,""))</f>
        <v/>
      </c>
      <c r="BS50" s="69" t="str">
        <f ca="1">IF(AND($C50="Goal",BS$8&gt;=$G50,BS$8&lt;=$G50+$H50-1),2,IF(AND($C50="Milestone",BS$8&gt;=$G50,BS$8&lt;=$G50+$H50-1),1,""))</f>
        <v/>
      </c>
      <c r="BT50" s="69" t="str">
        <f ca="1">IF(AND($C50="Goal",BT$8&gt;=$G50,BT$8&lt;=$G50+$H50-1),2,IF(AND($C50="Milestone",BT$8&gt;=$G50,BT$8&lt;=$G50+$H50-1),1,""))</f>
        <v/>
      </c>
      <c r="BU50" s="69" t="str">
        <f ca="1">IF(AND($C50="Goal",BU$8&gt;=$G50,BU$8&lt;=$G50+$H50-1),2,IF(AND($C50="Milestone",BU$8&gt;=$G50,BU$8&lt;=$G50+$H50-1),1,""))</f>
        <v/>
      </c>
      <c r="BV50" s="69" t="str">
        <f ca="1">IF(AND($C50="Goal",BV$8&gt;=$G50,BV$8&lt;=$G50+$H50-1),2,IF(AND($C50="Milestone",BV$8&gt;=$G50,BV$8&lt;=$G50+$H50-1),1,""))</f>
        <v/>
      </c>
      <c r="BW50" s="69" t="str">
        <f ca="1">IF(AND($C50="Goal",BW$8&gt;=$G50,BW$8&lt;=$G50+$H50-1),2,IF(AND($C50="Milestone",BW$8&gt;=$G50,BW$8&lt;=$G50+$H50-1),1,""))</f>
        <v/>
      </c>
      <c r="BX50" s="69" t="str">
        <f ca="1">IF(AND($C50="Goal",BX$8&gt;=$G50,BX$8&lt;=$G50+$H50-1),2,IF(AND($C50="Milestone",BX$8&gt;=$G50,BX$8&lt;=$G50+$H50-1),1,""))</f>
        <v/>
      </c>
      <c r="BY50" s="69" t="str">
        <f ca="1">IF(AND($C50="Goal",BY$8&gt;=$G50,BY$8&lt;=$G50+$H50-1),2,IF(AND($C50="Milestone",BY$8&gt;=$G50,BY$8&lt;=$G50+$H50-1),1,""))</f>
        <v/>
      </c>
      <c r="BZ50" s="69" t="str">
        <f ca="1">IF(AND($C50="Goal",BZ$8&gt;=$G50,BZ$8&lt;=$G50+$H50-1),2,IF(AND($C50="Milestone",BZ$8&gt;=$G50,BZ$8&lt;=$G50+$H50-1),1,""))</f>
        <v/>
      </c>
      <c r="CA50" s="69" t="str">
        <f ca="1">IF(AND($C50="Goal",CA$8&gt;=$G50,CA$8&lt;=$G50+$H50-1),2,IF(AND($C50="Milestone",CA$8&gt;=$G50,CA$8&lt;=$G50+$H50-1),1,""))</f>
        <v/>
      </c>
      <c r="CB50" s="69" t="str">
        <f ca="1">IF(AND($C50="Goal",CB$8&gt;=$G50,CB$8&lt;=$G50+$H50-1),2,IF(AND($C50="Milestone",CB$8&gt;=$G50,CB$8&lt;=$G50+$H50-1),1,""))</f>
        <v/>
      </c>
      <c r="CC50" s="69" t="str">
        <f ca="1">IF(AND($C50="Goal",CC$8&gt;=$G50,CC$8&lt;=$G50+$H50-1),2,IF(AND($C50="Milestone",CC$8&gt;=$G50,CC$8&lt;=$G50+$H50-1),1,""))</f>
        <v/>
      </c>
      <c r="CD50" s="69" t="str">
        <f ca="1">IF(AND($C50="Goal",CD$8&gt;=$G50,CD$8&lt;=$G50+$H50-1),2,IF(AND($C50="Milestone",CD$8&gt;=$G50,CD$8&lt;=$G50+$H50-1),1,""))</f>
        <v/>
      </c>
      <c r="CE50" s="69" t="str">
        <f ca="1">IF(AND($C50="Goal",CE$8&gt;=$G50,CE$8&lt;=$G50+$H50-1),2,IF(AND($C50="Milestone",CE$8&gt;=$G50,CE$8&lt;=$G50+$H50-1),1,""))</f>
        <v/>
      </c>
      <c r="CF50" s="69" t="str">
        <f ca="1">IF(AND($C50="Goal",CF$8&gt;=$G50,CF$8&lt;=$G50+$H50-1),2,IF(AND($C50="Milestone",CF$8&gt;=$G50,CF$8&lt;=$G50+$H50-1),1,""))</f>
        <v/>
      </c>
      <c r="CG50" s="69" t="str">
        <f ca="1">IF(AND($C50="Goal",CG$8&gt;=$G50,CG$8&lt;=$G50+$H50-1),2,IF(AND($C50="Milestone",CG$8&gt;=$G50,CG$8&lt;=$G50+$H50-1),1,""))</f>
        <v/>
      </c>
      <c r="CH50" s="69" t="str">
        <f ca="1">IF(AND($C50="Goal",CH$8&gt;=$G50,CH$8&lt;=$G50+$H50-1),2,IF(AND($C50="Milestone",CH$8&gt;=$G50,CH$8&lt;=$G50+$H50-1),1,""))</f>
        <v/>
      </c>
      <c r="CI50" s="69" t="str">
        <f ca="1">IF(AND($C50="Goal",CI$8&gt;=$G50,CI$8&lt;=$G50+$H50-1),2,IF(AND($C50="Milestone",CI$8&gt;=$G50,CI$8&lt;=$G50+$H50-1),1,""))</f>
        <v/>
      </c>
      <c r="CJ50" s="69" t="str">
        <f ca="1">IF(AND($C50="Goal",CJ$8&gt;=$G50,CJ$8&lt;=$G50+$H50-1),2,IF(AND($C50="Milestone",CJ$8&gt;=$G50,CJ$8&lt;=$G50+$H50-1),1,""))</f>
        <v/>
      </c>
      <c r="CK50" s="69" t="str">
        <f ca="1">IF(AND($C50="Goal",CK$8&gt;=$G50,CK$8&lt;=$G50+$H50-1),2,IF(AND($C50="Milestone",CK$8&gt;=$G50,CK$8&lt;=$G50+$H50-1),1,""))</f>
        <v/>
      </c>
      <c r="CL50" s="69" t="str">
        <f ca="1">IF(AND($C50="Goal",CL$8&gt;=$G50,CL$8&lt;=$G50+$H50-1),2,IF(AND($C50="Milestone",CL$8&gt;=$G50,CL$8&lt;=$G50+$H50-1),1,""))</f>
        <v/>
      </c>
      <c r="CM50" s="69" t="str">
        <f ca="1">IF(AND($C50="Goal",CM$8&gt;=$G50,CM$8&lt;=$G50+$H50-1),2,IF(AND($C50="Milestone",CM$8&gt;=$G50,CM$8&lt;=$G50+$H50-1),1,""))</f>
        <v/>
      </c>
      <c r="CN50" s="69" t="str">
        <f ca="1">IF(AND($C50="Goal",CN$8&gt;=$G50,CN$8&lt;=$G50+$H50-1),2,IF(AND($C50="Milestone",CN$8&gt;=$G50,CN$8&lt;=$G50+$H50-1),1,""))</f>
        <v/>
      </c>
      <c r="CO50" s="69" t="str">
        <f ca="1">IF(AND($C50="Goal",CO$8&gt;=$G50,CO$8&lt;=$G50+$H50-1),2,IF(AND($C50="Milestone",CO$8&gt;=$G50,CO$8&lt;=$G50+$H50-1),1,""))</f>
        <v/>
      </c>
      <c r="CP50" s="69" t="str">
        <f ca="1">IF(AND($C50="Goal",CP$8&gt;=$G50,CP$8&lt;=$G50+$H50-1),2,IF(AND($C50="Milestone",CP$8&gt;=$G50,CP$8&lt;=$G50+$H50-1),1,""))</f>
        <v/>
      </c>
      <c r="CQ50" s="69" t="str">
        <f ca="1">IF(AND($C50="Goal",CQ$8&gt;=$G50,CQ$8&lt;=$G50+$H50-1),2,IF(AND($C50="Milestone",CQ$8&gt;=$G50,CQ$8&lt;=$G50+$H50-1),1,""))</f>
        <v/>
      </c>
      <c r="CR50" s="69" t="str">
        <f ca="1">IF(AND($C50="Goal",CR$8&gt;=$G50,CR$8&lt;=$G50+$H50-1),2,IF(AND($C50="Milestone",CR$8&gt;=$G50,CR$8&lt;=$G50+$H50-1),1,""))</f>
        <v/>
      </c>
      <c r="CS50" s="69" t="str">
        <f ca="1">IF(AND($C50="Goal",CS$8&gt;=$G50,CS$8&lt;=$G50+$H50-1),2,IF(AND($C50="Milestone",CS$8&gt;=$G50,CS$8&lt;=$G50+$H50-1),1,""))</f>
        <v/>
      </c>
      <c r="CT50" s="69" t="str">
        <f ca="1">IF(AND($C50="Goal",CT$8&gt;=$G50,CT$8&lt;=$G50+$H50-1),2,IF(AND($C50="Milestone",CT$8&gt;=$G50,CT$8&lt;=$G50+$H50-1),1,""))</f>
        <v/>
      </c>
      <c r="CU50" s="69" t="str">
        <f ca="1">IF(AND($C50="Goal",CU$8&gt;=$G50,CU$8&lt;=$G50+$H50-1),2,IF(AND($C50="Milestone",CU$8&gt;=$G50,CU$8&lt;=$G50+$H50-1),1,""))</f>
        <v/>
      </c>
      <c r="CV50" s="69" t="str">
        <f ca="1">IF(AND($C50="Goal",CV$8&gt;=$G50,CV$8&lt;=$G50+$H50-1),2,IF(AND($C50="Milestone",CV$8&gt;=$G50,CV$8&lt;=$G50+$H50-1),1,""))</f>
        <v/>
      </c>
      <c r="CW50" s="69" t="str">
        <f ca="1">IF(AND($C50="Goal",CW$8&gt;=$G50,CW$8&lt;=$G50+$H50-1),2,IF(AND($C50="Milestone",CW$8&gt;=$G50,CW$8&lt;=$G50+$H50-1),1,""))</f>
        <v/>
      </c>
      <c r="CX50" s="69" t="str">
        <f ca="1">IF(AND($C50="Goal",CX$8&gt;=$G50,CX$8&lt;=$G50+$H50-1),2,IF(AND($C50="Milestone",CX$8&gt;=$G50,CX$8&lt;=$G50+$H50-1),1,""))</f>
        <v/>
      </c>
      <c r="CY50" s="69" t="str">
        <f ca="1">IF(AND($C50="Goal",CY$8&gt;=$G50,CY$8&lt;=$G50+$H50-1),2,IF(AND($C50="Milestone",CY$8&gt;=$G50,CY$8&lt;=$G50+$H50-1),1,""))</f>
        <v/>
      </c>
      <c r="CZ50" s="69" t="str">
        <f ca="1">IF(AND($C50="Goal",CZ$8&gt;=$G50,CZ$8&lt;=$G50+$H50-1),2,IF(AND($C50="Milestone",CZ$8&gt;=$G50,CZ$8&lt;=$G50+$H50-1),1,""))</f>
        <v/>
      </c>
      <c r="DA50" s="69" t="str">
        <f ca="1">IF(AND($C50="Goal",DA$8&gt;=$G50,DA$8&lt;=$G50+$H50-1),2,IF(AND($C50="Milestone",DA$8&gt;=$G50,DA$8&lt;=$G50+$H50-1),1,""))</f>
        <v/>
      </c>
      <c r="DB50" s="69" t="str">
        <f ca="1">IF(AND($C50="Goal",DB$8&gt;=$G50,DB$8&lt;=$G50+$H50-1),2,IF(AND($C50="Milestone",DB$8&gt;=$G50,DB$8&lt;=$G50+$H50-1),1,""))</f>
        <v/>
      </c>
      <c r="DC50" s="69" t="str">
        <f ca="1">IF(AND($C50="Goal",DC$8&gt;=$G50,DC$8&lt;=$G50+$H50-1),2,IF(AND($C50="Milestone",DC$8&gt;=$G50,DC$8&lt;=$G50+$H50-1),1,""))</f>
        <v/>
      </c>
      <c r="DD50" s="69" t="str">
        <f ca="1">IF(AND($C50="Goal",DD$8&gt;=$G50,DD$8&lt;=$G50+$H50-1),2,IF(AND($C50="Milestone",DD$8&gt;=$G50,DD$8&lt;=$G50+$H50-1),1,""))</f>
        <v/>
      </c>
      <c r="DE50" s="69" t="str">
        <f ca="1">IF(AND($C50="Goal",DE$8&gt;=$G50,DE$8&lt;=$G50+$H50-1),2,IF(AND($C50="Milestone",DE$8&gt;=$G50,DE$8&lt;=$G50+$H50-1),1,""))</f>
        <v/>
      </c>
      <c r="DF50" s="69" t="str">
        <f ca="1">IF(AND($C50="Goal",DF$8&gt;=$G50,DF$8&lt;=$G50+$H50-1),2,IF(AND($C50="Milestone",DF$8&gt;=$G50,DF$8&lt;=$G50+$H50-1),1,""))</f>
        <v/>
      </c>
      <c r="DG50" s="69" t="str">
        <f ca="1">IF(AND($C50="Goal",DG$8&gt;=$G50,DG$8&lt;=$G50+$H50-1),2,IF(AND($C50="Milestone",DG$8&gt;=$G50,DG$8&lt;=$G50+$H50-1),1,""))</f>
        <v/>
      </c>
      <c r="DH50" s="69" t="str">
        <f ca="1">IF(AND($C50="Goal",DH$8&gt;=$G50,DH$8&lt;=$G50+$H50-1),2,IF(AND($C50="Milestone",DH$8&gt;=$G50,DH$8&lt;=$G50+$H50-1),1,""))</f>
        <v/>
      </c>
      <c r="DI50" s="69" t="str">
        <f ca="1">IF(AND($C50="Goal",DI$8&gt;=$G50,DI$8&lt;=$G50+$H50-1),2,IF(AND($C50="Milestone",DI$8&gt;=$G50,DI$8&lt;=$G50+$H50-1),1,""))</f>
        <v/>
      </c>
      <c r="DJ50" s="69" t="str">
        <f ca="1">IF(AND($C50="Goal",DJ$8&gt;=$G50,DJ$8&lt;=$G50+$H50-1),2,IF(AND($C50="Milestone",DJ$8&gt;=$G50,DJ$8&lt;=$G50+$H50-1),1,""))</f>
        <v/>
      </c>
      <c r="DK50" s="69" t="str">
        <f ca="1">IF(AND($C50="Goal",DK$8&gt;=$G50,DK$8&lt;=$G50+$H50-1),2,IF(AND($C50="Milestone",DK$8&gt;=$G50,DK$8&lt;=$G50+$H50-1),1,""))</f>
        <v/>
      </c>
      <c r="DL50" s="69" t="str">
        <f ca="1">IF(AND($C50="Goal",DL$8&gt;=$G50,DL$8&lt;=$G50+$H50-1),2,IF(AND($C50="Milestone",DL$8&gt;=$G50,DL$8&lt;=$G50+$H50-1),1,""))</f>
        <v/>
      </c>
      <c r="DM50" s="69" t="str">
        <f ca="1">IF(AND($C50="Goal",DM$8&gt;=$G50,DM$8&lt;=$G50+$H50-1),2,IF(AND($C50="Milestone",DM$8&gt;=$G50,DM$8&lt;=$G50+$H50-1),1,""))</f>
        <v/>
      </c>
      <c r="DN50" s="69" t="str">
        <f ca="1">IF(AND($C50="Goal",DN$8&gt;=$G50,DN$8&lt;=$G50+$H50-1),2,IF(AND($C50="Milestone",DN$8&gt;=$G50,DN$8&lt;=$G50+$H50-1),1,""))</f>
        <v/>
      </c>
      <c r="DO50" s="69" t="str">
        <f ca="1">IF(AND($C50="Goal",DO$8&gt;=$G50,DO$8&lt;=$G50+$H50-1),2,IF(AND($C50="Milestone",DO$8&gt;=$G50,DO$8&lt;=$G50+$H50-1),1,""))</f>
        <v/>
      </c>
      <c r="DP50" s="69" t="str">
        <f ca="1">IF(AND($C50="Goal",DP$8&gt;=$G50,DP$8&lt;=$G50+$H50-1),2,IF(AND($C50="Milestone",DP$8&gt;=$G50,DP$8&lt;=$G50+$H50-1),1,""))</f>
        <v/>
      </c>
      <c r="DQ50" s="69" t="str">
        <f ca="1">IF(AND($C50="Goal",DQ$8&gt;=$G50,DQ$8&lt;=$G50+$H50-1),2,IF(AND($C50="Milestone",DQ$8&gt;=$G50,DQ$8&lt;=$G50+$H50-1),1,""))</f>
        <v/>
      </c>
      <c r="DR50" s="69" t="str">
        <f ca="1">IF(AND($C50="Goal",DR$8&gt;=$G50,DR$8&lt;=$G50+$H50-1),2,IF(AND($C50="Milestone",DR$8&gt;=$G50,DR$8&lt;=$G50+$H50-1),1,""))</f>
        <v/>
      </c>
      <c r="DS50" s="69" t="str">
        <f ca="1">IF(AND($C50="Goal",DS$8&gt;=$G50,DS$8&lt;=$G50+$H50-1),2,IF(AND($C50="Milestone",DS$8&gt;=$G50,DS$8&lt;=$G50+$H50-1),1,""))</f>
        <v/>
      </c>
      <c r="DT50" s="69" t="str">
        <f ca="1">IF(AND($C50="Goal",DT$8&gt;=$G50,DT$8&lt;=$G50+$H50-1),2,IF(AND($C50="Milestone",DT$8&gt;=$G50,DT$8&lt;=$G50+$H50-1),1,""))</f>
        <v/>
      </c>
      <c r="DU50" s="69" t="str">
        <f ca="1">IF(AND($C50="Goal",DU$8&gt;=$G50,DU$8&lt;=$G50+$H50-1),2,IF(AND($C50="Milestone",DU$8&gt;=$G50,DU$8&lt;=$G50+$H50-1),1,""))</f>
        <v/>
      </c>
      <c r="DV50" s="69" t="str">
        <f ca="1">IF(AND($C50="Goal",DV$8&gt;=$G50,DV$8&lt;=$G50+$H50-1),2,IF(AND($C50="Milestone",DV$8&gt;=$G50,DV$8&lt;=$G50+$H50-1),1,""))</f>
        <v/>
      </c>
      <c r="DW50" s="69" t="str">
        <f ca="1">IF(AND($C50="Goal",DW$8&gt;=$G50,DW$8&lt;=$G50+$H50-1),2,IF(AND($C50="Milestone",DW$8&gt;=$G50,DW$8&lt;=$G50+$H50-1),1,""))</f>
        <v/>
      </c>
      <c r="DX50" s="69" t="str">
        <f ca="1">IF(AND($C50="Goal",DX$8&gt;=$G50,DX$8&lt;=$G50+$H50-1),2,IF(AND($C50="Milestone",DX$8&gt;=$G50,DX$8&lt;=$G50+$H50-1),1,""))</f>
        <v/>
      </c>
      <c r="DY50" s="69" t="str">
        <f ca="1">IF(AND($C50="Goal",DY$8&gt;=$G50,DY$8&lt;=$G50+$H50-1),2,IF(AND($C50="Milestone",DY$8&gt;=$G50,DY$8&lt;=$G50+$H50-1),1,""))</f>
        <v/>
      </c>
      <c r="DZ50" s="69" t="str">
        <f ca="1">IF(AND($C50="Goal",DZ$8&gt;=$G50,DZ$8&lt;=$G50+$H50-1),2,IF(AND($C50="Milestone",DZ$8&gt;=$G50,DZ$8&lt;=$G50+$H50-1),1,""))</f>
        <v/>
      </c>
      <c r="EA50" s="69" t="str">
        <f ca="1">IF(AND($C50="Goal",EA$8&gt;=$G50,EA$8&lt;=$G50+$H50-1),2,IF(AND($C50="Milestone",EA$8&gt;=$G50,EA$8&lt;=$G50+$H50-1),1,""))</f>
        <v/>
      </c>
      <c r="EB50" s="69" t="str">
        <f ca="1">IF(AND($C50="Goal",EB$8&gt;=$G50,EB$8&lt;=$G50+$H50-1),2,IF(AND($C50="Milestone",EB$8&gt;=$G50,EB$8&lt;=$G50+$H50-1),1,""))</f>
        <v/>
      </c>
      <c r="EC50" s="69" t="str">
        <f ca="1">IF(AND($C50="Goal",EC$8&gt;=$G50,EC$8&lt;=$G50+$H50-1),2,IF(AND($C50="Milestone",EC$8&gt;=$G50,EC$8&lt;=$G50+$H50-1),1,""))</f>
        <v/>
      </c>
      <c r="ED50" s="69" t="str">
        <f ca="1">IF(AND($C50="Goal",ED$8&gt;=$G50,ED$8&lt;=$G50+$H50-1),2,IF(AND($C50="Milestone",ED$8&gt;=$G50,ED$8&lt;=$G50+$H50-1),1,""))</f>
        <v/>
      </c>
      <c r="EE50" s="69" t="str">
        <f ca="1">IF(AND($C50="Goal",EE$8&gt;=$G50,EE$8&lt;=$G50+$H50-1),2,IF(AND($C50="Milestone",EE$8&gt;=$G50,EE$8&lt;=$G50+$H50-1),1,""))</f>
        <v/>
      </c>
      <c r="EF50" s="69" t="str">
        <f ca="1">IF(AND($C50="Goal",EF$8&gt;=$G50,EF$8&lt;=$G50+$H50-1),2,IF(AND($C50="Milestone",EF$8&gt;=$G50,EF$8&lt;=$G50+$H50-1),1,""))</f>
        <v/>
      </c>
      <c r="EG50" s="69" t="str">
        <f ca="1">IF(AND($C50="Goal",EG$8&gt;=$G50,EG$8&lt;=$G50+$H50-1),2,IF(AND($C50="Milestone",EG$8&gt;=$G50,EG$8&lt;=$G50+$H50-1),1,""))</f>
        <v/>
      </c>
      <c r="EH50" s="69" t="str">
        <f ca="1">IF(AND($C50="Goal",EH$8&gt;=$G50,EH$8&lt;=$G50+$H50-1),2,IF(AND($C50="Milestone",EH$8&gt;=$G50,EH$8&lt;=$G50+$H50-1),1,""))</f>
        <v/>
      </c>
      <c r="EI50" s="69" t="str">
        <f ca="1">IF(AND($C50="Goal",EI$8&gt;=$G50,EI$8&lt;=$G50+$H50-1),2,IF(AND($C50="Milestone",EI$8&gt;=$G50,EI$8&lt;=$G50+$H50-1),1,""))</f>
        <v/>
      </c>
      <c r="EJ50" s="69" t="str">
        <f ca="1">IF(AND($C50="Goal",EJ$8&gt;=$G50,EJ$8&lt;=$G50+$H50-1),2,IF(AND($C50="Milestone",EJ$8&gt;=$G50,EJ$8&lt;=$G50+$H50-1),1,""))</f>
        <v/>
      </c>
      <c r="EK50" s="69" t="str">
        <f ca="1">IF(AND($C50="Goal",EK$8&gt;=$G50,EK$8&lt;=$G50+$H50-1),2,IF(AND($C50="Milestone",EK$8&gt;=$G50,EK$8&lt;=$G50+$H50-1),1,""))</f>
        <v/>
      </c>
      <c r="EL50" s="69" t="str">
        <f ca="1">IF(AND($C50="Goal",EL$8&gt;=$G50,EL$8&lt;=$G50+$H50-1),2,IF(AND($C50="Milestone",EL$8&gt;=$G50,EL$8&lt;=$G50+$H50-1),1,""))</f>
        <v/>
      </c>
      <c r="EM50" s="69" t="str">
        <f ca="1">IF(AND($C50="Goal",EM$8&gt;=$G50,EM$8&lt;=$G50+$H50-1),2,IF(AND($C50="Milestone",EM$8&gt;=$G50,EM$8&lt;=$G50+$H50-1),1,""))</f>
        <v/>
      </c>
      <c r="EN50" s="69" t="str">
        <f ca="1">IF(AND($C50="Goal",EN$8&gt;=$G50,EN$8&lt;=$G50+$H50-1),2,IF(AND($C50="Milestone",EN$8&gt;=$G50,EN$8&lt;=$G50+$H50-1),1,""))</f>
        <v/>
      </c>
      <c r="EO50" s="69" t="str">
        <f ca="1">IF(AND($C50="Goal",EO$8&gt;=$G50,EO$8&lt;=$G50+$H50-1),2,IF(AND($C50="Milestone",EO$8&gt;=$G50,EO$8&lt;=$G50+$H50-1),1,""))</f>
        <v/>
      </c>
      <c r="EP50" s="69" t="str">
        <f ca="1">IF(AND($C50="Goal",EP$8&gt;=$G50,EP$8&lt;=$G50+$H50-1),2,IF(AND($C50="Milestone",EP$8&gt;=$G50,EP$8&lt;=$G50+$H50-1),1,""))</f>
        <v/>
      </c>
      <c r="EQ50" s="69" t="str">
        <f ca="1">IF(AND($C50="Goal",EQ$8&gt;=$G50,EQ$8&lt;=$G50+$H50-1),2,IF(AND($C50="Milestone",EQ$8&gt;=$G50,EQ$8&lt;=$G50+$H50-1),1,""))</f>
        <v/>
      </c>
      <c r="ER50" s="69" t="str">
        <f ca="1">IF(AND($C50="Goal",ER$8&gt;=$G50,ER$8&lt;=$G50+$H50-1),2,IF(AND($C50="Milestone",ER$8&gt;=$G50,ER$8&lt;=$G50+$H50-1),1,""))</f>
        <v/>
      </c>
      <c r="ES50" s="69" t="str">
        <f ca="1">IF(AND($C50="Goal",ES$8&gt;=$G50,ES$8&lt;=$G50+$H50-1),2,IF(AND($C50="Milestone",ES$8&gt;=$G50,ES$8&lt;=$G50+$H50-1),1,""))</f>
        <v/>
      </c>
      <c r="ET50" s="69" t="str">
        <f ca="1">IF(AND($C50="Goal",ET$8&gt;=$G50,ET$8&lt;=$G50+$H50-1),2,IF(AND($C50="Milestone",ET$8&gt;=$G50,ET$8&lt;=$G50+$H50-1),1,""))</f>
        <v/>
      </c>
      <c r="EU50" s="69" t="str">
        <f ca="1">IF(AND($C50="Goal",EU$8&gt;=$G50,EU$8&lt;=$G50+$H50-1),2,IF(AND($C50="Milestone",EU$8&gt;=$G50,EU$8&lt;=$G50+$H50-1),1,""))</f>
        <v/>
      </c>
      <c r="EV50" s="69" t="str">
        <f ca="1">IF(AND($C50="Goal",EV$8&gt;=$G50,EV$8&lt;=$G50+$H50-1),2,IF(AND($C50="Milestone",EV$8&gt;=$G50,EV$8&lt;=$G50+$H50-1),1,""))</f>
        <v/>
      </c>
      <c r="EW50" s="69" t="str">
        <f ca="1">IF(AND($C50="Goal",EW$8&gt;=$G50,EW$8&lt;=$G50+$H50-1),2,IF(AND($C50="Milestone",EW$8&gt;=$G50,EW$8&lt;=$G50+$H50-1),1,""))</f>
        <v/>
      </c>
      <c r="EX50" s="69" t="str">
        <f ca="1">IF(AND($C50="Goal",EX$8&gt;=$G50,EX$8&lt;=$G50+$H50-1),2,IF(AND($C50="Milestone",EX$8&gt;=$G50,EX$8&lt;=$G50+$H50-1),1,""))</f>
        <v/>
      </c>
      <c r="EY50" s="69" t="str">
        <f ca="1">IF(AND($C50="Goal",EY$8&gt;=$G50,EY$8&lt;=$G50+$H50-1),2,IF(AND($C50="Milestone",EY$8&gt;=$G50,EY$8&lt;=$G50+$H50-1),1,""))</f>
        <v/>
      </c>
      <c r="EZ50" s="69" t="str">
        <f ca="1">IF(AND($C50="Goal",EZ$8&gt;=$G50,EZ$8&lt;=$G50+$H50-1),2,IF(AND($C50="Milestone",EZ$8&gt;=$G50,EZ$8&lt;=$G50+$H50-1),1,""))</f>
        <v/>
      </c>
      <c r="FA50" s="69" t="str">
        <f ca="1">IF(AND($C50="Goal",FA$8&gt;=$G50,FA$8&lt;=$G50+$H50-1),2,IF(AND($C50="Milestone",FA$8&gt;=$G50,FA$8&lt;=$G50+$H50-1),1,""))</f>
        <v/>
      </c>
      <c r="FB50" s="69" t="str">
        <f ca="1">IF(AND($C50="Goal",FB$8&gt;=$G50,FB$8&lt;=$G50+$H50-1),2,IF(AND($C50="Milestone",FB$8&gt;=$G50,FB$8&lt;=$G50+$H50-1),1,""))</f>
        <v/>
      </c>
      <c r="FC50" s="69" t="str">
        <f ca="1">IF(AND($C50="Goal",FC$8&gt;=$G50,FC$8&lt;=$G50+$H50-1),2,IF(AND($C50="Milestone",FC$8&gt;=$G50,FC$8&lt;=$G50+$H50-1),1,""))</f>
        <v/>
      </c>
      <c r="FD50" s="69" t="str">
        <f ca="1">IF(AND($C50="Goal",FD$8&gt;=$G50,FD$8&lt;=$G50+$H50-1),2,IF(AND($C50="Milestone",FD$8&gt;=$G50,FD$8&lt;=$G50+$H50-1),1,""))</f>
        <v/>
      </c>
      <c r="FE50" s="69" t="str">
        <f ca="1">IF(AND($C50="Goal",FE$8&gt;=$G50,FE$8&lt;=$G50+$H50-1),2,IF(AND($C50="Milestone",FE$8&gt;=$G50,FE$8&lt;=$G50+$H50-1),1,""))</f>
        <v/>
      </c>
      <c r="FF50" s="69" t="str">
        <f ca="1">IF(AND($C50="Goal",FF$8&gt;=$G50,FF$8&lt;=$G50+$H50-1),2,IF(AND($C50="Milestone",FF$8&gt;=$G50,FF$8&lt;=$G50+$H50-1),1,""))</f>
        <v/>
      </c>
      <c r="FG50" s="69" t="str">
        <f ca="1">IF(AND($C50="Goal",FG$8&gt;=$G50,FG$8&lt;=$G50+$H50-1),2,IF(AND($C50="Milestone",FG$8&gt;=$G50,FG$8&lt;=$G50+$H50-1),1,""))</f>
        <v/>
      </c>
      <c r="FH50" s="69" t="str">
        <f ca="1">IF(AND($C50="Goal",FH$8&gt;=$G50,FH$8&lt;=$G50+$H50-1),2,IF(AND($C50="Milestone",FH$8&gt;=$G50,FH$8&lt;=$G50+$H50-1),1,""))</f>
        <v/>
      </c>
      <c r="FI50" s="69" t="str">
        <f ca="1">IF(AND($C50="Goal",FI$8&gt;=$G50,FI$8&lt;=$G50+$H50-1),2,IF(AND($C50="Milestone",FI$8&gt;=$G50,FI$8&lt;=$G50+$H50-1),1,""))</f>
        <v/>
      </c>
      <c r="FJ50" s="69" t="str">
        <f ca="1">IF(AND($C50="Goal",FJ$8&gt;=$G50,FJ$8&lt;=$G50+$H50-1),2,IF(AND($C50="Milestone",FJ$8&gt;=$G50,FJ$8&lt;=$G50+$H50-1),1,""))</f>
        <v/>
      </c>
      <c r="FK50" s="69" t="str">
        <f ca="1">IF(AND($C50="Goal",FK$8&gt;=$G50,FK$8&lt;=$G50+$H50-1),2,IF(AND($C50="Milestone",FK$8&gt;=$G50,FK$8&lt;=$G50+$H50-1),1,""))</f>
        <v/>
      </c>
      <c r="FL50" s="69" t="str">
        <f ca="1">IF(AND($C50="Goal",FL$8&gt;=$G50,FL$8&lt;=$G50+$H50-1),2,IF(AND($C50="Milestone",FL$8&gt;=$G50,FL$8&lt;=$G50+$H50-1),1,""))</f>
        <v/>
      </c>
      <c r="FM50" s="69" t="str">
        <f ca="1">IF(AND($C50="Goal",FM$8&gt;=$G50,FM$8&lt;=$G50+$H50-1),2,IF(AND($C50="Milestone",FM$8&gt;=$G50,FM$8&lt;=$G50+$H50-1),1,""))</f>
        <v/>
      </c>
      <c r="FN50" s="69" t="str">
        <f ca="1">IF(AND($C50="Goal",FN$8&gt;=$G50,FN$8&lt;=$G50+$H50-1),2,IF(AND($C50="Milestone",FN$8&gt;=$G50,FN$8&lt;=$G50+$H50-1),1,""))</f>
        <v/>
      </c>
      <c r="FO50" s="69" t="str">
        <f ca="1">IF(AND($C50="Goal",FO$8&gt;=$G50,FO$8&lt;=$G50+$H50-1),2,IF(AND($C50="Milestone",FO$8&gt;=$G50,FO$8&lt;=$G50+$H50-1),1,""))</f>
        <v/>
      </c>
      <c r="FP50" s="69" t="str">
        <f ca="1">IF(AND($C50="Goal",FP$8&gt;=$G50,FP$8&lt;=$G50+$H50-1),2,IF(AND($C50="Milestone",FP$8&gt;=$G50,FP$8&lt;=$G50+$H50-1),1,""))</f>
        <v/>
      </c>
      <c r="FQ50" s="69" t="str">
        <f ca="1">IF(AND($C50="Goal",FQ$8&gt;=$G50,FQ$8&lt;=$G50+$H50-1),2,IF(AND($C50="Milestone",FQ$8&gt;=$G50,FQ$8&lt;=$G50+$H50-1),1,""))</f>
        <v/>
      </c>
      <c r="FR50" s="69" t="str">
        <f ca="1">IF(AND($C50="Goal",FR$8&gt;=$G50,FR$8&lt;=$G50+$H50-1),2,IF(AND($C50="Milestone",FR$8&gt;=$G50,FR$8&lt;=$G50+$H50-1),1,""))</f>
        <v/>
      </c>
      <c r="FS50" s="69" t="str">
        <f ca="1">IF(AND($C50="Goal",FS$8&gt;=$G50,FS$8&lt;=$G50+$H50-1),2,IF(AND($C50="Milestone",FS$8&gt;=$G50,FS$8&lt;=$G50+$H50-1),1,""))</f>
        <v/>
      </c>
      <c r="FT50" s="69" t="str">
        <f ca="1">IF(AND($C50="Goal",FT$8&gt;=$G50,FT$8&lt;=$G50+$H50-1),2,IF(AND($C50="Milestone",FT$8&gt;=$G50,FT$8&lt;=$G50+$H50-1),1,""))</f>
        <v/>
      </c>
      <c r="FU50" s="69" t="str">
        <f ca="1">IF(AND($C50="Goal",FU$8&gt;=$G50,FU$8&lt;=$G50+$H50-1),2,IF(AND($C50="Milestone",FU$8&gt;=$G50,FU$8&lt;=$G50+$H50-1),1,""))</f>
        <v/>
      </c>
      <c r="FV50" s="69" t="str">
        <f ca="1">IF(AND($C50="Goal",FV$8&gt;=$G50,FV$8&lt;=$G50+$H50-1),2,IF(AND($C50="Milestone",FV$8&gt;=$G50,FV$8&lt;=$G50+$H50-1),1,""))</f>
        <v/>
      </c>
      <c r="FW50" s="69" t="str">
        <f ca="1">IF(AND($C50="Goal",FW$8&gt;=$G50,FW$8&lt;=$G50+$H50-1),2,IF(AND($C50="Milestone",FW$8&gt;=$G50,FW$8&lt;=$G50+$H50-1),1,""))</f>
        <v/>
      </c>
      <c r="FX50" s="69" t="str">
        <f ca="1">IF(AND($C50="Goal",FX$8&gt;=$G50,FX$8&lt;=$G50+$H50-1),2,IF(AND($C50="Milestone",FX$8&gt;=$G50,FX$8&lt;=$G50+$H50-1),1,""))</f>
        <v/>
      </c>
      <c r="FY50" s="69" t="str">
        <f ca="1">IF(AND($C50="Goal",FY$8&gt;=$G50,FY$8&lt;=$G50+$H50-1),2,IF(AND($C50="Milestone",FY$8&gt;=$G50,FY$8&lt;=$G50+$H50-1),1,""))</f>
        <v/>
      </c>
      <c r="FZ50" s="69" t="str">
        <f ca="1">IF(AND($C50="Goal",FZ$8&gt;=$G50,FZ$8&lt;=$G50+$H50-1),2,IF(AND($C50="Milestone",FZ$8&gt;=$G50,FZ$8&lt;=$G50+$H50-1),1,""))</f>
        <v/>
      </c>
      <c r="GA50" s="69" t="str">
        <f ca="1">IF(AND($C50="Goal",GA$8&gt;=$G50,GA$8&lt;=$G50+$H50-1),2,IF(AND($C50="Milestone",GA$8&gt;=$G50,GA$8&lt;=$G50+$H50-1),1,""))</f>
        <v/>
      </c>
      <c r="GB50" s="69" t="str">
        <f ca="1">IF(AND($C50="Goal",GB$8&gt;=$G50,GB$8&lt;=$G50+$H50-1),2,IF(AND($C50="Milestone",GB$8&gt;=$G50,GB$8&lt;=$G50+$H50-1),1,""))</f>
        <v/>
      </c>
      <c r="GC50" s="69" t="str">
        <f ca="1">IF(AND($C50="Goal",GC$8&gt;=$G50,GC$8&lt;=$G50+$H50-1),2,IF(AND($C50="Milestone",GC$8&gt;=$G50,GC$8&lt;=$G50+$H50-1),1,""))</f>
        <v/>
      </c>
      <c r="GD50" s="69" t="str">
        <f ca="1">IF(AND($C50="Goal",GD$8&gt;=$G50,GD$8&lt;=$G50+$H50-1),2,IF(AND($C50="Milestone",GD$8&gt;=$G50,GD$8&lt;=$G50+$H50-1),1,""))</f>
        <v/>
      </c>
      <c r="GE50" s="69" t="str">
        <f ca="1">IF(AND($C50="Goal",GE$8&gt;=$G50,GE$8&lt;=$G50+$H50-1),2,IF(AND($C50="Milestone",GE$8&gt;=$G50,GE$8&lt;=$G50+$H50-1),1,""))</f>
        <v/>
      </c>
      <c r="GF50" s="69" t="str">
        <f ca="1">IF(AND($C50="Goal",GF$8&gt;=$G50,GF$8&lt;=$G50+$H50-1),2,IF(AND($C50="Milestone",GF$8&gt;=$G50,GF$8&lt;=$G50+$H50-1),1,""))</f>
        <v/>
      </c>
      <c r="GG50" s="69" t="str">
        <f ca="1">IF(AND($C50="Goal",GG$8&gt;=$G50,GG$8&lt;=$G50+$H50-1),2,IF(AND($C50="Milestone",GG$8&gt;=$G50,GG$8&lt;=$G50+$H50-1),1,""))</f>
        <v/>
      </c>
      <c r="GH50" s="69" t="str">
        <f ca="1">IF(AND($C50="Goal",GH$8&gt;=$G50,GH$8&lt;=$G50+$H50-1),2,IF(AND($C50="Milestone",GH$8&gt;=$G50,GH$8&lt;=$G50+$H50-1),1,""))</f>
        <v/>
      </c>
      <c r="GI50" s="69" t="str">
        <f ca="1">IF(AND($C50="Goal",GI$8&gt;=$G50,GI$8&lt;=$G50+$H50-1),2,IF(AND($C50="Milestone",GI$8&gt;=$G50,GI$8&lt;=$G50+$H50-1),1,""))</f>
        <v/>
      </c>
      <c r="GJ50" s="69" t="str">
        <f ca="1">IF(AND($C50="Goal",GJ$8&gt;=$G50,GJ$8&lt;=$G50+$H50-1),2,IF(AND($C50="Milestone",GJ$8&gt;=$G50,GJ$8&lt;=$G50+$H50-1),1,""))</f>
        <v/>
      </c>
      <c r="GK50" s="69" t="str">
        <f ca="1">IF(AND($C50="Goal",GK$8&gt;=$G50,GK$8&lt;=$G50+$H50-1),2,IF(AND($C50="Milestone",GK$8&gt;=$G50,GK$8&lt;=$G50+$H50-1),1,""))</f>
        <v/>
      </c>
      <c r="GL50" s="69" t="str">
        <f ca="1">IF(AND($C50="Goal",GL$8&gt;=$G50,GL$8&lt;=$G50+$H50-1),2,IF(AND($C50="Milestone",GL$8&gt;=$G50,GL$8&lt;=$G50+$H50-1),1,""))</f>
        <v/>
      </c>
      <c r="GM50" s="69" t="str">
        <f ca="1">IF(AND($C50="Goal",GM$8&gt;=$G50,GM$8&lt;=$G50+$H50-1),2,IF(AND($C50="Milestone",GM$8&gt;=$G50,GM$8&lt;=$G50+$H50-1),1,""))</f>
        <v/>
      </c>
      <c r="GN50" s="69" t="str">
        <f ca="1">IF(AND($C50="Goal",GN$8&gt;=$G50,GN$8&lt;=$G50+$H50-1),2,IF(AND($C50="Milestone",GN$8&gt;=$G50,GN$8&lt;=$G50+$H50-1),1,""))</f>
        <v/>
      </c>
      <c r="GO50" s="69" t="str">
        <f ca="1">IF(AND($C50="Goal",GO$8&gt;=$G50,GO$8&lt;=$G50+$H50-1),2,IF(AND($C50="Milestone",GO$8&gt;=$G50,GO$8&lt;=$G50+$H50-1),1,""))</f>
        <v/>
      </c>
      <c r="GP50" s="69" t="str">
        <f ca="1">IF(AND($C50="Goal",GP$8&gt;=$G50,GP$8&lt;=$G50+$H50-1),2,IF(AND($C50="Milestone",GP$8&gt;=$G50,GP$8&lt;=$G50+$H50-1),1,""))</f>
        <v/>
      </c>
      <c r="GQ50" s="69" t="str">
        <f ca="1">IF(AND($C50="Goal",GQ$8&gt;=$G50,GQ$8&lt;=$G50+$H50-1),2,IF(AND($C50="Milestone",GQ$8&gt;=$G50,GQ$8&lt;=$G50+$H50-1),1,""))</f>
        <v/>
      </c>
      <c r="GR50" s="69" t="str">
        <f ca="1">IF(AND($C50="Goal",GR$8&gt;=$G50,GR$8&lt;=$G50+$H50-1),2,IF(AND($C50="Milestone",GR$8&gt;=$G50,GR$8&lt;=$G50+$H50-1),1,""))</f>
        <v/>
      </c>
      <c r="GS50" s="69" t="str">
        <f ca="1">IF(AND($C50="Goal",GS$8&gt;=$G50,GS$8&lt;=$G50+$H50-1),2,IF(AND($C50="Milestone",GS$8&gt;=$G50,GS$8&lt;=$G50+$H50-1),1,""))</f>
        <v/>
      </c>
      <c r="GT50" s="69" t="str">
        <f ca="1">IF(AND($C50="Goal",GT$8&gt;=$G50,GT$8&lt;=$G50+$H50-1),2,IF(AND($C50="Milestone",GT$8&gt;=$G50,GT$8&lt;=$G50+$H50-1),1,""))</f>
        <v/>
      </c>
      <c r="GU50" s="69" t="str">
        <f ca="1">IF(AND($C50="Goal",GU$8&gt;=$G50,GU$8&lt;=$G50+$H50-1),2,IF(AND($C50="Milestone",GU$8&gt;=$G50,GU$8&lt;=$G50+$H50-1),1,""))</f>
        <v/>
      </c>
      <c r="GV50" s="69" t="str">
        <f ca="1">IF(AND($C50="Goal",GV$8&gt;=$G50,GV$8&lt;=$G50+$H50-1),2,IF(AND($C50="Milestone",GV$8&gt;=$G50,GV$8&lt;=$G50+$H50-1),1,""))</f>
        <v/>
      </c>
      <c r="GW50" s="69" t="str">
        <f ca="1">IF(AND($C50="Goal",GW$8&gt;=$G50,GW$8&lt;=$G50+$H50-1),2,IF(AND($C50="Milestone",GW$8&gt;=$G50,GW$8&lt;=$G50+$H50-1),1,""))</f>
        <v/>
      </c>
      <c r="GX50" s="69" t="str">
        <f ca="1">IF(AND($C50="Goal",GX$8&gt;=$G50,GX$8&lt;=$G50+$H50-1),2,IF(AND($C50="Milestone",GX$8&gt;=$G50,GX$8&lt;=$G50+$H50-1),1,""))</f>
        <v/>
      </c>
      <c r="GY50" s="69" t="str">
        <f ca="1">IF(AND($C50="Goal",GY$8&gt;=$G50,GY$8&lt;=$G50+$H50-1),2,IF(AND($C50="Milestone",GY$8&gt;=$G50,GY$8&lt;=$G50+$H50-1),1,""))</f>
        <v/>
      </c>
      <c r="GZ50" s="69" t="str">
        <f ca="1">IF(AND($C50="Goal",GZ$8&gt;=$G50,GZ$8&lt;=$G50+$H50-1),2,IF(AND($C50="Milestone",GZ$8&gt;=$G50,GZ$8&lt;=$G50+$H50-1),1,""))</f>
        <v/>
      </c>
      <c r="HA50" s="69" t="str">
        <f ca="1">IF(AND($C50="Goal",HA$8&gt;=$G50,HA$8&lt;=$G50+$H50-1),2,IF(AND($C50="Milestone",HA$8&gt;=$G50,HA$8&lt;=$G50+$H50-1),1,""))</f>
        <v/>
      </c>
      <c r="HB50" s="69" t="str">
        <f ca="1">IF(AND($C50="Goal",HB$8&gt;=$G50,HB$8&lt;=$G50+$H50-1),2,IF(AND($C50="Milestone",HB$8&gt;=$G50,HB$8&lt;=$G50+$H50-1),1,""))</f>
        <v/>
      </c>
      <c r="HC50" s="69" t="str">
        <f ca="1">IF(AND($C50="Goal",HC$8&gt;=$G50,HC$8&lt;=$G50+$H50-1),2,IF(AND($C50="Milestone",HC$8&gt;=$G50,HC$8&lt;=$G50+$H50-1),1,""))</f>
        <v/>
      </c>
      <c r="HD50" s="69" t="str">
        <f ca="1">IF(AND($C50="Goal",HD$8&gt;=$G50,HD$8&lt;=$G50+$H50-1),2,IF(AND($C50="Milestone",HD$8&gt;=$G50,HD$8&lt;=$G50+$H50-1),1,""))</f>
        <v/>
      </c>
      <c r="HE50" s="69" t="str">
        <f ca="1">IF(AND($C50="Goal",HE$8&gt;=$G50,HE$8&lt;=$G50+$H50-1),2,IF(AND($C50="Milestone",HE$8&gt;=$G50,HE$8&lt;=$G50+$H50-1),1,""))</f>
        <v/>
      </c>
      <c r="HF50" s="69" t="str">
        <f ca="1">IF(AND($C50="Goal",HF$8&gt;=$G50,HF$8&lt;=$G50+$H50-1),2,IF(AND($C50="Milestone",HF$8&gt;=$G50,HF$8&lt;=$G50+$H50-1),1,""))</f>
        <v/>
      </c>
      <c r="HG50" s="69" t="str">
        <f ca="1">IF(AND($C50="Goal",HG$8&gt;=$G50,HG$8&lt;=$G50+$H50-1),2,IF(AND($C50="Milestone",HG$8&gt;=$G50,HG$8&lt;=$G50+$H50-1),1,""))</f>
        <v/>
      </c>
      <c r="HH50" s="69" t="str">
        <f ca="1">IF(AND($C50="Goal",HH$8&gt;=$G50,HH$8&lt;=$G50+$H50-1),2,IF(AND($C50="Milestone",HH$8&gt;=$G50,HH$8&lt;=$G50+$H50-1),1,""))</f>
        <v/>
      </c>
      <c r="HI50" s="69" t="str">
        <f ca="1">IF(AND($C50="Goal",HI$8&gt;=$G50,HI$8&lt;=$G50+$H50-1),2,IF(AND($C50="Milestone",HI$8&gt;=$G50,HI$8&lt;=$G50+$H50-1),1,""))</f>
        <v/>
      </c>
      <c r="HJ50" s="69" t="str">
        <f ca="1">IF(AND($C50="Goal",HJ$8&gt;=$G50,HJ$8&lt;=$G50+$H50-1),2,IF(AND($C50="Milestone",HJ$8&gt;=$G50,HJ$8&lt;=$G50+$H50-1),1,""))</f>
        <v/>
      </c>
      <c r="HK50" s="69" t="str">
        <f ca="1">IF(AND($C50="Goal",HK$8&gt;=$G50,HK$8&lt;=$G50+$H50-1),2,IF(AND($C50="Milestone",HK$8&gt;=$G50,HK$8&lt;=$G50+$H50-1),1,""))</f>
        <v/>
      </c>
      <c r="HL50" s="69" t="str">
        <f ca="1">IF(AND($C50="Goal",HL$8&gt;=$G50,HL$8&lt;=$G50+$H50-1),2,IF(AND($C50="Milestone",HL$8&gt;=$G50,HL$8&lt;=$G50+$H50-1),1,""))</f>
        <v/>
      </c>
      <c r="HM50" s="69" t="str">
        <f ca="1">IF(AND($C50="Goal",HM$8&gt;=$G50,HM$8&lt;=$G50+$H50-1),2,IF(AND($C50="Milestone",HM$8&gt;=$G50,HM$8&lt;=$G50+$H50-1),1,""))</f>
        <v/>
      </c>
      <c r="HN50" s="69" t="str">
        <f ca="1">IF(AND($C50="Goal",HN$8&gt;=$G50,HN$8&lt;=$G50+$H50-1),2,IF(AND($C50="Milestone",HN$8&gt;=$G50,HN$8&lt;=$G50+$H50-1),1,""))</f>
        <v/>
      </c>
      <c r="HO50" s="69" t="str">
        <f ca="1">IF(AND($C50="Goal",HO$8&gt;=$G50,HO$8&lt;=$G50+$H50-1),2,IF(AND($C50="Milestone",HO$8&gt;=$G50,HO$8&lt;=$G50+$H50-1),1,""))</f>
        <v/>
      </c>
      <c r="HP50" s="69" t="str">
        <f ca="1">IF(AND($C50="Goal",HP$8&gt;=$G50,HP$8&lt;=$G50+$H50-1),2,IF(AND($C50="Milestone",HP$8&gt;=$G50,HP$8&lt;=$G50+$H50-1),1,""))</f>
        <v/>
      </c>
      <c r="HQ50" s="69" t="str">
        <f ca="1">IF(AND($C50="Goal",HQ$8&gt;=$G50,HQ$8&lt;=$G50+$H50-1),2,IF(AND($C50="Milestone",HQ$8&gt;=$G50,HQ$8&lt;=$G50+$H50-1),1,""))</f>
        <v/>
      </c>
      <c r="HR50" s="69" t="str">
        <f ca="1">IF(AND($C50="Goal",HR$8&gt;=$G50,HR$8&lt;=$G50+$H50-1),2,IF(AND($C50="Milestone",HR$8&gt;=$G50,HR$8&lt;=$G50+$H50-1),1,""))</f>
        <v/>
      </c>
      <c r="HS50" s="69" t="str">
        <f ca="1">IF(AND($C50="Goal",HS$8&gt;=$G50,HS$8&lt;=$G50+$H50-1),2,IF(AND($C50="Milestone",HS$8&gt;=$G50,HS$8&lt;=$G50+$H50-1),1,""))</f>
        <v/>
      </c>
      <c r="HT50" s="69" t="str">
        <f ca="1">IF(AND($C50="Goal",HT$8&gt;=$G50,HT$8&lt;=$G50+$H50-1),2,IF(AND($C50="Milestone",HT$8&gt;=$G50,HT$8&lt;=$G50+$H50-1),1,""))</f>
        <v/>
      </c>
      <c r="HU50" s="69" t="str">
        <f ca="1">IF(AND($C50="Goal",HU$8&gt;=$G50,HU$8&lt;=$G50+$H50-1),2,IF(AND($C50="Milestone",HU$8&gt;=$G50,HU$8&lt;=$G50+$H50-1),1,""))</f>
        <v/>
      </c>
      <c r="HV50" s="69" t="str">
        <f ca="1">IF(AND($C50="Goal",HV$8&gt;=$G50,HV$8&lt;=$G50+$H50-1),2,IF(AND($C50="Milestone",HV$8&gt;=$G50,HV$8&lt;=$G50+$H50-1),1,""))</f>
        <v/>
      </c>
      <c r="HW50" s="69" t="str">
        <f ca="1">IF(AND($C50="Goal",HW$8&gt;=$G50,HW$8&lt;=$G50+$H50-1),2,IF(AND($C50="Milestone",HW$8&gt;=$G50,HW$8&lt;=$G50+$H50-1),1,""))</f>
        <v/>
      </c>
      <c r="HX50" s="69" t="str">
        <f ca="1">IF(AND($C50="Goal",HX$8&gt;=$G50,HX$8&lt;=$G50+$H50-1),2,IF(AND($C50="Milestone",HX$8&gt;=$G50,HX$8&lt;=$G50+$H50-1),1,""))</f>
        <v/>
      </c>
      <c r="HY50" s="69" t="str">
        <f ca="1">IF(AND($C50="Goal",HY$8&gt;=$G50,HY$8&lt;=$G50+$H50-1),2,IF(AND($C50="Milestone",HY$8&gt;=$G50,HY$8&lt;=$G50+$H50-1),1,""))</f>
        <v/>
      </c>
      <c r="HZ50" s="69" t="str">
        <f ca="1">IF(AND($C50="Goal",HZ$8&gt;=$G50,HZ$8&lt;=$G50+$H50-1),2,IF(AND($C50="Milestone",HZ$8&gt;=$G50,HZ$8&lt;=$G50+$H50-1),1,""))</f>
        <v/>
      </c>
      <c r="IA50" s="69" t="str">
        <f ca="1">IF(AND($C50="Goal",IA$8&gt;=$G50,IA$8&lt;=$G50+$H50-1),2,IF(AND($C50="Milestone",IA$8&gt;=$G50,IA$8&lt;=$G50+$H50-1),1,""))</f>
        <v/>
      </c>
      <c r="IB50" s="69" t="str">
        <f ca="1">IF(AND($C50="Goal",IB$8&gt;=$G50,IB$8&lt;=$G50+$H50-1),2,IF(AND($C50="Milestone",IB$8&gt;=$G50,IB$8&lt;=$G50+$H50-1),1,""))</f>
        <v/>
      </c>
      <c r="IC50" s="69" t="str">
        <f ca="1">IF(AND($C50="Goal",IC$8&gt;=$G50,IC$8&lt;=$G50+$H50-1),2,IF(AND($C50="Milestone",IC$8&gt;=$G50,IC$8&lt;=$G50+$H50-1),1,""))</f>
        <v/>
      </c>
      <c r="ID50" s="69" t="str">
        <f ca="1">IF(AND($C50="Goal",ID$8&gt;=$G50,ID$8&lt;=$G50+$H50-1),2,IF(AND($C50="Milestone",ID$8&gt;=$G50,ID$8&lt;=$G50+$H50-1),1,""))</f>
        <v/>
      </c>
      <c r="IE50" s="69" t="str">
        <f ca="1">IF(AND($C50="Goal",IE$8&gt;=$G50,IE$8&lt;=$G50+$H50-1),2,IF(AND($C50="Milestone",IE$8&gt;=$G50,IE$8&lt;=$G50+$H50-1),1,""))</f>
        <v/>
      </c>
      <c r="IF50" s="69" t="str">
        <f ca="1">IF(AND($C50="Goal",IF$8&gt;=$G50,IF$8&lt;=$G50+$H50-1),2,IF(AND($C50="Milestone",IF$8&gt;=$G50,IF$8&lt;=$G50+$H50-1),1,""))</f>
        <v/>
      </c>
      <c r="IG50" s="69" t="str">
        <f ca="1">IF(AND($C50="Goal",IG$8&gt;=$G50,IG$8&lt;=$G50+$H50-1),2,IF(AND($C50="Milestone",IG$8&gt;=$G50,IG$8&lt;=$G50+$H50-1),1,""))</f>
        <v/>
      </c>
      <c r="IH50" s="69" t="str">
        <f ca="1">IF(AND($C50="Goal",IH$8&gt;=$G50,IH$8&lt;=$G50+$H50-1),2,IF(AND($C50="Milestone",IH$8&gt;=$G50,IH$8&lt;=$G50+$H50-1),1,""))</f>
        <v/>
      </c>
      <c r="II50" s="69" t="str">
        <f ca="1">IF(AND($C50="Goal",II$8&gt;=$G50,II$8&lt;=$G50+$H50-1),2,IF(AND($C50="Milestone",II$8&gt;=$G50,II$8&lt;=$G50+$H50-1),1,""))</f>
        <v/>
      </c>
      <c r="IJ50" s="69" t="str">
        <f ca="1">IF(AND($C50="Goal",IJ$8&gt;=$G50,IJ$8&lt;=$G50+$H50-1),2,IF(AND($C50="Milestone",IJ$8&gt;=$G50,IJ$8&lt;=$G50+$H50-1),1,""))</f>
        <v/>
      </c>
      <c r="IK50" s="69" t="str">
        <f ca="1">IF(AND($C50="Goal",IK$8&gt;=$G50,IK$8&lt;=$G50+$H50-1),2,IF(AND($C50="Milestone",IK$8&gt;=$G50,IK$8&lt;=$G50+$H50-1),1,""))</f>
        <v/>
      </c>
      <c r="IL50" s="69" t="str">
        <f ca="1">IF(AND($C50="Goal",IL$8&gt;=$G50,IL$8&lt;=$G50+$H50-1),2,IF(AND($C50="Milestone",IL$8&gt;=$G50,IL$8&lt;=$G50+$H50-1),1,""))</f>
        <v/>
      </c>
      <c r="IM50" s="69" t="str">
        <f ca="1">IF(AND($C50="Goal",IM$8&gt;=$G50,IM$8&lt;=$G50+$H50-1),2,IF(AND($C50="Milestone",IM$8&gt;=$G50,IM$8&lt;=$G50+$H50-1),1,""))</f>
        <v/>
      </c>
      <c r="IN50" s="69" t="str">
        <f ca="1">IF(AND($C50="Goal",IN$8&gt;=$G50,IN$8&lt;=$G50+$H50-1),2,IF(AND($C50="Milestone",IN$8&gt;=$G50,IN$8&lt;=$G50+$H50-1),1,""))</f>
        <v/>
      </c>
      <c r="IO50" s="69" t="str">
        <f ca="1">IF(AND($C50="Goal",IO$8&gt;=$G50,IO$8&lt;=$G50+$H50-1),2,IF(AND($C50="Milestone",IO$8&gt;=$G50,IO$8&lt;=$G50+$H50-1),1,""))</f>
        <v/>
      </c>
      <c r="IP50" s="69" t="str">
        <f ca="1">IF(AND($C50="Goal",IP$8&gt;=$G50,IP$8&lt;=$G50+$H50-1),2,IF(AND($C50="Milestone",IP$8&gt;=$G50,IP$8&lt;=$G50+$H50-1),1,""))</f>
        <v/>
      </c>
      <c r="IQ50" s="69" t="str">
        <f ca="1">IF(AND($C50="Goal",IQ$8&gt;=$G50,IQ$8&lt;=$G50+$H50-1),2,IF(AND($C50="Milestone",IQ$8&gt;=$G50,IQ$8&lt;=$G50+$H50-1),1,""))</f>
        <v/>
      </c>
      <c r="IR50" s="69" t="str">
        <f ca="1">IF(AND($C50="Goal",IR$8&gt;=$G50,IR$8&lt;=$G50+$H50-1),2,IF(AND($C50="Milestone",IR$8&gt;=$G50,IR$8&lt;=$G50+$H50-1),1,""))</f>
        <v/>
      </c>
      <c r="IS50" s="69" t="str">
        <f ca="1">IF(AND($C50="Goal",IS$8&gt;=$G50,IS$8&lt;=$G50+$H50-1),2,IF(AND($C50="Milestone",IS$8&gt;=$G50,IS$8&lt;=$G50+$H50-1),1,""))</f>
        <v/>
      </c>
      <c r="IT50" s="69" t="str">
        <f ca="1">IF(AND($C50="Goal",IT$8&gt;=$G50,IT$8&lt;=$G50+$H50-1),2,IF(AND($C50="Milestone",IT$8&gt;=$G50,IT$8&lt;=$G50+$H50-1),1,""))</f>
        <v/>
      </c>
      <c r="IU50" s="69" t="str">
        <f ca="1">IF(AND($C50="Goal",IU$8&gt;=$G50,IU$8&lt;=$G50+$H50-1),2,IF(AND($C50="Milestone",IU$8&gt;=$G50,IU$8&lt;=$G50+$H50-1),1,""))</f>
        <v/>
      </c>
      <c r="IV50" s="69" t="str">
        <f ca="1">IF(AND($C50="Goal",IV$8&gt;=$G50,IV$8&lt;=$G50+$H50-1),2,IF(AND($C50="Milestone",IV$8&gt;=$G50,IV$8&lt;=$G50+$H50-1),1,""))</f>
        <v/>
      </c>
      <c r="IW50" s="69" t="str">
        <f ca="1">IF(AND($C50="Goal",IW$8&gt;=$G50,IW$8&lt;=$G50+$H50-1),2,IF(AND($C50="Milestone",IW$8&gt;=$G50,IW$8&lt;=$G50+$H50-1),1,""))</f>
        <v/>
      </c>
      <c r="IX50" s="69" t="str">
        <f ca="1">IF(AND($C50="Goal",IX$8&gt;=$G50,IX$8&lt;=$G50+$H50-1),2,IF(AND($C50="Milestone",IX$8&gt;=$G50,IX$8&lt;=$G50+$H50-1),1,""))</f>
        <v/>
      </c>
      <c r="IY50" s="69" t="str">
        <f ca="1">IF(AND($C50="Goal",IY$8&gt;=$G50,IY$8&lt;=$G50+$H50-1),2,IF(AND($C50="Milestone",IY$8&gt;=$G50,IY$8&lt;=$G50+$H50-1),1,""))</f>
        <v/>
      </c>
      <c r="IZ50" s="69" t="str">
        <f ca="1">IF(AND($C50="Goal",IZ$8&gt;=$G50,IZ$8&lt;=$G50+$H50-1),2,IF(AND($C50="Milestone",IZ$8&gt;=$G50,IZ$8&lt;=$G50+$H50-1),1,""))</f>
        <v/>
      </c>
      <c r="JA50" s="69" t="str">
        <f ca="1">IF(AND($C50="Goal",JA$8&gt;=$G50,JA$8&lt;=$G50+$H50-1),2,IF(AND($C50="Milestone",JA$8&gt;=$G50,JA$8&lt;=$G50+$H50-1),1,""))</f>
        <v/>
      </c>
      <c r="JB50" s="69" t="str">
        <f ca="1">IF(AND($C50="Goal",JB$8&gt;=$G50,JB$8&lt;=$G50+$H50-1),2,IF(AND($C50="Milestone",JB$8&gt;=$G50,JB$8&lt;=$G50+$H50-1),1,""))</f>
        <v/>
      </c>
      <c r="JC50" s="69" t="str">
        <f ca="1">IF(AND($C50="Goal",JC$8&gt;=$G50,JC$8&lt;=$G50+$H50-1),2,IF(AND($C50="Milestone",JC$8&gt;=$G50,JC$8&lt;=$G50+$H50-1),1,""))</f>
        <v/>
      </c>
      <c r="JD50" s="69" t="str">
        <f ca="1">IF(AND($C50="Goal",JD$8&gt;=$G50,JD$8&lt;=$G50+$H50-1),2,IF(AND($C50="Milestone",JD$8&gt;=$G50,JD$8&lt;=$G50+$H50-1),1,""))</f>
        <v/>
      </c>
      <c r="JE50" s="69" t="str">
        <f ca="1">IF(AND($C50="Goal",JE$8&gt;=$G50,JE$8&lt;=$G50+$H50-1),2,IF(AND($C50="Milestone",JE$8&gt;=$G50,JE$8&lt;=$G50+$H50-1),1,""))</f>
        <v/>
      </c>
      <c r="JF50" s="69" t="str">
        <f ca="1">IF(AND($C50="Goal",JF$8&gt;=$G50,JF$8&lt;=$G50+$H50-1),2,IF(AND($C50="Milestone",JF$8&gt;=$G50,JF$8&lt;=$G50+$H50-1),1,""))</f>
        <v/>
      </c>
      <c r="JG50" s="69" t="str">
        <f ca="1">IF(AND($C50="Goal",JG$8&gt;=$G50,JG$8&lt;=$G50+$H50-1),2,IF(AND($C50="Milestone",JG$8&gt;=$G50,JG$8&lt;=$G50+$H50-1),1,""))</f>
        <v/>
      </c>
      <c r="JH50" s="69" t="str">
        <f ca="1">IF(AND($C50="Goal",JH$8&gt;=$G50,JH$8&lt;=$G50+$H50-1),2,IF(AND($C50="Milestone",JH$8&gt;=$G50,JH$8&lt;=$G50+$H50-1),1,""))</f>
        <v/>
      </c>
      <c r="JI50" s="69" t="str">
        <f ca="1">IF(AND($C50="Goal",JI$8&gt;=$G50,JI$8&lt;=$G50+$H50-1),2,IF(AND($C50="Milestone",JI$8&gt;=$G50,JI$8&lt;=$G50+$H50-1),1,""))</f>
        <v/>
      </c>
      <c r="JJ50" s="69" t="str">
        <f ca="1">IF(AND($C50="Goal",JJ$8&gt;=$G50,JJ$8&lt;=$G50+$H50-1),2,IF(AND($C50="Milestone",JJ$8&gt;=$G50,JJ$8&lt;=$G50+$H50-1),1,""))</f>
        <v/>
      </c>
      <c r="JK50" s="69" t="str">
        <f ca="1">IF(AND($C50="Goal",JK$8&gt;=$G50,JK$8&lt;=$G50+$H50-1),2,IF(AND($C50="Milestone",JK$8&gt;=$G50,JK$8&lt;=$G50+$H50-1),1,""))</f>
        <v/>
      </c>
      <c r="JL50" s="69" t="str">
        <f ca="1">IF(AND($C50="Goal",JL$8&gt;=$G50,JL$8&lt;=$G50+$H50-1),2,IF(AND($C50="Milestone",JL$8&gt;=$G50,JL$8&lt;=$G50+$H50-1),1,""))</f>
        <v/>
      </c>
      <c r="JM50" s="69" t="str">
        <f ca="1">IF(AND($C50="Goal",JM$8&gt;=$G50,JM$8&lt;=$G50+$H50-1),2,IF(AND($C50="Milestone",JM$8&gt;=$G50,JM$8&lt;=$G50+$H50-1),1,""))</f>
        <v/>
      </c>
      <c r="JN50" s="69" t="str">
        <f ca="1">IF(AND($C50="Goal",JN$8&gt;=$G50,JN$8&lt;=$G50+$H50-1),2,IF(AND($C50="Milestone",JN$8&gt;=$G50,JN$8&lt;=$G50+$H50-1),1,""))</f>
        <v/>
      </c>
      <c r="JO50" s="69" t="str">
        <f ca="1">IF(AND($C50="Goal",JO$8&gt;=$G50,JO$8&lt;=$G50+$H50-1),2,IF(AND($C50="Milestone",JO$8&gt;=$G50,JO$8&lt;=$G50+$H50-1),1,""))</f>
        <v/>
      </c>
      <c r="JP50" s="69" t="str">
        <f ca="1">IF(AND($C50="Goal",JP$8&gt;=$G50,JP$8&lt;=$G50+$H50-1),2,IF(AND($C50="Milestone",JP$8&gt;=$G50,JP$8&lt;=$G50+$H50-1),1,""))</f>
        <v/>
      </c>
      <c r="JQ50" s="69" t="str">
        <f ca="1">IF(AND($C50="Goal",JQ$8&gt;=$G50,JQ$8&lt;=$G50+$H50-1),2,IF(AND($C50="Milestone",JQ$8&gt;=$G50,JQ$8&lt;=$G50+$H50-1),1,""))</f>
        <v/>
      </c>
      <c r="JR50" s="69" t="str">
        <f ca="1">IF(AND($C50="Goal",JR$8&gt;=$G50,JR$8&lt;=$G50+$H50-1),2,IF(AND($C50="Milestone",JR$8&gt;=$G50,JR$8&lt;=$G50+$H50-1),1,""))</f>
        <v/>
      </c>
      <c r="JS50" s="69" t="str">
        <f ca="1">IF(AND($C50="Goal",JS$8&gt;=$G50,JS$8&lt;=$G50+$H50-1),2,IF(AND($C50="Milestone",JS$8&gt;=$G50,JS$8&lt;=$G50+$H50-1),1,""))</f>
        <v/>
      </c>
      <c r="JT50" s="69" t="str">
        <f ca="1">IF(AND($C50="Goal",JT$8&gt;=$G50,JT$8&lt;=$G50+$H50-1),2,IF(AND($C50="Milestone",JT$8&gt;=$G50,JT$8&lt;=$G50+$H50-1),1,""))</f>
        <v/>
      </c>
      <c r="JU50" s="69" t="str">
        <f ca="1">IF(AND($C50="Goal",JU$8&gt;=$G50,JU$8&lt;=$G50+$H50-1),2,IF(AND($C50="Milestone",JU$8&gt;=$G50,JU$8&lt;=$G50+$H50-1),1,""))</f>
        <v/>
      </c>
      <c r="JV50" s="69" t="str">
        <f ca="1">IF(AND($C50="Goal",JV$8&gt;=$G50,JV$8&lt;=$G50+$H50-1),2,IF(AND($C50="Milestone",JV$8&gt;=$G50,JV$8&lt;=$G50+$H50-1),1,""))</f>
        <v/>
      </c>
      <c r="JW50" s="69" t="str">
        <f ca="1">IF(AND($C50="Goal",JW$8&gt;=$G50,JW$8&lt;=$G50+$H50-1),2,IF(AND($C50="Milestone",JW$8&gt;=$G50,JW$8&lt;=$G50+$H50-1),1,""))</f>
        <v/>
      </c>
      <c r="JX50" s="69" t="str">
        <f ca="1">IF(AND($C50="Goal",JX$8&gt;=$G50,JX$8&lt;=$G50+$H50-1),2,IF(AND($C50="Milestone",JX$8&gt;=$G50,JX$8&lt;=$G50+$H50-1),1,""))</f>
        <v/>
      </c>
      <c r="JY50" s="69" t="str">
        <f ca="1">IF(AND($C50="Goal",JY$8&gt;=$G50,JY$8&lt;=$G50+$H50-1),2,IF(AND($C50="Milestone",JY$8&gt;=$G50,JY$8&lt;=$G50+$H50-1),1,""))</f>
        <v/>
      </c>
      <c r="JZ50" s="69" t="str">
        <f ca="1">IF(AND($C50="Goal",JZ$8&gt;=$G50,JZ$8&lt;=$G50+$H50-1),2,IF(AND($C50="Milestone",JZ$8&gt;=$G50,JZ$8&lt;=$G50+$H50-1),1,""))</f>
        <v/>
      </c>
      <c r="KA50" s="69" t="str">
        <f ca="1">IF(AND($C50="Goal",KA$8&gt;=$G50,KA$8&lt;=$G50+$H50-1),2,IF(AND($C50="Milestone",KA$8&gt;=$G50,KA$8&lt;=$G50+$H50-1),1,""))</f>
        <v/>
      </c>
      <c r="KB50" s="69" t="str">
        <f ca="1">IF(AND($C50="Goal",KB$8&gt;=$G50,KB$8&lt;=$G50+$H50-1),2,IF(AND($C50="Milestone",KB$8&gt;=$G50,KB$8&lt;=$G50+$H50-1),1,""))</f>
        <v/>
      </c>
      <c r="KC50" s="69" t="str">
        <f ca="1">IF(AND($C50="Goal",KC$8&gt;=$G50,KC$8&lt;=$G50+$H50-1),2,IF(AND($C50="Milestone",KC$8&gt;=$G50,KC$8&lt;=$G50+$H50-1),1,""))</f>
        <v/>
      </c>
      <c r="KD50" s="69" t="str">
        <f ca="1">IF(AND($C50="Goal",KD$8&gt;=$G50,KD$8&lt;=$G50+$H50-1),2,IF(AND($C50="Milestone",KD$8&gt;=$G50,KD$8&lt;=$G50+$H50-1),1,""))</f>
        <v/>
      </c>
      <c r="KE50" s="69" t="str">
        <f ca="1">IF(AND($C50="Goal",KE$8&gt;=$G50,KE$8&lt;=$G50+$H50-1),2,IF(AND($C50="Milestone",KE$8&gt;=$G50,KE$8&lt;=$G50+$H50-1),1,""))</f>
        <v/>
      </c>
      <c r="KF50" s="69" t="str">
        <f ca="1">IF(AND($C50="Goal",KF$8&gt;=$G50,KF$8&lt;=$G50+$H50-1),2,IF(AND($C50="Milestone",KF$8&gt;=$G50,KF$8&lt;=$G50+$H50-1),1,""))</f>
        <v/>
      </c>
      <c r="KG50" s="69" t="str">
        <f ca="1">IF(AND($C50="Goal",KG$8&gt;=$G50,KG$8&lt;=$G50+$H50-1),2,IF(AND($C50="Milestone",KG$8&gt;=$G50,KG$8&lt;=$G50+$H50-1),1,""))</f>
        <v/>
      </c>
      <c r="KH50" s="69">
        <f ca="1">IF(AND($C50="Goal",KH$8&gt;=$G50,KH$8&lt;=$G50+$H50-1),2,IF(AND($C50="Milestone",KH$8&gt;=$G50,KH$8&lt;=$G50+$H50-1),1,""))</f>
        <v>2</v>
      </c>
      <c r="KI50" s="69" t="str">
        <f ca="1">IF(AND($C50="Goal",KI$8&gt;=$G50,KI$8&lt;=$G50+$H50-1),2,IF(AND($C50="Milestone",KI$8&gt;=$G50,KI$8&lt;=$G50+$H50-1),1,""))</f>
        <v/>
      </c>
      <c r="KJ50" s="69" t="str">
        <f ca="1">IF(AND($C50="Goal",KJ$8&gt;=$G50,KJ$8&lt;=$G50+$H50-1),2,IF(AND($C50="Milestone",KJ$8&gt;=$G50,KJ$8&lt;=$G50+$H50-1),1,""))</f>
        <v/>
      </c>
      <c r="KK50" s="69" t="str">
        <f ca="1">IF(AND($C50="Goal",KK$8&gt;=$G50,KK$8&lt;=$G50+$H50-1),2,IF(AND($C50="Milestone",KK$8&gt;=$G50,KK$8&lt;=$G50+$H50-1),1,""))</f>
        <v/>
      </c>
      <c r="KL50" s="69" t="str">
        <f ca="1">IF(AND($C50="Goal",KL$8&gt;=$G50,KL$8&lt;=$G50+$H50-1),2,IF(AND($C50="Milestone",KL$8&gt;=$G50,KL$8&lt;=$G50+$H50-1),1,""))</f>
        <v/>
      </c>
      <c r="KM50" s="69" t="str">
        <f ca="1">IF(AND($C50="Goal",KM$8&gt;=$G50,KM$8&lt;=$G50+$H50-1),2,IF(AND($C50="Milestone",KM$8&gt;=$G50,KM$8&lt;=$G50+$H50-1),1,""))</f>
        <v/>
      </c>
      <c r="KN50" s="69" t="str">
        <f ca="1">IF(AND($C50="Goal",KN$8&gt;=$G50,KN$8&lt;=$G50+$H50-1),2,IF(AND($C50="Milestone",KN$8&gt;=$G50,KN$8&lt;=$G50+$H50-1),1,""))</f>
        <v/>
      </c>
      <c r="KO50" s="69" t="str">
        <f ca="1">IF(AND($C50="Goal",KO$8&gt;=$G50,KO$8&lt;=$G50+$H50-1),2,IF(AND($C50="Milestone",KO$8&gt;=$G50,KO$8&lt;=$G50+$H50-1),1,""))</f>
        <v/>
      </c>
      <c r="KP50" s="69" t="str">
        <f ca="1">IF(AND($C50="Goal",KP$8&gt;=$G50,KP$8&lt;=$G50+$H50-1),2,IF(AND($C50="Milestone",KP$8&gt;=$G50,KP$8&lt;=$G50+$H50-1),1,""))</f>
        <v/>
      </c>
      <c r="KQ50" s="69" t="str">
        <f ca="1">IF(AND($C50="Goal",KQ$8&gt;=$G50,KQ$8&lt;=$G50+$H50-1),2,IF(AND($C50="Milestone",KQ$8&gt;=$G50,KQ$8&lt;=$G50+$H50-1),1,""))</f>
        <v/>
      </c>
      <c r="KR50" s="69" t="str">
        <f ca="1">IF(AND($C50="Goal",KR$8&gt;=$G50,KR$8&lt;=$G50+$H50-1),2,IF(AND($C50="Milestone",KR$8&gt;=$G50,KR$8&lt;=$G50+$H50-1),1,""))</f>
        <v/>
      </c>
      <c r="KS50" s="69" t="str">
        <f ca="1">IF(AND($C50="Goal",KS$8&gt;=$G50,KS$8&lt;=$G50+$H50-1),2,IF(AND($C50="Milestone",KS$8&gt;=$G50,KS$8&lt;=$G50+$H50-1),1,""))</f>
        <v/>
      </c>
      <c r="KT50" s="69" t="str">
        <f ca="1">IF(AND($C50="Goal",KT$8&gt;=$G50,KT$8&lt;=$G50+$H50-1),2,IF(AND($C50="Milestone",KT$8&gt;=$G50,KT$8&lt;=$G50+$H50-1),1,""))</f>
        <v/>
      </c>
      <c r="KU50" s="69" t="str">
        <f ca="1">IF(AND($C50="Goal",KU$8&gt;=$G50,KU$8&lt;=$G50+$H50-1),2,IF(AND($C50="Milestone",KU$8&gt;=$G50,KU$8&lt;=$G50+$H50-1),1,""))</f>
        <v/>
      </c>
      <c r="KV50" s="69" t="str">
        <f ca="1">IF(AND($C50="Goal",KV$8&gt;=$G50,KV$8&lt;=$G50+$H50-1),2,IF(AND($C50="Milestone",KV$8&gt;=$G50,KV$8&lt;=$G50+$H50-1),1,""))</f>
        <v/>
      </c>
      <c r="KW50" s="69" t="str">
        <f ca="1">IF(AND($C50="Goal",KW$8&gt;=$G50,KW$8&lt;=$G50+$H50-1),2,IF(AND($C50="Milestone",KW$8&gt;=$G50,KW$8&lt;=$G50+$H50-1),1,""))</f>
        <v/>
      </c>
      <c r="KX50" s="69" t="str">
        <f ca="1">IF(AND($C50="Goal",KX$8&gt;=$G50,KX$8&lt;=$G50+$H50-1),2,IF(AND($C50="Milestone",KX$8&gt;=$G50,KX$8&lt;=$G50+$H50-1),1,""))</f>
        <v/>
      </c>
      <c r="KY50" s="69" t="str">
        <f ca="1">IF(AND($C50="Goal",KY$8&gt;=$G50,KY$8&lt;=$G50+$H50-1),2,IF(AND($C50="Milestone",KY$8&gt;=$G50,KY$8&lt;=$G50+$H50-1),1,""))</f>
        <v/>
      </c>
      <c r="KZ50" s="69" t="str">
        <f ca="1">IF(AND($C50="Goal",KZ$8&gt;=$G50,KZ$8&lt;=$G50+$H50-1),2,IF(AND($C50="Milestone",KZ$8&gt;=$G50,KZ$8&lt;=$G50+$H50-1),1,""))</f>
        <v/>
      </c>
      <c r="LA50" s="69" t="str">
        <f ca="1">IF(AND($C50="Goal",LA$8&gt;=$G50,LA$8&lt;=$G50+$H50-1),2,IF(AND($C50="Milestone",LA$8&gt;=$G50,LA$8&lt;=$G50+$H50-1),1,""))</f>
        <v/>
      </c>
      <c r="LB50" s="69" t="str">
        <f ca="1">IF(AND($C50="Goal",LB$8&gt;=$G50,LB$8&lt;=$G50+$H50-1),2,IF(AND($C50="Milestone",LB$8&gt;=$G50,LB$8&lt;=$G50+$H50-1),1,""))</f>
        <v/>
      </c>
      <c r="LC50" s="69" t="str">
        <f ca="1">IF(AND($C50="Goal",LC$8&gt;=$G50,LC$8&lt;=$G50+$H50-1),2,IF(AND($C50="Milestone",LC$8&gt;=$G50,LC$8&lt;=$G50+$H50-1),1,""))</f>
        <v/>
      </c>
      <c r="LD50" s="69" t="str">
        <f ca="1">IF(AND($C50="Goal",LD$8&gt;=$G50,LD$8&lt;=$G50+$H50-1),2,IF(AND($C50="Milestone",LD$8&gt;=$G50,LD$8&lt;=$G50+$H50-1),1,""))</f>
        <v/>
      </c>
      <c r="LE50" s="69" t="str">
        <f ca="1">IF(AND($C50="Goal",LE$8&gt;=$G50,LE$8&lt;=$G50+$H50-1),2,IF(AND($C50="Milestone",LE$8&gt;=$G50,LE$8&lt;=$G50+$H50-1),1,""))</f>
        <v/>
      </c>
      <c r="LF50" s="69" t="str">
        <f ca="1">IF(AND($C50="Goal",LF$8&gt;=$G50,LF$8&lt;=$G50+$H50-1),2,IF(AND($C50="Milestone",LF$8&gt;=$G50,LF$8&lt;=$G50+$H50-1),1,""))</f>
        <v/>
      </c>
      <c r="LG50" s="69" t="str">
        <f ca="1">IF(AND($C50="Goal",LG$8&gt;=$G50,LG$8&lt;=$G50+$H50-1),2,IF(AND($C50="Milestone",LG$8&gt;=$G50,LG$8&lt;=$G50+$H50-1),1,""))</f>
        <v/>
      </c>
      <c r="LH50" s="69" t="str">
        <f ca="1">IF(AND($C50="Goal",LH$8&gt;=$G50,LH$8&lt;=$G50+$H50-1),2,IF(AND($C50="Milestone",LH$8&gt;=$G50,LH$8&lt;=$G50+$H50-1),1,""))</f>
        <v/>
      </c>
      <c r="LI50" s="69" t="str">
        <f ca="1">IF(AND($C50="Goal",LI$8&gt;=$G50,LI$8&lt;=$G50+$H50-1),2,IF(AND($C50="Milestone",LI$8&gt;=$G50,LI$8&lt;=$G50+$H50-1),1,""))</f>
        <v/>
      </c>
      <c r="LJ50" s="69" t="str">
        <f ca="1">IF(AND($C50="Goal",LJ$8&gt;=$G50,LJ$8&lt;=$G50+$H50-1),2,IF(AND($C50="Milestone",LJ$8&gt;=$G50,LJ$8&lt;=$G50+$H50-1),1,""))</f>
        <v/>
      </c>
      <c r="LK50" s="69" t="str">
        <f ca="1">IF(AND($C50="Goal",LK$8&gt;=$G50,LK$8&lt;=$G50+$H50-1),2,IF(AND($C50="Milestone",LK$8&gt;=$G50,LK$8&lt;=$G50+$H50-1),1,""))</f>
        <v/>
      </c>
      <c r="LL50" s="69" t="str">
        <f ca="1">IF(AND($C50="Goal",LL$8&gt;=$G50,LL$8&lt;=$G50+$H50-1),2,IF(AND($C50="Milestone",LL$8&gt;=$G50,LL$8&lt;=$G50+$H50-1),1,""))</f>
        <v/>
      </c>
      <c r="LM50" s="69" t="str">
        <f ca="1">IF(AND($C50="Goal",LM$8&gt;=$G50,LM$8&lt;=$G50+$H50-1),2,IF(AND($C50="Milestone",LM$8&gt;=$G50,LM$8&lt;=$G50+$H50-1),1,""))</f>
        <v/>
      </c>
      <c r="LN50" s="69" t="str">
        <f ca="1">IF(AND($C50="Goal",LN$8&gt;=$G50,LN$8&lt;=$G50+$H50-1),2,IF(AND($C50="Milestone",LN$8&gt;=$G50,LN$8&lt;=$G50+$H50-1),1,""))</f>
        <v/>
      </c>
      <c r="LO50" s="69" t="str">
        <f ca="1">IF(AND($C50="Goal",LO$8&gt;=$G50,LO$8&lt;=$G50+$H50-1),2,IF(AND($C50="Milestone",LO$8&gt;=$G50,LO$8&lt;=$G50+$H50-1),1,""))</f>
        <v/>
      </c>
      <c r="LP50" s="69" t="str">
        <f ca="1">IF(AND($C50="Goal",LP$8&gt;=$G50,LP$8&lt;=$G50+$H50-1),2,IF(AND($C50="Milestone",LP$8&gt;=$G50,LP$8&lt;=$G50+$H50-1),1,""))</f>
        <v/>
      </c>
      <c r="LQ50" s="69" t="str">
        <f ca="1">IF(AND($C50="Goal",LQ$8&gt;=$G50,LQ$8&lt;=$G50+$H50-1),2,IF(AND($C50="Milestone",LQ$8&gt;=$G50,LQ$8&lt;=$G50+$H50-1),1,""))</f>
        <v/>
      </c>
      <c r="LR50" s="69" t="str">
        <f ca="1">IF(AND($C50="Goal",LR$8&gt;=$G50,LR$8&lt;=$G50+$H50-1),2,IF(AND($C50="Milestone",LR$8&gt;=$G50,LR$8&lt;=$G50+$H50-1),1,""))</f>
        <v/>
      </c>
      <c r="LS50" s="69" t="str">
        <f ca="1">IF(AND($C50="Goal",LS$8&gt;=$G50,LS$8&lt;=$G50+$H50-1),2,IF(AND($C50="Milestone",LS$8&gt;=$G50,LS$8&lt;=$G50+$H50-1),1,""))</f>
        <v/>
      </c>
      <c r="LT50" s="69" t="str">
        <f ca="1">IF(AND($C50="Goal",LT$8&gt;=$G50,LT$8&lt;=$G50+$H50-1),2,IF(AND($C50="Milestone",LT$8&gt;=$G50,LT$8&lt;=$G50+$H50-1),1,""))</f>
        <v/>
      </c>
      <c r="LU50" s="69" t="str">
        <f ca="1">IF(AND($C50="Goal",LU$8&gt;=$G50,LU$8&lt;=$G50+$H50-1),2,IF(AND($C50="Milestone",LU$8&gt;=$G50,LU$8&lt;=$G50+$H50-1),1,""))</f>
        <v/>
      </c>
      <c r="LV50" s="69" t="str">
        <f ca="1">IF(AND($C50="Goal",LV$8&gt;=$G50,LV$8&lt;=$G50+$H50-1),2,IF(AND($C50="Milestone",LV$8&gt;=$G50,LV$8&lt;=$G50+$H50-1),1,""))</f>
        <v/>
      </c>
      <c r="LW50" s="69" t="str">
        <f ca="1">IF(AND($C50="Goal",LW$8&gt;=$G50,LW$8&lt;=$G50+$H50-1),2,IF(AND($C50="Milestone",LW$8&gt;=$G50,LW$8&lt;=$G50+$H50-1),1,""))</f>
        <v/>
      </c>
      <c r="LX50" s="69" t="str">
        <f ca="1">IF(AND($C50="Goal",LX$8&gt;=$G50,LX$8&lt;=$G50+$H50-1),2,IF(AND($C50="Milestone",LX$8&gt;=$G50,LX$8&lt;=$G50+$H50-1),1,""))</f>
        <v/>
      </c>
    </row>
    <row r="51" spans="1:336" s="1" customFormat="1" ht="14.85" x14ac:dyDescent="0.25">
      <c r="A51" s="6"/>
      <c r="B51" s="51"/>
      <c r="C51" s="9"/>
      <c r="D51" s="9"/>
      <c r="E51" s="9"/>
      <c r="F51" s="10"/>
      <c r="G51" s="11"/>
      <c r="H51" s="12"/>
      <c r="I51" s="12" t="str">
        <f t="shared" si="207"/>
        <v/>
      </c>
      <c r="J51" s="12" t="str">
        <f ca="1">IF(OR(Milestones4352[[#This Row],[Start]]="",Milestones4352[[#This Row],[Days]]=""),"",(Milestones4352[[#This Row],[Start]]+Milestones4352[[#This Row],[Days]])-TODAY())</f>
        <v/>
      </c>
      <c r="K51" s="9"/>
      <c r="L51" s="49"/>
      <c r="M51" s="49"/>
      <c r="N51" s="49"/>
      <c r="O51" s="49"/>
      <c r="P51" s="49"/>
      <c r="Q51" s="49"/>
      <c r="R51" s="49"/>
      <c r="S51" s="49"/>
      <c r="T51" s="49"/>
      <c r="U51" s="49"/>
      <c r="V51" s="49"/>
      <c r="W51" s="49"/>
      <c r="X51" s="49"/>
      <c r="Y51" s="49"/>
      <c r="Z51" s="49"/>
      <c r="AA51" s="49"/>
      <c r="AB51" s="49"/>
      <c r="AC51" s="49"/>
      <c r="AD51" s="49"/>
      <c r="AE51" s="49"/>
      <c r="AF51" s="49"/>
      <c r="AG51" s="49"/>
      <c r="AH51" s="49"/>
      <c r="AI51" s="49"/>
      <c r="AJ51" s="49"/>
      <c r="AK51" s="49"/>
      <c r="AL51" s="49"/>
      <c r="AM51" s="49"/>
      <c r="AN51" s="49"/>
      <c r="AO51" s="49"/>
      <c r="AP51" s="49"/>
      <c r="AQ51" s="49"/>
      <c r="AR51" s="49"/>
      <c r="AS51" s="49"/>
      <c r="AT51" s="49"/>
      <c r="AU51" s="49"/>
      <c r="AV51" s="49"/>
      <c r="AW51" s="49"/>
      <c r="AX51" s="49"/>
      <c r="AY51" s="49"/>
      <c r="AZ51" s="49"/>
      <c r="BA51" s="49"/>
      <c r="BB51" s="49"/>
      <c r="BC51" s="49"/>
      <c r="BD51" s="49"/>
      <c r="BE51" s="49"/>
      <c r="BF51" s="49"/>
      <c r="BG51" s="49"/>
      <c r="BH51" s="49"/>
      <c r="BI51" s="49"/>
      <c r="BJ51" s="49"/>
      <c r="BK51" s="49"/>
      <c r="BL51" s="49"/>
      <c r="BM51" s="49"/>
      <c r="BN51" s="49"/>
      <c r="BO51" s="49"/>
      <c r="BP51" s="49"/>
      <c r="BQ51" s="49"/>
      <c r="BR51" s="49"/>
      <c r="BS51" s="49"/>
      <c r="BT51" s="49"/>
      <c r="BU51" s="49"/>
      <c r="BV51" s="49"/>
      <c r="BW51" s="49"/>
      <c r="BX51" s="49"/>
      <c r="BY51" s="49"/>
      <c r="BZ51" s="49"/>
      <c r="CA51" s="49"/>
      <c r="CB51" s="49"/>
      <c r="CC51" s="49"/>
      <c r="CD51" s="49"/>
      <c r="CE51" s="49"/>
      <c r="CF51" s="49"/>
      <c r="CG51" s="49"/>
      <c r="CH51" s="49"/>
      <c r="CI51" s="49"/>
      <c r="CJ51" s="49"/>
      <c r="CK51" s="49"/>
      <c r="CL51" s="49"/>
      <c r="CM51" s="49"/>
      <c r="CN51" s="49"/>
      <c r="CO51" s="49"/>
      <c r="CP51" s="49"/>
      <c r="CQ51" s="49"/>
      <c r="CR51" s="49"/>
      <c r="CS51" s="49"/>
      <c r="CT51" s="49"/>
      <c r="CU51" s="49"/>
      <c r="CV51" s="49"/>
      <c r="CW51" s="49"/>
      <c r="CX51" s="49"/>
      <c r="CY51" s="49"/>
      <c r="CZ51" s="49"/>
      <c r="DA51" s="49"/>
      <c r="DB51" s="49"/>
      <c r="DC51" s="49"/>
      <c r="DD51" s="49"/>
      <c r="DE51" s="49"/>
      <c r="DF51" s="49"/>
      <c r="DG51" s="49"/>
      <c r="DH51" s="49"/>
      <c r="DI51" s="49"/>
      <c r="DJ51" s="49"/>
      <c r="DK51" s="49"/>
      <c r="DL51" s="49"/>
      <c r="DM51" s="49"/>
      <c r="DN51" s="49"/>
      <c r="DO51" s="49"/>
      <c r="DP51" s="49"/>
      <c r="DQ51" s="49"/>
      <c r="DR51" s="49"/>
      <c r="DS51" s="49"/>
      <c r="DT51" s="49"/>
      <c r="DU51" s="49"/>
      <c r="DV51" s="49"/>
      <c r="DW51" s="49"/>
      <c r="DX51" s="49"/>
      <c r="DY51" s="49"/>
      <c r="DZ51" s="49"/>
      <c r="EA51" s="49"/>
      <c r="EB51" s="49"/>
      <c r="EC51" s="49"/>
      <c r="ED51" s="49"/>
      <c r="EE51" s="49"/>
      <c r="EF51" s="49"/>
      <c r="EG51" s="49"/>
      <c r="EH51" s="49"/>
      <c r="EI51" s="49"/>
      <c r="EJ51" s="49"/>
      <c r="EK51" s="49"/>
      <c r="EL51" s="49"/>
      <c r="EM51" s="49"/>
      <c r="EN51" s="49"/>
      <c r="EO51" s="49"/>
      <c r="EP51" s="49"/>
      <c r="EQ51" s="49"/>
      <c r="ER51" s="49"/>
      <c r="ES51" s="49"/>
      <c r="ET51" s="49"/>
      <c r="EU51" s="49"/>
      <c r="EV51" s="49"/>
      <c r="EW51" s="49"/>
      <c r="EX51" s="49"/>
      <c r="EY51" s="49"/>
      <c r="EZ51" s="49"/>
      <c r="FA51" s="49"/>
      <c r="FB51" s="49"/>
      <c r="FC51" s="49"/>
      <c r="FD51" s="49"/>
      <c r="FE51" s="49"/>
      <c r="FF51" s="49"/>
      <c r="FG51" s="49"/>
      <c r="FH51" s="49"/>
      <c r="FI51" s="49"/>
      <c r="FJ51" s="49"/>
      <c r="FK51" s="49"/>
      <c r="FL51" s="49"/>
      <c r="FM51" s="49"/>
      <c r="FN51" s="49"/>
      <c r="FO51" s="49"/>
      <c r="FP51" s="49"/>
      <c r="FQ51" s="49"/>
      <c r="FR51" s="49"/>
      <c r="FS51" s="49"/>
      <c r="FT51" s="49"/>
      <c r="FU51" s="49"/>
      <c r="FV51" s="49"/>
      <c r="FW51" s="49"/>
      <c r="FX51" s="49"/>
      <c r="FY51" s="49"/>
      <c r="FZ51" s="49"/>
      <c r="GA51" s="49"/>
      <c r="GB51" s="49"/>
      <c r="GC51" s="49"/>
      <c r="GD51" s="49"/>
      <c r="GE51" s="49"/>
      <c r="GF51" s="49"/>
      <c r="GG51" s="49"/>
      <c r="GH51" s="49"/>
      <c r="GI51" s="49"/>
      <c r="GJ51" s="49"/>
      <c r="GK51" s="49"/>
      <c r="GL51" s="49"/>
      <c r="GM51" s="49"/>
      <c r="GN51" s="49"/>
      <c r="GO51" s="49"/>
      <c r="GP51" s="49"/>
      <c r="GQ51" s="49"/>
      <c r="GR51" s="49"/>
      <c r="GS51" s="49"/>
      <c r="GT51" s="49"/>
      <c r="GU51" s="49"/>
      <c r="GV51" s="49"/>
      <c r="GW51" s="49"/>
      <c r="GX51" s="49"/>
      <c r="GY51" s="49"/>
      <c r="GZ51" s="49"/>
      <c r="HA51" s="49"/>
      <c r="HB51" s="49"/>
      <c r="HC51" s="49"/>
      <c r="HD51" s="49"/>
      <c r="HE51" s="49"/>
      <c r="HF51" s="49"/>
      <c r="HG51" s="49"/>
      <c r="HH51" s="49"/>
      <c r="HI51" s="49"/>
      <c r="HJ51" s="49"/>
      <c r="HK51" s="49"/>
      <c r="HL51" s="49"/>
      <c r="HM51" s="49"/>
      <c r="HN51" s="49"/>
      <c r="HO51" s="49"/>
      <c r="HP51" s="49"/>
      <c r="HQ51" s="49"/>
      <c r="HR51" s="49"/>
      <c r="HS51" s="49"/>
      <c r="HT51" s="49"/>
      <c r="HU51" s="49"/>
      <c r="HV51" s="49"/>
      <c r="HW51" s="49"/>
      <c r="HX51" s="49"/>
      <c r="HY51" s="49"/>
      <c r="HZ51" s="49"/>
      <c r="IA51" s="49"/>
      <c r="IB51" s="49"/>
      <c r="IC51" s="49"/>
      <c r="ID51" s="49"/>
      <c r="IE51" s="49"/>
      <c r="IF51" s="49"/>
      <c r="IG51" s="49"/>
      <c r="IH51" s="49"/>
      <c r="II51" s="49"/>
      <c r="IJ51" s="49"/>
      <c r="IK51" s="49"/>
      <c r="IL51" s="49"/>
      <c r="IM51" s="49"/>
      <c r="IN51" s="49"/>
      <c r="IO51" s="49"/>
      <c r="IP51" s="49"/>
      <c r="IQ51" s="49"/>
      <c r="IR51" s="49"/>
      <c r="IS51" s="49"/>
      <c r="IT51" s="49"/>
      <c r="IU51" s="49"/>
      <c r="IV51" s="49"/>
      <c r="IW51" s="49"/>
      <c r="IX51" s="49"/>
      <c r="IY51" s="49"/>
      <c r="IZ51" s="49"/>
      <c r="JA51" s="49"/>
      <c r="JB51" s="49"/>
      <c r="JC51" s="49"/>
      <c r="JD51" s="49"/>
      <c r="JE51" s="49"/>
      <c r="JF51" s="49"/>
      <c r="JG51" s="49"/>
      <c r="JH51" s="49"/>
      <c r="JI51" s="49"/>
      <c r="JJ51" s="49"/>
      <c r="JK51" s="49"/>
      <c r="JL51" s="49"/>
      <c r="JM51" s="49"/>
      <c r="JN51" s="49"/>
      <c r="JO51" s="49"/>
      <c r="JP51" s="49"/>
      <c r="JQ51" s="49"/>
      <c r="JR51" s="49"/>
      <c r="JS51" s="49"/>
      <c r="JT51" s="49"/>
      <c r="JU51" s="49"/>
      <c r="JV51" s="49"/>
      <c r="JW51" s="49"/>
      <c r="JX51" s="49"/>
      <c r="JY51" s="49"/>
      <c r="JZ51" s="49"/>
      <c r="KA51" s="49"/>
      <c r="KB51" s="49"/>
      <c r="KC51" s="49"/>
      <c r="KD51" s="49"/>
      <c r="KE51" s="49"/>
      <c r="KF51" s="49"/>
      <c r="KG51" s="49"/>
      <c r="KH51" s="49"/>
      <c r="KI51" s="49"/>
      <c r="KJ51" s="49"/>
      <c r="KK51" s="49"/>
      <c r="KL51" s="49"/>
      <c r="KM51" s="49"/>
      <c r="KN51" s="49"/>
      <c r="KO51" s="49"/>
      <c r="KP51" s="49"/>
      <c r="KQ51" s="49"/>
      <c r="KR51" s="49"/>
      <c r="KS51" s="49"/>
      <c r="KT51" s="49"/>
      <c r="KU51" s="49"/>
      <c r="KV51" s="49"/>
      <c r="KW51" s="49"/>
      <c r="KX51" s="49"/>
      <c r="KY51" s="49"/>
      <c r="KZ51" s="49"/>
      <c r="LA51" s="49"/>
      <c r="LB51" s="49"/>
      <c r="LC51" s="49"/>
      <c r="LD51" s="49"/>
      <c r="LE51" s="49"/>
      <c r="LF51" s="49"/>
      <c r="LG51" s="49"/>
      <c r="LH51" s="49"/>
      <c r="LI51" s="49"/>
      <c r="LJ51" s="49"/>
      <c r="LK51" s="49"/>
      <c r="LL51" s="49"/>
      <c r="LM51" s="49"/>
      <c r="LN51" s="49"/>
      <c r="LO51" s="49"/>
      <c r="LP51" s="49"/>
      <c r="LQ51" s="49"/>
      <c r="LR51" s="49"/>
      <c r="LS51" s="49"/>
      <c r="LT51" s="49"/>
      <c r="LU51" s="49"/>
      <c r="LV51" s="49"/>
      <c r="LW51" s="49"/>
      <c r="LX51" s="49"/>
    </row>
    <row r="52" spans="1:336" s="1" customFormat="1" ht="14.85" x14ac:dyDescent="0.25">
      <c r="A52" s="6"/>
      <c r="B52" s="55"/>
      <c r="C52" s="9"/>
      <c r="D52" s="9"/>
      <c r="E52" s="9"/>
      <c r="F52" s="10"/>
      <c r="G52" s="11"/>
      <c r="H52" s="12"/>
      <c r="I52" s="12" t="str">
        <f t="shared" si="207"/>
        <v/>
      </c>
      <c r="J52" s="12" t="str">
        <f ca="1">IF(OR(Milestones4352[[#This Row],[Start]]="",Milestones4352[[#This Row],[Days]]=""),"",(Milestones4352[[#This Row],[Start]]+Milestones4352[[#This Row],[Days]])-TODAY())</f>
        <v/>
      </c>
      <c r="K52" s="9"/>
      <c r="L52" s="49"/>
      <c r="M52" s="49"/>
      <c r="N52" s="49"/>
      <c r="O52" s="49"/>
      <c r="P52" s="49"/>
      <c r="Q52" s="49"/>
      <c r="R52" s="49"/>
      <c r="S52" s="49"/>
      <c r="T52" s="49"/>
      <c r="U52" s="49"/>
      <c r="V52" s="49"/>
      <c r="W52" s="49"/>
      <c r="X52" s="49"/>
      <c r="Y52" s="49"/>
      <c r="Z52" s="49"/>
      <c r="AA52" s="49"/>
      <c r="AB52" s="49"/>
      <c r="AC52" s="49"/>
      <c r="AD52" s="49"/>
      <c r="AE52" s="49"/>
      <c r="AF52" s="49"/>
      <c r="AG52" s="49"/>
      <c r="AH52" s="49"/>
      <c r="AI52" s="49"/>
      <c r="AJ52" s="49"/>
      <c r="AK52" s="49"/>
      <c r="AL52" s="49"/>
      <c r="AM52" s="49"/>
      <c r="AN52" s="49"/>
      <c r="AO52" s="49"/>
      <c r="AP52" s="49"/>
      <c r="AQ52" s="49"/>
      <c r="AR52" s="49"/>
      <c r="AS52" s="49"/>
      <c r="AT52" s="49"/>
      <c r="AU52" s="49"/>
      <c r="AV52" s="49"/>
      <c r="AW52" s="49"/>
      <c r="AX52" s="49"/>
      <c r="AY52" s="49"/>
      <c r="AZ52" s="49"/>
      <c r="BA52" s="49"/>
      <c r="BB52" s="49"/>
      <c r="BC52" s="49"/>
      <c r="BD52" s="49"/>
      <c r="BE52" s="49"/>
      <c r="BF52" s="49"/>
      <c r="BG52" s="49"/>
      <c r="BH52" s="49"/>
      <c r="BI52" s="49"/>
      <c r="BJ52" s="49"/>
      <c r="BK52" s="49"/>
      <c r="BL52" s="49"/>
      <c r="BM52" s="49"/>
      <c r="BN52" s="49"/>
      <c r="BO52" s="49"/>
      <c r="BP52" s="49"/>
      <c r="BQ52" s="49"/>
      <c r="BR52" s="49"/>
      <c r="BS52" s="49"/>
      <c r="BT52" s="49"/>
      <c r="BU52" s="49"/>
      <c r="BV52" s="49"/>
      <c r="BW52" s="49"/>
      <c r="BX52" s="49"/>
      <c r="BY52" s="49"/>
      <c r="BZ52" s="49"/>
      <c r="CA52" s="49"/>
      <c r="CB52" s="49"/>
      <c r="CC52" s="49"/>
      <c r="CD52" s="49"/>
      <c r="CE52" s="49"/>
      <c r="CF52" s="49"/>
      <c r="CG52" s="49"/>
      <c r="CH52" s="49"/>
      <c r="CI52" s="49"/>
      <c r="CJ52" s="49"/>
      <c r="CK52" s="49"/>
      <c r="CL52" s="49"/>
      <c r="CM52" s="49"/>
      <c r="CN52" s="49"/>
      <c r="CO52" s="49"/>
      <c r="CP52" s="49"/>
      <c r="CQ52" s="49"/>
      <c r="CR52" s="49"/>
      <c r="CS52" s="49"/>
      <c r="CT52" s="49"/>
      <c r="CU52" s="49"/>
      <c r="CV52" s="49"/>
      <c r="CW52" s="49"/>
      <c r="CX52" s="49"/>
      <c r="CY52" s="49"/>
      <c r="CZ52" s="49"/>
      <c r="DA52" s="49"/>
      <c r="DB52" s="49"/>
      <c r="DC52" s="49"/>
      <c r="DD52" s="49"/>
      <c r="DE52" s="49"/>
      <c r="DF52" s="49"/>
      <c r="DG52" s="49"/>
      <c r="DH52" s="49"/>
      <c r="DI52" s="49"/>
      <c r="DJ52" s="49"/>
      <c r="DK52" s="49"/>
      <c r="DL52" s="49"/>
      <c r="DM52" s="49"/>
      <c r="DN52" s="49"/>
      <c r="DO52" s="49"/>
      <c r="DP52" s="49"/>
      <c r="DQ52" s="49"/>
      <c r="DR52" s="49"/>
      <c r="DS52" s="49"/>
      <c r="DT52" s="49"/>
      <c r="DU52" s="49"/>
      <c r="DV52" s="49"/>
      <c r="DW52" s="49"/>
      <c r="DX52" s="49"/>
      <c r="DY52" s="49"/>
      <c r="DZ52" s="49"/>
      <c r="EA52" s="49"/>
      <c r="EB52" s="49"/>
      <c r="EC52" s="49"/>
      <c r="ED52" s="49"/>
      <c r="EE52" s="49"/>
      <c r="EF52" s="49"/>
      <c r="EG52" s="49"/>
      <c r="EH52" s="49"/>
      <c r="EI52" s="49"/>
      <c r="EJ52" s="49"/>
      <c r="EK52" s="49"/>
      <c r="EL52" s="49"/>
      <c r="EM52" s="49"/>
      <c r="EN52" s="49"/>
      <c r="EO52" s="49"/>
      <c r="EP52" s="49"/>
      <c r="EQ52" s="49"/>
      <c r="ER52" s="49"/>
      <c r="ES52" s="49"/>
      <c r="ET52" s="49"/>
      <c r="EU52" s="49"/>
      <c r="EV52" s="49"/>
      <c r="EW52" s="49"/>
      <c r="EX52" s="49"/>
      <c r="EY52" s="49"/>
      <c r="EZ52" s="49"/>
      <c r="FA52" s="49"/>
      <c r="FB52" s="49"/>
      <c r="FC52" s="49"/>
      <c r="FD52" s="49"/>
      <c r="FE52" s="49"/>
      <c r="FF52" s="49"/>
      <c r="FG52" s="49"/>
      <c r="FH52" s="49"/>
      <c r="FI52" s="49"/>
      <c r="FJ52" s="49"/>
      <c r="FK52" s="49"/>
      <c r="FL52" s="49"/>
      <c r="FM52" s="49"/>
      <c r="FN52" s="49"/>
      <c r="FO52" s="49"/>
      <c r="FP52" s="49"/>
      <c r="FQ52" s="49"/>
      <c r="FR52" s="49"/>
      <c r="FS52" s="49"/>
      <c r="FT52" s="49"/>
      <c r="FU52" s="49"/>
      <c r="FV52" s="49"/>
      <c r="FW52" s="49"/>
      <c r="FX52" s="49"/>
      <c r="FY52" s="49"/>
      <c r="FZ52" s="49"/>
      <c r="GA52" s="49"/>
      <c r="GB52" s="49"/>
      <c r="GC52" s="49"/>
      <c r="GD52" s="49"/>
      <c r="GE52" s="49"/>
      <c r="GF52" s="49"/>
      <c r="GG52" s="49"/>
      <c r="GH52" s="49"/>
      <c r="GI52" s="49"/>
      <c r="GJ52" s="49"/>
      <c r="GK52" s="49"/>
      <c r="GL52" s="49"/>
      <c r="GM52" s="49"/>
      <c r="GN52" s="49"/>
      <c r="GO52" s="49"/>
      <c r="GP52" s="49"/>
      <c r="GQ52" s="49"/>
      <c r="GR52" s="49"/>
      <c r="GS52" s="49"/>
      <c r="GT52" s="49"/>
      <c r="GU52" s="49"/>
      <c r="GV52" s="49"/>
      <c r="GW52" s="49"/>
      <c r="GX52" s="49"/>
      <c r="GY52" s="49"/>
      <c r="GZ52" s="49"/>
      <c r="HA52" s="49"/>
      <c r="HB52" s="49"/>
      <c r="HC52" s="49"/>
      <c r="HD52" s="49"/>
      <c r="HE52" s="49"/>
      <c r="HF52" s="49"/>
      <c r="HG52" s="49"/>
      <c r="HH52" s="49"/>
      <c r="HI52" s="49"/>
      <c r="HJ52" s="49"/>
      <c r="HK52" s="49"/>
      <c r="HL52" s="49"/>
      <c r="HM52" s="49"/>
      <c r="HN52" s="49"/>
      <c r="HO52" s="49"/>
      <c r="HP52" s="49"/>
      <c r="HQ52" s="49"/>
      <c r="HR52" s="49"/>
      <c r="HS52" s="49"/>
      <c r="HT52" s="49"/>
      <c r="HU52" s="49"/>
      <c r="HV52" s="49"/>
      <c r="HW52" s="49"/>
      <c r="HX52" s="49"/>
      <c r="HY52" s="49"/>
      <c r="HZ52" s="49"/>
      <c r="IA52" s="49"/>
      <c r="IB52" s="49"/>
      <c r="IC52" s="49"/>
      <c r="ID52" s="49"/>
      <c r="IE52" s="49"/>
      <c r="IF52" s="49"/>
      <c r="IG52" s="49"/>
      <c r="IH52" s="49"/>
      <c r="II52" s="49"/>
      <c r="IJ52" s="49"/>
      <c r="IK52" s="49"/>
      <c r="IL52" s="49"/>
      <c r="IM52" s="49"/>
      <c r="IN52" s="49"/>
      <c r="IO52" s="49"/>
      <c r="IP52" s="49"/>
      <c r="IQ52" s="49"/>
      <c r="IR52" s="49"/>
      <c r="IS52" s="49"/>
      <c r="IT52" s="49"/>
      <c r="IU52" s="49"/>
      <c r="IV52" s="49"/>
      <c r="IW52" s="49"/>
      <c r="IX52" s="49"/>
      <c r="IY52" s="49"/>
      <c r="IZ52" s="49"/>
      <c r="JA52" s="49"/>
      <c r="JB52" s="49"/>
      <c r="JC52" s="49"/>
      <c r="JD52" s="49"/>
      <c r="JE52" s="49"/>
      <c r="JF52" s="49"/>
      <c r="JG52" s="49"/>
      <c r="JH52" s="49"/>
      <c r="JI52" s="49"/>
      <c r="JJ52" s="49"/>
      <c r="JK52" s="49"/>
      <c r="JL52" s="49"/>
      <c r="JM52" s="49"/>
      <c r="JN52" s="49"/>
      <c r="JO52" s="49"/>
      <c r="JP52" s="49"/>
      <c r="JQ52" s="49"/>
      <c r="JR52" s="49"/>
      <c r="JS52" s="49"/>
      <c r="JT52" s="49"/>
      <c r="JU52" s="49"/>
      <c r="JV52" s="49"/>
      <c r="JW52" s="49"/>
      <c r="JX52" s="49"/>
      <c r="JY52" s="49"/>
      <c r="JZ52" s="49"/>
      <c r="KA52" s="49"/>
      <c r="KB52" s="49"/>
      <c r="KC52" s="49"/>
      <c r="KD52" s="49"/>
      <c r="KE52" s="49"/>
      <c r="KF52" s="49"/>
      <c r="KG52" s="49"/>
      <c r="KH52" s="49"/>
      <c r="KI52" s="49"/>
      <c r="KJ52" s="49"/>
      <c r="KK52" s="49"/>
      <c r="KL52" s="49"/>
      <c r="KM52" s="49"/>
      <c r="KN52" s="49"/>
      <c r="KO52" s="49"/>
      <c r="KP52" s="49"/>
      <c r="KQ52" s="49"/>
      <c r="KR52" s="49"/>
      <c r="KS52" s="49"/>
      <c r="KT52" s="49"/>
      <c r="KU52" s="49"/>
      <c r="KV52" s="49"/>
      <c r="KW52" s="49"/>
      <c r="KX52" s="49"/>
      <c r="KY52" s="49"/>
      <c r="KZ52" s="49"/>
      <c r="LA52" s="49"/>
      <c r="LB52" s="49"/>
      <c r="LC52" s="49"/>
      <c r="LD52" s="49"/>
      <c r="LE52" s="49"/>
      <c r="LF52" s="49"/>
      <c r="LG52" s="49"/>
      <c r="LH52" s="49"/>
      <c r="LI52" s="49"/>
      <c r="LJ52" s="49"/>
      <c r="LK52" s="49"/>
      <c r="LL52" s="49"/>
      <c r="LM52" s="49"/>
      <c r="LN52" s="49"/>
      <c r="LO52" s="49"/>
      <c r="LP52" s="49"/>
      <c r="LQ52" s="49"/>
      <c r="LR52" s="49"/>
      <c r="LS52" s="49"/>
      <c r="LT52" s="49"/>
      <c r="LU52" s="49"/>
      <c r="LV52" s="49"/>
      <c r="LW52" s="49"/>
      <c r="LX52" s="49"/>
    </row>
    <row r="53" spans="1:336" s="1" customFormat="1" ht="14.85" x14ac:dyDescent="0.25">
      <c r="A53" s="6"/>
      <c r="B53" s="55"/>
      <c r="C53" s="9"/>
      <c r="D53" s="9"/>
      <c r="E53" s="9"/>
      <c r="F53" s="10"/>
      <c r="G53" s="11"/>
      <c r="H53" s="12"/>
      <c r="I53" s="12" t="str">
        <f t="shared" si="207"/>
        <v/>
      </c>
      <c r="J53" s="12" t="str">
        <f ca="1">IF(OR(Milestones4352[[#This Row],[Start]]="",Milestones4352[[#This Row],[Days]]=""),"",(Milestones4352[[#This Row],[Start]]+Milestones4352[[#This Row],[Days]])-TODAY())</f>
        <v/>
      </c>
      <c r="K53" s="9"/>
      <c r="L53" s="49"/>
      <c r="M53" s="49"/>
      <c r="N53" s="49"/>
      <c r="O53" s="49"/>
      <c r="P53" s="49"/>
      <c r="Q53" s="49"/>
      <c r="R53" s="49"/>
      <c r="S53" s="49"/>
      <c r="T53" s="49"/>
      <c r="U53" s="49"/>
      <c r="V53" s="49"/>
      <c r="W53" s="49"/>
      <c r="X53" s="49"/>
      <c r="Y53" s="49"/>
      <c r="Z53" s="49"/>
      <c r="AA53" s="49"/>
      <c r="AB53" s="49"/>
      <c r="AC53" s="49"/>
      <c r="AD53" s="49"/>
      <c r="AE53" s="49"/>
      <c r="AF53" s="49"/>
      <c r="AG53" s="49"/>
      <c r="AH53" s="49"/>
      <c r="AI53" s="49"/>
      <c r="AJ53" s="49"/>
      <c r="AK53" s="49"/>
      <c r="AL53" s="49"/>
      <c r="AM53" s="49"/>
      <c r="AN53" s="49"/>
      <c r="AO53" s="49"/>
      <c r="AP53" s="49"/>
      <c r="AQ53" s="49"/>
      <c r="AR53" s="49"/>
      <c r="AS53" s="49"/>
      <c r="AT53" s="49"/>
      <c r="AU53" s="49"/>
      <c r="AV53" s="49"/>
      <c r="AW53" s="49"/>
      <c r="AX53" s="49"/>
      <c r="AY53" s="49"/>
      <c r="AZ53" s="49"/>
      <c r="BA53" s="49"/>
      <c r="BB53" s="49"/>
      <c r="BC53" s="49"/>
      <c r="BD53" s="49"/>
      <c r="BE53" s="49"/>
      <c r="BF53" s="49"/>
      <c r="BG53" s="49"/>
      <c r="BH53" s="49"/>
      <c r="BI53" s="49"/>
      <c r="BJ53" s="49"/>
      <c r="BK53" s="49"/>
      <c r="BL53" s="49"/>
      <c r="BM53" s="49"/>
      <c r="BN53" s="49"/>
      <c r="BO53" s="49"/>
      <c r="BP53" s="49"/>
      <c r="BQ53" s="49"/>
      <c r="BR53" s="49"/>
      <c r="BS53" s="49"/>
      <c r="BT53" s="49"/>
      <c r="BU53" s="49"/>
      <c r="BV53" s="49"/>
      <c r="BW53" s="49"/>
      <c r="BX53" s="49"/>
      <c r="BY53" s="49"/>
      <c r="BZ53" s="49"/>
      <c r="CA53" s="49"/>
      <c r="CB53" s="49"/>
      <c r="CC53" s="49"/>
      <c r="CD53" s="49"/>
      <c r="CE53" s="49"/>
      <c r="CF53" s="49"/>
      <c r="CG53" s="49"/>
      <c r="CH53" s="49"/>
      <c r="CI53" s="49"/>
      <c r="CJ53" s="49"/>
      <c r="CK53" s="49"/>
      <c r="CL53" s="49"/>
      <c r="CM53" s="49"/>
      <c r="CN53" s="49"/>
      <c r="CO53" s="49"/>
      <c r="CP53" s="49"/>
      <c r="CQ53" s="49"/>
      <c r="CR53" s="49"/>
      <c r="CS53" s="49"/>
      <c r="CT53" s="49"/>
      <c r="CU53" s="49"/>
      <c r="CV53" s="49"/>
      <c r="CW53" s="49"/>
      <c r="CX53" s="49"/>
      <c r="CY53" s="49"/>
      <c r="CZ53" s="49"/>
      <c r="DA53" s="49"/>
      <c r="DB53" s="49"/>
      <c r="DC53" s="49"/>
      <c r="DD53" s="49"/>
      <c r="DE53" s="49"/>
      <c r="DF53" s="49"/>
      <c r="DG53" s="49"/>
      <c r="DH53" s="49"/>
      <c r="DI53" s="49"/>
      <c r="DJ53" s="49"/>
      <c r="DK53" s="49"/>
      <c r="DL53" s="49"/>
      <c r="DM53" s="49"/>
      <c r="DN53" s="49"/>
      <c r="DO53" s="49"/>
      <c r="DP53" s="49"/>
      <c r="DQ53" s="49"/>
      <c r="DR53" s="49"/>
      <c r="DS53" s="49"/>
      <c r="DT53" s="49"/>
      <c r="DU53" s="49"/>
      <c r="DV53" s="49"/>
      <c r="DW53" s="49"/>
      <c r="DX53" s="49"/>
      <c r="DY53" s="49"/>
      <c r="DZ53" s="49"/>
      <c r="EA53" s="49"/>
      <c r="EB53" s="49"/>
      <c r="EC53" s="49"/>
      <c r="ED53" s="49"/>
      <c r="EE53" s="49"/>
      <c r="EF53" s="49"/>
      <c r="EG53" s="49"/>
      <c r="EH53" s="49"/>
      <c r="EI53" s="49"/>
      <c r="EJ53" s="49"/>
      <c r="EK53" s="49"/>
      <c r="EL53" s="49"/>
      <c r="EM53" s="49"/>
      <c r="EN53" s="49"/>
      <c r="EO53" s="49"/>
      <c r="EP53" s="49"/>
      <c r="EQ53" s="49"/>
      <c r="ER53" s="49"/>
      <c r="ES53" s="49"/>
      <c r="ET53" s="49"/>
      <c r="EU53" s="49"/>
      <c r="EV53" s="49"/>
      <c r="EW53" s="49"/>
      <c r="EX53" s="49"/>
      <c r="EY53" s="49"/>
      <c r="EZ53" s="49"/>
      <c r="FA53" s="49"/>
      <c r="FB53" s="49"/>
      <c r="FC53" s="49"/>
      <c r="FD53" s="49"/>
      <c r="FE53" s="49"/>
      <c r="FF53" s="49"/>
      <c r="FG53" s="49"/>
      <c r="FH53" s="49"/>
      <c r="FI53" s="49"/>
      <c r="FJ53" s="49"/>
      <c r="FK53" s="49"/>
      <c r="FL53" s="49"/>
      <c r="FM53" s="49"/>
      <c r="FN53" s="49"/>
      <c r="FO53" s="49"/>
      <c r="FP53" s="49"/>
      <c r="FQ53" s="49"/>
      <c r="FR53" s="49"/>
      <c r="FS53" s="49"/>
      <c r="FT53" s="49"/>
      <c r="FU53" s="49"/>
      <c r="FV53" s="49"/>
      <c r="FW53" s="49"/>
      <c r="FX53" s="49"/>
      <c r="FY53" s="49"/>
      <c r="FZ53" s="49"/>
      <c r="GA53" s="49"/>
      <c r="GB53" s="49"/>
      <c r="GC53" s="49"/>
      <c r="GD53" s="49"/>
      <c r="GE53" s="49"/>
      <c r="GF53" s="49"/>
      <c r="GG53" s="49"/>
      <c r="GH53" s="49"/>
      <c r="GI53" s="49"/>
      <c r="GJ53" s="49"/>
      <c r="GK53" s="49"/>
      <c r="GL53" s="49"/>
      <c r="GM53" s="49"/>
      <c r="GN53" s="49"/>
      <c r="GO53" s="49"/>
      <c r="GP53" s="49"/>
      <c r="GQ53" s="49"/>
      <c r="GR53" s="49"/>
      <c r="GS53" s="49"/>
      <c r="GT53" s="49"/>
      <c r="GU53" s="49"/>
      <c r="GV53" s="49"/>
      <c r="GW53" s="49"/>
      <c r="GX53" s="49"/>
      <c r="GY53" s="49"/>
      <c r="GZ53" s="49"/>
      <c r="HA53" s="49"/>
      <c r="HB53" s="49"/>
      <c r="HC53" s="49"/>
      <c r="HD53" s="49"/>
      <c r="HE53" s="49"/>
      <c r="HF53" s="49"/>
      <c r="HG53" s="49"/>
      <c r="HH53" s="49"/>
      <c r="HI53" s="49"/>
      <c r="HJ53" s="49"/>
      <c r="HK53" s="49"/>
      <c r="HL53" s="49"/>
      <c r="HM53" s="49"/>
      <c r="HN53" s="49"/>
      <c r="HO53" s="49"/>
      <c r="HP53" s="49"/>
      <c r="HQ53" s="49"/>
      <c r="HR53" s="49"/>
      <c r="HS53" s="49"/>
      <c r="HT53" s="49"/>
      <c r="HU53" s="49"/>
      <c r="HV53" s="49"/>
      <c r="HW53" s="49"/>
      <c r="HX53" s="49"/>
      <c r="HY53" s="49"/>
      <c r="HZ53" s="49"/>
      <c r="IA53" s="49"/>
      <c r="IB53" s="49"/>
      <c r="IC53" s="49"/>
      <c r="ID53" s="49"/>
      <c r="IE53" s="49"/>
      <c r="IF53" s="49"/>
      <c r="IG53" s="49"/>
      <c r="IH53" s="49"/>
      <c r="II53" s="49"/>
      <c r="IJ53" s="49"/>
      <c r="IK53" s="49"/>
      <c r="IL53" s="49"/>
      <c r="IM53" s="49"/>
      <c r="IN53" s="49"/>
      <c r="IO53" s="49"/>
      <c r="IP53" s="49"/>
      <c r="IQ53" s="49"/>
      <c r="IR53" s="49"/>
      <c r="IS53" s="49"/>
      <c r="IT53" s="49"/>
      <c r="IU53" s="49"/>
      <c r="IV53" s="49"/>
      <c r="IW53" s="49"/>
      <c r="IX53" s="49"/>
      <c r="IY53" s="49"/>
      <c r="IZ53" s="49"/>
      <c r="JA53" s="49"/>
      <c r="JB53" s="49"/>
      <c r="JC53" s="49"/>
      <c r="JD53" s="49"/>
      <c r="JE53" s="49"/>
      <c r="JF53" s="49"/>
      <c r="JG53" s="49"/>
      <c r="JH53" s="49"/>
      <c r="JI53" s="49"/>
      <c r="JJ53" s="49"/>
      <c r="JK53" s="49"/>
      <c r="JL53" s="49"/>
      <c r="JM53" s="49"/>
      <c r="JN53" s="49"/>
      <c r="JO53" s="49"/>
      <c r="JP53" s="49"/>
      <c r="JQ53" s="49"/>
      <c r="JR53" s="49"/>
      <c r="JS53" s="49"/>
      <c r="JT53" s="49"/>
      <c r="JU53" s="49"/>
      <c r="JV53" s="49"/>
      <c r="JW53" s="49"/>
      <c r="JX53" s="49"/>
      <c r="JY53" s="49"/>
      <c r="JZ53" s="49"/>
      <c r="KA53" s="49"/>
      <c r="KB53" s="49"/>
      <c r="KC53" s="49"/>
      <c r="KD53" s="49"/>
      <c r="KE53" s="49"/>
      <c r="KF53" s="49"/>
      <c r="KG53" s="49"/>
      <c r="KH53" s="49"/>
      <c r="KI53" s="49"/>
      <c r="KJ53" s="49"/>
      <c r="KK53" s="49"/>
      <c r="KL53" s="49"/>
      <c r="KM53" s="49"/>
      <c r="KN53" s="49"/>
      <c r="KO53" s="49"/>
      <c r="KP53" s="49"/>
      <c r="KQ53" s="49"/>
      <c r="KR53" s="49"/>
      <c r="KS53" s="49"/>
      <c r="KT53" s="49"/>
      <c r="KU53" s="49"/>
      <c r="KV53" s="49"/>
      <c r="KW53" s="49"/>
      <c r="KX53" s="49"/>
      <c r="KY53" s="49"/>
      <c r="KZ53" s="49"/>
      <c r="LA53" s="49"/>
      <c r="LB53" s="49"/>
      <c r="LC53" s="49"/>
      <c r="LD53" s="49"/>
      <c r="LE53" s="49"/>
      <c r="LF53" s="49"/>
      <c r="LG53" s="49"/>
      <c r="LH53" s="49"/>
      <c r="LI53" s="49"/>
      <c r="LJ53" s="49"/>
      <c r="LK53" s="49"/>
      <c r="LL53" s="49"/>
      <c r="LM53" s="49"/>
      <c r="LN53" s="49"/>
      <c r="LO53" s="49"/>
      <c r="LP53" s="49"/>
      <c r="LQ53" s="49"/>
      <c r="LR53" s="49"/>
      <c r="LS53" s="49"/>
      <c r="LT53" s="49"/>
      <c r="LU53" s="49"/>
      <c r="LV53" s="49"/>
      <c r="LW53" s="49"/>
      <c r="LX53" s="49"/>
    </row>
    <row r="54" spans="1:336" s="1" customFormat="1" ht="14.85" x14ac:dyDescent="0.25">
      <c r="A54" s="6"/>
      <c r="B54" s="55"/>
      <c r="C54" s="9"/>
      <c r="D54" s="9"/>
      <c r="E54" s="9"/>
      <c r="F54" s="10"/>
      <c r="G54" s="11"/>
      <c r="H54" s="12"/>
      <c r="I54" s="12" t="str">
        <f t="shared" si="207"/>
        <v/>
      </c>
      <c r="J54" s="12" t="str">
        <f ca="1">IF(OR(Milestones4352[[#This Row],[Start]]="",Milestones4352[[#This Row],[Days]]=""),"",(Milestones4352[[#This Row],[Start]]+Milestones4352[[#This Row],[Days]])-TODAY())</f>
        <v/>
      </c>
      <c r="K54" s="9"/>
      <c r="L54" s="49"/>
      <c r="M54" s="49"/>
      <c r="N54" s="49"/>
      <c r="O54" s="49"/>
      <c r="P54" s="49"/>
      <c r="Q54" s="49"/>
      <c r="R54" s="49"/>
      <c r="S54" s="49"/>
      <c r="T54" s="49"/>
      <c r="U54" s="49"/>
      <c r="V54" s="49"/>
      <c r="W54" s="49"/>
      <c r="X54" s="49"/>
      <c r="Y54" s="49"/>
      <c r="Z54" s="49"/>
      <c r="AA54" s="49"/>
      <c r="AB54" s="49"/>
      <c r="AC54" s="49"/>
      <c r="AD54" s="49"/>
      <c r="AE54" s="49"/>
      <c r="AF54" s="49"/>
      <c r="AG54" s="49"/>
      <c r="AH54" s="49"/>
      <c r="AI54" s="49"/>
      <c r="AJ54" s="49"/>
      <c r="AK54" s="49"/>
      <c r="AL54" s="49"/>
      <c r="AM54" s="49"/>
      <c r="AN54" s="49"/>
      <c r="AO54" s="49"/>
      <c r="AP54" s="49"/>
      <c r="AQ54" s="49"/>
      <c r="AR54" s="49"/>
      <c r="AS54" s="49"/>
      <c r="AT54" s="49"/>
      <c r="AU54" s="49"/>
      <c r="AV54" s="49"/>
      <c r="AW54" s="49"/>
      <c r="AX54" s="49"/>
      <c r="AY54" s="49"/>
      <c r="AZ54" s="49"/>
      <c r="BA54" s="49"/>
      <c r="BB54" s="49"/>
      <c r="BC54" s="49"/>
      <c r="BD54" s="49"/>
      <c r="BE54" s="49"/>
      <c r="BF54" s="49"/>
      <c r="BG54" s="49"/>
      <c r="BH54" s="49"/>
      <c r="BI54" s="49"/>
      <c r="BJ54" s="49"/>
      <c r="BK54" s="49"/>
      <c r="BL54" s="49"/>
      <c r="BM54" s="49"/>
      <c r="BN54" s="49"/>
      <c r="BO54" s="49"/>
      <c r="BP54" s="49"/>
      <c r="BQ54" s="49"/>
      <c r="BR54" s="49"/>
      <c r="BS54" s="49"/>
      <c r="BT54" s="49"/>
      <c r="BU54" s="49"/>
      <c r="BV54" s="49"/>
      <c r="BW54" s="49"/>
      <c r="BX54" s="49"/>
      <c r="BY54" s="49"/>
      <c r="BZ54" s="49"/>
      <c r="CA54" s="49"/>
      <c r="CB54" s="49"/>
      <c r="CC54" s="49"/>
      <c r="CD54" s="49"/>
      <c r="CE54" s="49"/>
      <c r="CF54" s="49"/>
      <c r="CG54" s="49"/>
      <c r="CH54" s="49"/>
      <c r="CI54" s="49"/>
      <c r="CJ54" s="49"/>
      <c r="CK54" s="49"/>
      <c r="CL54" s="49"/>
      <c r="CM54" s="49"/>
      <c r="CN54" s="49"/>
      <c r="CO54" s="49"/>
      <c r="CP54" s="49"/>
      <c r="CQ54" s="49"/>
      <c r="CR54" s="49"/>
      <c r="CS54" s="49"/>
      <c r="CT54" s="49"/>
      <c r="CU54" s="49"/>
      <c r="CV54" s="49"/>
      <c r="CW54" s="49"/>
      <c r="CX54" s="49"/>
      <c r="CY54" s="49"/>
      <c r="CZ54" s="49"/>
      <c r="DA54" s="49"/>
      <c r="DB54" s="49"/>
      <c r="DC54" s="49"/>
      <c r="DD54" s="49"/>
      <c r="DE54" s="49"/>
      <c r="DF54" s="49"/>
      <c r="DG54" s="49"/>
      <c r="DH54" s="49"/>
      <c r="DI54" s="49"/>
      <c r="DJ54" s="49"/>
      <c r="DK54" s="49"/>
      <c r="DL54" s="49"/>
      <c r="DM54" s="49"/>
      <c r="DN54" s="49"/>
      <c r="DO54" s="49"/>
      <c r="DP54" s="49"/>
      <c r="DQ54" s="49"/>
      <c r="DR54" s="49"/>
      <c r="DS54" s="49"/>
      <c r="DT54" s="49"/>
      <c r="DU54" s="49"/>
      <c r="DV54" s="49"/>
      <c r="DW54" s="49"/>
      <c r="DX54" s="49"/>
      <c r="DY54" s="49"/>
      <c r="DZ54" s="49"/>
      <c r="EA54" s="49"/>
      <c r="EB54" s="49"/>
      <c r="EC54" s="49"/>
      <c r="ED54" s="49"/>
      <c r="EE54" s="49"/>
      <c r="EF54" s="49"/>
      <c r="EG54" s="49"/>
      <c r="EH54" s="49"/>
      <c r="EI54" s="49"/>
      <c r="EJ54" s="49"/>
      <c r="EK54" s="49"/>
      <c r="EL54" s="49"/>
      <c r="EM54" s="49"/>
      <c r="EN54" s="49"/>
      <c r="EO54" s="49"/>
      <c r="EP54" s="49"/>
      <c r="EQ54" s="49"/>
      <c r="ER54" s="49"/>
      <c r="ES54" s="49"/>
      <c r="ET54" s="49"/>
      <c r="EU54" s="49"/>
      <c r="EV54" s="49"/>
      <c r="EW54" s="49"/>
      <c r="EX54" s="49"/>
      <c r="EY54" s="49"/>
      <c r="EZ54" s="49"/>
      <c r="FA54" s="49"/>
      <c r="FB54" s="49"/>
      <c r="FC54" s="49"/>
      <c r="FD54" s="49"/>
      <c r="FE54" s="49"/>
      <c r="FF54" s="49"/>
      <c r="FG54" s="49"/>
      <c r="FH54" s="49"/>
      <c r="FI54" s="49"/>
      <c r="FJ54" s="49"/>
      <c r="FK54" s="49"/>
      <c r="FL54" s="49"/>
      <c r="FM54" s="49"/>
      <c r="FN54" s="49"/>
      <c r="FO54" s="49"/>
      <c r="FP54" s="49"/>
      <c r="FQ54" s="49"/>
      <c r="FR54" s="49"/>
      <c r="FS54" s="49"/>
      <c r="FT54" s="49"/>
      <c r="FU54" s="49"/>
      <c r="FV54" s="49"/>
      <c r="FW54" s="49"/>
      <c r="FX54" s="49"/>
      <c r="FY54" s="49"/>
      <c r="FZ54" s="49"/>
      <c r="GA54" s="49"/>
      <c r="GB54" s="49"/>
      <c r="GC54" s="49"/>
      <c r="GD54" s="49"/>
      <c r="GE54" s="49"/>
      <c r="GF54" s="49"/>
      <c r="GG54" s="49"/>
      <c r="GH54" s="49"/>
      <c r="GI54" s="49"/>
      <c r="GJ54" s="49"/>
      <c r="GK54" s="49"/>
      <c r="GL54" s="49"/>
      <c r="GM54" s="49"/>
      <c r="GN54" s="49"/>
      <c r="GO54" s="49"/>
      <c r="GP54" s="49"/>
      <c r="GQ54" s="49"/>
      <c r="GR54" s="49"/>
      <c r="GS54" s="49"/>
      <c r="GT54" s="49"/>
      <c r="GU54" s="49"/>
      <c r="GV54" s="49"/>
      <c r="GW54" s="49"/>
      <c r="GX54" s="49"/>
      <c r="GY54" s="49"/>
      <c r="GZ54" s="49"/>
      <c r="HA54" s="49"/>
      <c r="HB54" s="49"/>
      <c r="HC54" s="49"/>
      <c r="HD54" s="49"/>
      <c r="HE54" s="49"/>
      <c r="HF54" s="49"/>
      <c r="HG54" s="49"/>
      <c r="HH54" s="49"/>
      <c r="HI54" s="49"/>
      <c r="HJ54" s="49"/>
      <c r="HK54" s="49"/>
      <c r="HL54" s="49"/>
      <c r="HM54" s="49"/>
      <c r="HN54" s="49"/>
      <c r="HO54" s="49"/>
      <c r="HP54" s="49"/>
      <c r="HQ54" s="49"/>
      <c r="HR54" s="49"/>
      <c r="HS54" s="49"/>
      <c r="HT54" s="49"/>
      <c r="HU54" s="49"/>
      <c r="HV54" s="49"/>
      <c r="HW54" s="49"/>
      <c r="HX54" s="49"/>
      <c r="HY54" s="49"/>
      <c r="HZ54" s="49"/>
      <c r="IA54" s="49"/>
      <c r="IB54" s="49"/>
      <c r="IC54" s="49"/>
      <c r="ID54" s="49"/>
      <c r="IE54" s="49"/>
      <c r="IF54" s="49"/>
      <c r="IG54" s="49"/>
      <c r="IH54" s="49"/>
      <c r="II54" s="49"/>
      <c r="IJ54" s="49"/>
      <c r="IK54" s="49"/>
      <c r="IL54" s="49"/>
      <c r="IM54" s="49"/>
      <c r="IN54" s="49"/>
      <c r="IO54" s="49"/>
      <c r="IP54" s="49"/>
      <c r="IQ54" s="49"/>
      <c r="IR54" s="49"/>
      <c r="IS54" s="49"/>
      <c r="IT54" s="49"/>
      <c r="IU54" s="49"/>
      <c r="IV54" s="49"/>
      <c r="IW54" s="49"/>
      <c r="IX54" s="49"/>
      <c r="IY54" s="49"/>
      <c r="IZ54" s="49"/>
      <c r="JA54" s="49"/>
      <c r="JB54" s="49"/>
      <c r="JC54" s="49"/>
      <c r="JD54" s="49"/>
      <c r="JE54" s="49"/>
      <c r="JF54" s="49"/>
      <c r="JG54" s="49"/>
      <c r="JH54" s="49"/>
      <c r="JI54" s="49"/>
      <c r="JJ54" s="49"/>
      <c r="JK54" s="49"/>
      <c r="JL54" s="49"/>
      <c r="JM54" s="49"/>
      <c r="JN54" s="49"/>
      <c r="JO54" s="49"/>
      <c r="JP54" s="49"/>
      <c r="JQ54" s="49"/>
      <c r="JR54" s="49"/>
      <c r="JS54" s="49"/>
      <c r="JT54" s="49"/>
      <c r="JU54" s="49"/>
      <c r="JV54" s="49"/>
      <c r="JW54" s="49"/>
      <c r="JX54" s="49"/>
      <c r="JY54" s="49"/>
      <c r="JZ54" s="49"/>
      <c r="KA54" s="49"/>
      <c r="KB54" s="49"/>
      <c r="KC54" s="49"/>
      <c r="KD54" s="49"/>
      <c r="KE54" s="49"/>
      <c r="KF54" s="49"/>
      <c r="KG54" s="49"/>
      <c r="KH54" s="49"/>
      <c r="KI54" s="49"/>
      <c r="KJ54" s="49"/>
      <c r="KK54" s="49"/>
      <c r="KL54" s="49"/>
      <c r="KM54" s="49"/>
      <c r="KN54" s="49"/>
      <c r="KO54" s="49"/>
      <c r="KP54" s="49"/>
      <c r="KQ54" s="49"/>
      <c r="KR54" s="49"/>
      <c r="KS54" s="49"/>
      <c r="KT54" s="49"/>
      <c r="KU54" s="49"/>
      <c r="KV54" s="49"/>
      <c r="KW54" s="49"/>
      <c r="KX54" s="49"/>
      <c r="KY54" s="49"/>
      <c r="KZ54" s="49"/>
      <c r="LA54" s="49"/>
      <c r="LB54" s="49"/>
      <c r="LC54" s="49"/>
      <c r="LD54" s="49"/>
      <c r="LE54" s="49"/>
      <c r="LF54" s="49"/>
      <c r="LG54" s="49"/>
      <c r="LH54" s="49"/>
      <c r="LI54" s="49"/>
      <c r="LJ54" s="49"/>
      <c r="LK54" s="49"/>
      <c r="LL54" s="49"/>
      <c r="LM54" s="49"/>
      <c r="LN54" s="49"/>
      <c r="LO54" s="49"/>
      <c r="LP54" s="49"/>
      <c r="LQ54" s="49"/>
      <c r="LR54" s="49"/>
      <c r="LS54" s="49"/>
      <c r="LT54" s="49"/>
      <c r="LU54" s="49"/>
      <c r="LV54" s="49"/>
      <c r="LW54" s="49"/>
      <c r="LX54" s="49"/>
    </row>
    <row r="55" spans="1:336" s="1" customFormat="1" ht="14.85" x14ac:dyDescent="0.25">
      <c r="A55" s="6"/>
      <c r="B55" s="55"/>
      <c r="C55" s="9"/>
      <c r="D55" s="9"/>
      <c r="E55" s="9"/>
      <c r="F55" s="10"/>
      <c r="G55" s="11"/>
      <c r="H55" s="12"/>
      <c r="I55" s="12" t="str">
        <f t="shared" si="207"/>
        <v/>
      </c>
      <c r="J55" s="12" t="str">
        <f ca="1">IF(OR(Milestones4352[[#This Row],[Start]]="",Milestones4352[[#This Row],[Days]]=""),"",(Milestones4352[[#This Row],[Start]]+Milestones4352[[#This Row],[Days]])-TODAY())</f>
        <v/>
      </c>
      <c r="K55" s="9"/>
      <c r="L55" s="49"/>
      <c r="M55" s="49"/>
      <c r="N55" s="49"/>
      <c r="O55" s="49"/>
      <c r="P55" s="49"/>
      <c r="Q55" s="49"/>
      <c r="R55" s="49"/>
      <c r="S55" s="49"/>
      <c r="T55" s="49"/>
      <c r="U55" s="49"/>
      <c r="V55" s="49"/>
      <c r="W55" s="49"/>
      <c r="X55" s="49"/>
      <c r="Y55" s="49"/>
      <c r="Z55" s="49"/>
      <c r="AA55" s="49"/>
      <c r="AB55" s="49"/>
      <c r="AC55" s="49"/>
      <c r="AD55" s="49"/>
      <c r="AE55" s="49"/>
      <c r="AF55" s="49"/>
      <c r="AG55" s="49"/>
      <c r="AH55" s="49"/>
      <c r="AI55" s="49"/>
      <c r="AJ55" s="49"/>
      <c r="AK55" s="49"/>
      <c r="AL55" s="49"/>
      <c r="AM55" s="49"/>
      <c r="AN55" s="49"/>
      <c r="AO55" s="49"/>
      <c r="AP55" s="49"/>
      <c r="AQ55" s="49"/>
      <c r="AR55" s="49"/>
      <c r="AS55" s="49"/>
      <c r="AT55" s="49"/>
      <c r="AU55" s="49"/>
      <c r="AV55" s="49"/>
      <c r="AW55" s="49"/>
      <c r="AX55" s="49"/>
      <c r="AY55" s="49"/>
      <c r="AZ55" s="49"/>
      <c r="BA55" s="49"/>
      <c r="BB55" s="49"/>
      <c r="BC55" s="49"/>
      <c r="BD55" s="49"/>
      <c r="BE55" s="49"/>
      <c r="BF55" s="49"/>
      <c r="BG55" s="49"/>
      <c r="BH55" s="49"/>
      <c r="BI55" s="49"/>
      <c r="BJ55" s="49"/>
      <c r="BK55" s="49"/>
      <c r="BL55" s="49"/>
      <c r="BM55" s="49"/>
      <c r="BN55" s="49"/>
      <c r="BO55" s="49"/>
      <c r="BP55" s="49"/>
      <c r="BQ55" s="49"/>
      <c r="BR55" s="49"/>
      <c r="BS55" s="49"/>
      <c r="BT55" s="49"/>
      <c r="BU55" s="49"/>
      <c r="BV55" s="49"/>
      <c r="BW55" s="49"/>
      <c r="BX55" s="49"/>
      <c r="BY55" s="49"/>
      <c r="BZ55" s="49"/>
      <c r="CA55" s="49"/>
      <c r="CB55" s="49"/>
      <c r="CC55" s="49"/>
      <c r="CD55" s="49"/>
      <c r="CE55" s="49"/>
      <c r="CF55" s="49"/>
      <c r="CG55" s="49"/>
      <c r="CH55" s="49"/>
      <c r="CI55" s="49"/>
      <c r="CJ55" s="49"/>
      <c r="CK55" s="49"/>
      <c r="CL55" s="49"/>
      <c r="CM55" s="49"/>
      <c r="CN55" s="49"/>
      <c r="CO55" s="49"/>
      <c r="CP55" s="49"/>
      <c r="CQ55" s="49"/>
      <c r="CR55" s="49"/>
      <c r="CS55" s="49"/>
      <c r="CT55" s="49"/>
      <c r="CU55" s="49"/>
      <c r="CV55" s="49"/>
      <c r="CW55" s="49"/>
      <c r="CX55" s="49"/>
      <c r="CY55" s="49"/>
      <c r="CZ55" s="49"/>
      <c r="DA55" s="49"/>
      <c r="DB55" s="49"/>
      <c r="DC55" s="49"/>
      <c r="DD55" s="49"/>
      <c r="DE55" s="49"/>
      <c r="DF55" s="49"/>
      <c r="DG55" s="49"/>
      <c r="DH55" s="49"/>
      <c r="DI55" s="49"/>
      <c r="DJ55" s="49"/>
      <c r="DK55" s="49"/>
      <c r="DL55" s="49"/>
      <c r="DM55" s="49"/>
      <c r="DN55" s="49"/>
      <c r="DO55" s="49"/>
      <c r="DP55" s="49"/>
      <c r="DQ55" s="49"/>
      <c r="DR55" s="49"/>
      <c r="DS55" s="49"/>
      <c r="DT55" s="49"/>
      <c r="DU55" s="49"/>
      <c r="DV55" s="49"/>
      <c r="DW55" s="49"/>
      <c r="DX55" s="49"/>
      <c r="DY55" s="49"/>
      <c r="DZ55" s="49"/>
      <c r="EA55" s="49"/>
      <c r="EB55" s="49"/>
      <c r="EC55" s="49"/>
      <c r="ED55" s="49"/>
      <c r="EE55" s="49"/>
      <c r="EF55" s="49"/>
      <c r="EG55" s="49"/>
      <c r="EH55" s="49"/>
      <c r="EI55" s="49"/>
      <c r="EJ55" s="49"/>
      <c r="EK55" s="49"/>
      <c r="EL55" s="49"/>
      <c r="EM55" s="49"/>
      <c r="EN55" s="49"/>
      <c r="EO55" s="49"/>
      <c r="EP55" s="49"/>
      <c r="EQ55" s="49"/>
      <c r="ER55" s="49"/>
      <c r="ES55" s="49"/>
      <c r="ET55" s="49"/>
      <c r="EU55" s="49"/>
      <c r="EV55" s="49"/>
      <c r="EW55" s="49"/>
      <c r="EX55" s="49"/>
      <c r="EY55" s="49"/>
      <c r="EZ55" s="49"/>
      <c r="FA55" s="49"/>
      <c r="FB55" s="49"/>
      <c r="FC55" s="49"/>
      <c r="FD55" s="49"/>
      <c r="FE55" s="49"/>
      <c r="FF55" s="49"/>
      <c r="FG55" s="49"/>
      <c r="FH55" s="49"/>
      <c r="FI55" s="49"/>
      <c r="FJ55" s="49"/>
      <c r="FK55" s="49"/>
      <c r="FL55" s="49"/>
      <c r="FM55" s="49"/>
      <c r="FN55" s="49"/>
      <c r="FO55" s="49"/>
      <c r="FP55" s="49"/>
      <c r="FQ55" s="49"/>
      <c r="FR55" s="49"/>
      <c r="FS55" s="49"/>
      <c r="FT55" s="49"/>
      <c r="FU55" s="49"/>
      <c r="FV55" s="49"/>
      <c r="FW55" s="49"/>
      <c r="FX55" s="49"/>
      <c r="FY55" s="49"/>
      <c r="FZ55" s="49"/>
      <c r="GA55" s="49"/>
      <c r="GB55" s="49"/>
      <c r="GC55" s="49"/>
      <c r="GD55" s="49"/>
      <c r="GE55" s="49"/>
      <c r="GF55" s="49"/>
      <c r="GG55" s="49"/>
      <c r="GH55" s="49"/>
      <c r="GI55" s="49"/>
      <c r="GJ55" s="49"/>
      <c r="GK55" s="49"/>
      <c r="GL55" s="49"/>
      <c r="GM55" s="49"/>
      <c r="GN55" s="49"/>
      <c r="GO55" s="49"/>
      <c r="GP55" s="49"/>
      <c r="GQ55" s="49"/>
      <c r="GR55" s="49"/>
      <c r="GS55" s="49"/>
      <c r="GT55" s="49"/>
      <c r="GU55" s="49"/>
      <c r="GV55" s="49"/>
      <c r="GW55" s="49"/>
      <c r="GX55" s="49"/>
      <c r="GY55" s="49"/>
      <c r="GZ55" s="49"/>
      <c r="HA55" s="49"/>
      <c r="HB55" s="49"/>
      <c r="HC55" s="49"/>
      <c r="HD55" s="49"/>
      <c r="HE55" s="49"/>
      <c r="HF55" s="49"/>
      <c r="HG55" s="49"/>
      <c r="HH55" s="49"/>
      <c r="HI55" s="49"/>
      <c r="HJ55" s="49"/>
      <c r="HK55" s="49"/>
      <c r="HL55" s="49"/>
      <c r="HM55" s="49"/>
      <c r="HN55" s="49"/>
      <c r="HO55" s="49"/>
      <c r="HP55" s="49"/>
      <c r="HQ55" s="49"/>
      <c r="HR55" s="49"/>
      <c r="HS55" s="49"/>
      <c r="HT55" s="49"/>
      <c r="HU55" s="49"/>
      <c r="HV55" s="49"/>
      <c r="HW55" s="49"/>
      <c r="HX55" s="49"/>
      <c r="HY55" s="49"/>
      <c r="HZ55" s="49"/>
      <c r="IA55" s="49"/>
      <c r="IB55" s="49"/>
      <c r="IC55" s="49"/>
      <c r="ID55" s="49"/>
      <c r="IE55" s="49"/>
      <c r="IF55" s="49"/>
      <c r="IG55" s="49"/>
      <c r="IH55" s="49"/>
      <c r="II55" s="49"/>
      <c r="IJ55" s="49"/>
      <c r="IK55" s="49"/>
      <c r="IL55" s="49"/>
      <c r="IM55" s="49"/>
      <c r="IN55" s="49"/>
      <c r="IO55" s="49"/>
      <c r="IP55" s="49"/>
      <c r="IQ55" s="49"/>
      <c r="IR55" s="49"/>
      <c r="IS55" s="49"/>
      <c r="IT55" s="49"/>
      <c r="IU55" s="49"/>
      <c r="IV55" s="49"/>
      <c r="IW55" s="49"/>
      <c r="IX55" s="49"/>
      <c r="IY55" s="49"/>
      <c r="IZ55" s="49"/>
      <c r="JA55" s="49"/>
      <c r="JB55" s="49"/>
      <c r="JC55" s="49"/>
      <c r="JD55" s="49"/>
      <c r="JE55" s="49"/>
      <c r="JF55" s="49"/>
      <c r="JG55" s="49"/>
      <c r="JH55" s="49"/>
      <c r="JI55" s="49"/>
      <c r="JJ55" s="49"/>
      <c r="JK55" s="49"/>
      <c r="JL55" s="49"/>
      <c r="JM55" s="49"/>
      <c r="JN55" s="49"/>
      <c r="JO55" s="49"/>
      <c r="JP55" s="49"/>
      <c r="JQ55" s="49"/>
      <c r="JR55" s="49"/>
      <c r="JS55" s="49"/>
      <c r="JT55" s="49"/>
      <c r="JU55" s="49"/>
      <c r="JV55" s="49"/>
      <c r="JW55" s="49"/>
      <c r="JX55" s="49"/>
      <c r="JY55" s="49"/>
      <c r="JZ55" s="49"/>
      <c r="KA55" s="49"/>
      <c r="KB55" s="49"/>
      <c r="KC55" s="49"/>
      <c r="KD55" s="49"/>
      <c r="KE55" s="49"/>
      <c r="KF55" s="49"/>
      <c r="KG55" s="49"/>
      <c r="KH55" s="49"/>
      <c r="KI55" s="49"/>
      <c r="KJ55" s="49"/>
      <c r="KK55" s="49"/>
      <c r="KL55" s="49"/>
      <c r="KM55" s="49"/>
      <c r="KN55" s="49"/>
      <c r="KO55" s="49"/>
      <c r="KP55" s="49"/>
      <c r="KQ55" s="49"/>
      <c r="KR55" s="49"/>
      <c r="KS55" s="49"/>
      <c r="KT55" s="49"/>
      <c r="KU55" s="49"/>
      <c r="KV55" s="49"/>
      <c r="KW55" s="49"/>
      <c r="KX55" s="49"/>
      <c r="KY55" s="49"/>
      <c r="KZ55" s="49"/>
      <c r="LA55" s="49"/>
      <c r="LB55" s="49"/>
      <c r="LC55" s="49"/>
      <c r="LD55" s="49"/>
      <c r="LE55" s="49"/>
      <c r="LF55" s="49"/>
      <c r="LG55" s="49"/>
      <c r="LH55" s="49"/>
      <c r="LI55" s="49"/>
      <c r="LJ55" s="49"/>
      <c r="LK55" s="49"/>
      <c r="LL55" s="49"/>
      <c r="LM55" s="49"/>
      <c r="LN55" s="49"/>
      <c r="LO55" s="49"/>
      <c r="LP55" s="49"/>
      <c r="LQ55" s="49"/>
      <c r="LR55" s="49"/>
      <c r="LS55" s="49"/>
      <c r="LT55" s="49"/>
      <c r="LU55" s="49"/>
      <c r="LV55" s="49"/>
      <c r="LW55" s="49"/>
      <c r="LX55" s="49"/>
    </row>
    <row r="56" spans="1:336" s="1" customFormat="1" ht="14.85" x14ac:dyDescent="0.25">
      <c r="A56" s="7"/>
      <c r="B56" s="36" t="s">
        <v>6</v>
      </c>
      <c r="C56" s="9"/>
      <c r="D56" s="9"/>
      <c r="E56" s="9"/>
      <c r="F56" s="17"/>
      <c r="G56" s="25"/>
      <c r="H56" s="26"/>
      <c r="I56" s="26" t="str">
        <f t="shared" si="207"/>
        <v/>
      </c>
      <c r="J56" s="26" t="str">
        <f ca="1">IF(OR(Milestones4352[[#This Row],[Start]]="",Milestones4352[[#This Row],[Days]]=""),"",(Milestones4352[[#This Row],[Start]]+Milestones4352[[#This Row],[Days]])-TODAY())</f>
        <v/>
      </c>
      <c r="K56" s="9"/>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27"/>
      <c r="FF56" s="27"/>
      <c r="FG56" s="27"/>
      <c r="FH56" s="27"/>
      <c r="FI56" s="27"/>
      <c r="FJ56" s="27"/>
      <c r="FK56" s="27"/>
      <c r="FL56" s="27"/>
      <c r="FM56" s="27"/>
      <c r="FN56" s="27"/>
      <c r="FO56" s="27"/>
      <c r="FP56" s="27"/>
      <c r="FQ56" s="27"/>
      <c r="FR56" s="27"/>
      <c r="FS56" s="27"/>
      <c r="FT56" s="27"/>
      <c r="FU56" s="27"/>
      <c r="FV56" s="27"/>
      <c r="FW56" s="27"/>
      <c r="FX56" s="27"/>
      <c r="FY56" s="27"/>
      <c r="FZ56" s="27"/>
      <c r="GA56" s="27"/>
      <c r="GB56" s="27"/>
      <c r="GC56" s="27"/>
      <c r="GD56" s="27"/>
      <c r="GE56" s="27"/>
      <c r="GF56" s="27"/>
      <c r="GG56" s="27"/>
      <c r="GH56" s="27"/>
      <c r="GI56" s="27"/>
      <c r="GJ56" s="27"/>
      <c r="GK56" s="27"/>
      <c r="GL56" s="27"/>
      <c r="GM56" s="27"/>
      <c r="GN56" s="27"/>
      <c r="GO56" s="27"/>
      <c r="GP56" s="27"/>
      <c r="GQ56" s="27"/>
      <c r="GR56" s="27"/>
      <c r="GS56" s="27"/>
      <c r="GT56" s="27"/>
      <c r="GU56" s="27"/>
      <c r="GV56" s="27"/>
      <c r="GW56" s="27"/>
      <c r="GX56" s="27"/>
      <c r="GY56" s="27"/>
      <c r="GZ56" s="27"/>
      <c r="HA56" s="27"/>
      <c r="HB56" s="27"/>
      <c r="HC56" s="27"/>
      <c r="HD56" s="27"/>
      <c r="HE56" s="27"/>
      <c r="HF56" s="27"/>
      <c r="HG56" s="27"/>
      <c r="HH56" s="27"/>
      <c r="HI56" s="27"/>
      <c r="HJ56" s="27"/>
      <c r="HK56" s="27"/>
      <c r="HL56" s="27"/>
      <c r="HM56" s="27"/>
      <c r="HN56" s="27"/>
      <c r="HO56" s="27"/>
      <c r="HP56" s="27"/>
      <c r="HQ56" s="27"/>
      <c r="HR56" s="27"/>
      <c r="HS56" s="27"/>
      <c r="HT56" s="27"/>
      <c r="HU56" s="27"/>
      <c r="HV56" s="27"/>
      <c r="HW56" s="27"/>
      <c r="HX56" s="27"/>
      <c r="HY56" s="27"/>
      <c r="HZ56" s="27"/>
      <c r="IA56" s="27"/>
      <c r="IB56" s="27"/>
      <c r="IC56" s="27"/>
      <c r="ID56" s="27"/>
      <c r="IE56" s="27"/>
      <c r="IF56" s="27"/>
      <c r="IG56" s="27"/>
      <c r="IH56" s="27"/>
      <c r="II56" s="27"/>
      <c r="IJ56" s="27"/>
      <c r="IK56" s="27"/>
      <c r="IL56" s="27"/>
      <c r="IM56" s="27"/>
      <c r="IN56" s="27"/>
      <c r="IO56" s="27"/>
      <c r="IP56" s="27"/>
      <c r="IQ56" s="27"/>
      <c r="IR56" s="27"/>
      <c r="IS56" s="27"/>
      <c r="IT56" s="27"/>
      <c r="IU56" s="27"/>
      <c r="IV56" s="27"/>
      <c r="IW56" s="27"/>
      <c r="IX56" s="27"/>
      <c r="IY56" s="27"/>
      <c r="IZ56" s="27"/>
      <c r="JA56" s="27"/>
      <c r="JB56" s="27"/>
      <c r="JC56" s="27"/>
      <c r="JD56" s="27"/>
      <c r="JE56" s="27"/>
      <c r="JF56" s="27"/>
      <c r="JG56" s="27"/>
      <c r="JH56" s="27"/>
      <c r="JI56" s="27"/>
      <c r="JJ56" s="27"/>
      <c r="JK56" s="27"/>
      <c r="JL56" s="27"/>
      <c r="JM56" s="27"/>
      <c r="JN56" s="27"/>
      <c r="JO56" s="27"/>
      <c r="JP56" s="27"/>
      <c r="JQ56" s="27"/>
      <c r="JR56" s="27"/>
      <c r="JS56" s="27"/>
      <c r="JT56" s="27"/>
      <c r="JU56" s="27"/>
      <c r="JV56" s="27"/>
      <c r="JW56" s="27"/>
      <c r="JX56" s="27"/>
      <c r="JY56" s="27"/>
      <c r="JZ56" s="27"/>
      <c r="KA56" s="27"/>
      <c r="KB56" s="27"/>
      <c r="KC56" s="27"/>
      <c r="KD56" s="27"/>
      <c r="KE56" s="27"/>
      <c r="KF56" s="27"/>
      <c r="KG56" s="27"/>
      <c r="KH56" s="27"/>
      <c r="KI56" s="27"/>
      <c r="KJ56" s="27"/>
      <c r="KK56" s="27"/>
      <c r="KL56" s="27"/>
      <c r="KM56" s="27"/>
      <c r="KN56" s="27"/>
      <c r="KO56" s="27"/>
      <c r="KP56" s="27"/>
      <c r="KQ56" s="27"/>
      <c r="KR56" s="27"/>
      <c r="KS56" s="27"/>
      <c r="KT56" s="27"/>
      <c r="KU56" s="27"/>
      <c r="KV56" s="27"/>
      <c r="KW56" s="27"/>
      <c r="KX56" s="27"/>
      <c r="KY56" s="27"/>
      <c r="KZ56" s="27"/>
      <c r="LA56" s="27"/>
      <c r="LB56" s="27"/>
      <c r="LC56" s="27"/>
      <c r="LD56" s="27"/>
      <c r="LE56" s="27"/>
      <c r="LF56" s="27"/>
      <c r="LG56" s="27"/>
      <c r="LH56" s="27"/>
      <c r="LI56" s="27"/>
      <c r="LJ56" s="27"/>
      <c r="LK56" s="27"/>
      <c r="LL56" s="27"/>
      <c r="LM56" s="27"/>
      <c r="LN56" s="27"/>
      <c r="LO56" s="27"/>
      <c r="LP56" s="27"/>
      <c r="LQ56" s="27"/>
      <c r="LR56" s="27"/>
      <c r="LS56" s="27"/>
      <c r="LT56" s="27"/>
      <c r="LU56" s="27"/>
      <c r="LV56" s="27"/>
      <c r="LW56" s="27"/>
      <c r="LX56" s="27"/>
    </row>
    <row r="57" spans="1:336" ht="30.1" customHeight="1" x14ac:dyDescent="0.25">
      <c r="D57" s="4"/>
      <c r="E57" s="4"/>
      <c r="H57" s="8"/>
      <c r="I57" s="8"/>
      <c r="J57" s="8"/>
      <c r="K57" s="3"/>
    </row>
    <row r="58" spans="1:336" ht="30.1" customHeight="1" x14ac:dyDescent="0.25">
      <c r="D58" s="5"/>
      <c r="E58" s="5"/>
    </row>
  </sheetData>
  <mergeCells count="7">
    <mergeCell ref="AA5:AD5"/>
    <mergeCell ref="AF5:AI5"/>
    <mergeCell ref="L2:Q2"/>
    <mergeCell ref="R2:W2"/>
    <mergeCell ref="L5:O5"/>
    <mergeCell ref="Q5:T5"/>
    <mergeCell ref="V5:Y5"/>
  </mergeCells>
  <conditionalFormatting sqref="L10:LV10">
    <cfRule type="expression" dxfId="34" priority="20">
      <formula>LEFT(L10,1)="S"</formula>
    </cfRule>
  </conditionalFormatting>
  <conditionalFormatting sqref="L11:LX50">
    <cfRule type="expression" dxfId="33" priority="2" stopIfTrue="1">
      <formula>AND(ROW()&gt;=9, L$10="S")</formula>
    </cfRule>
    <cfRule type="expression" dxfId="32" priority="656">
      <formula>AND($D11="Complete",L$8&gt;=$G11,L$8&lt;=$G11+$H11-1)</formula>
    </cfRule>
  </conditionalFormatting>
  <conditionalFormatting sqref="L11:LX50">
    <cfRule type="expression" dxfId="31" priority="19">
      <formula>AND(TODAY()&gt;=L$8,TODAY()&lt;M$8)</formula>
    </cfRule>
    <cfRule type="expression" dxfId="30" priority="657" stopIfTrue="1">
      <formula>AND($D11="Low Risk",L$8&gt;=$G11,L$8&lt;=$G11+$H11-1)</formula>
    </cfRule>
    <cfRule type="expression" dxfId="29" priority="658" stopIfTrue="1">
      <formula>AND($D11="High Risk",L$8&gt;=$G11,L$8&lt;=$G11+$H11-1)</formula>
    </cfRule>
    <cfRule type="expression" dxfId="28" priority="659" stopIfTrue="1">
      <formula>AND($D11="On Track",L$8&gt;=$G11,L$8&lt;=$G11+$H11-1)</formula>
    </cfRule>
    <cfRule type="expression" dxfId="27" priority="661" stopIfTrue="1">
      <formula>AND($D11="Med Risk",L$8&gt;=$G11,L$8&lt;=$G11+$H11-1)</formula>
    </cfRule>
  </conditionalFormatting>
  <conditionalFormatting sqref="L8:LX50 GF7:GG7 GI7:HI7 HK7 FE7:GD7 CT7:CU7 CW7:DW7 EA7:FB7 DY7 BP7:BQ7 L7:Y7 AA7:AH7 AJ7:BL7 BS7:CP7 HM7:IM7 IO7 IQ7:JP7 JR7:JS7 JU7:LP7 LT7:LX7 LR7">
    <cfRule type="expression" dxfId="26" priority="3">
      <formula>DAY(L$8)=1</formula>
    </cfRule>
  </conditionalFormatting>
  <conditionalFormatting sqref="DW7 IM7">
    <cfRule type="expression" dxfId="25" priority="666">
      <formula>DAY(DZ$8)=1</formula>
    </cfRule>
  </conditionalFormatting>
  <conditionalFormatting sqref="HI7">
    <cfRule type="expression" dxfId="24" priority="668">
      <formula>DAY(HL$8)=1</formula>
    </cfRule>
  </conditionalFormatting>
  <conditionalFormatting sqref="FB7 JR7">
    <cfRule type="expression" dxfId="23" priority="670">
      <formula>DAY(FD$8)=1</formula>
    </cfRule>
  </conditionalFormatting>
  <conditionalFormatting sqref="BN7 GD7">
    <cfRule type="expression" dxfId="22" priority="671">
      <formula>DAY(BR$8)=1</formula>
    </cfRule>
  </conditionalFormatting>
  <conditionalFormatting sqref="BN7 CR7">
    <cfRule type="expression" dxfId="21" priority="673">
      <formula>DAY(BM$8)=1</formula>
    </cfRule>
  </conditionalFormatting>
  <conditionalFormatting sqref="AI7">
    <cfRule type="expression" dxfId="20" priority="675">
      <formula>DAY(Z$8)=1</formula>
    </cfRule>
  </conditionalFormatting>
  <conditionalFormatting sqref="CR7">
    <cfRule type="expression" dxfId="19" priority="676">
      <formula>DAY(CV$8)=1</formula>
    </cfRule>
  </conditionalFormatting>
  <conditionalFormatting sqref="LS7">
    <cfRule type="expression" dxfId="18" priority="678">
      <formula>DAY(LQ$8)=1</formula>
    </cfRule>
  </conditionalFormatting>
  <conditionalFormatting sqref="F12:F50">
    <cfRule type="dataBar" priority="1">
      <dataBar>
        <cfvo type="num" val="0"/>
        <cfvo type="num" val="1"/>
        <color rgb="FF92D050"/>
      </dataBar>
      <extLst>
        <ext xmlns:x14="http://schemas.microsoft.com/office/spreadsheetml/2009/9/main" uri="{B025F937-C7B1-47D3-B67F-A62EFF666E3E}">
          <x14:id>{B196C807-AF64-4A8F-A5CA-CF2AB4B775DB}</x14:id>
        </ext>
      </extLst>
    </cfRule>
  </conditionalFormatting>
  <dataValidations disablePrompts="1" xWindow="24" yWindow="487" count="12">
    <dataValidation type="whole" operator="greaterThanOrEqual" allowBlank="1" showInputMessage="1" promptTitle="Scrolling Increment" prompt="Changing this number will scroll the Gantt Chart view." sqref="C6" xr:uid="{662A47A0-7258-440E-8D71-BC54CBC9C651}">
      <formula1>0</formula1>
    </dataValidation>
    <dataValidation type="list" allowBlank="1" showInputMessage="1" sqref="C11" xr:uid="{218D9212-09C8-4DA2-9014-64503951B170}">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A3" xr:uid="{E4602294-DCCD-4B4D-A916-B5520C80CF80}"/>
    <dataValidation allowBlank="1" showInputMessage="1" showErrorMessage="1" prompt="Enter Company Name in cell B4._x000a_A legend is in cells I4 through AC4.  The Legend label is in cell G4." sqref="A5"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6"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7"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8"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9"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10"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56" xr:uid="{659FD5CB-B62B-4854-B8A9-29F1F70930AC}"/>
    <dataValidation type="list" allowBlank="1" showInputMessage="1" showErrorMessage="1" sqref="C12:C55" xr:uid="{12A8278F-D51D-4B98-A311-DB5FCD18D214}">
      <formula1>"Goal,Milestone,On Track, Low Risk, Med Risk, High Risk"</formula1>
    </dataValidation>
  </dataValidations>
  <printOptions horizontalCentered="1"/>
  <pageMargins left="0.25" right="0.25" top="0.5" bottom="0.5" header="0.3" footer="0.3"/>
  <pageSetup scale="45" fitToHeight="0" orientation="landscape" r:id="rId1"/>
  <headerFooter differentFirst="1" scaleWithDoc="0">
    <oddFooter>Page &amp;P of &amp;N</oddFooter>
  </headerFooter>
  <ignoredErrors>
    <ignoredError sqref="D11:D48" calculatedColumn="1"/>
  </ignoredErrors>
  <tableParts count="1">
    <tablePart r:id="rId2"/>
  </tableParts>
  <extLst>
    <ext xmlns:x14="http://schemas.microsoft.com/office/spreadsheetml/2009/9/main" uri="{78C0D931-6437-407d-A8EE-F0AAD7539E65}">
      <x14:conditionalFormattings>
        <x14:conditionalFormatting xmlns:xm="http://schemas.microsoft.com/office/excel/2006/main">
          <x14:cfRule type="iconSet" priority="647" id="{38F37743-81C4-4603-8F77-4DB511559B64}">
            <x14:iconSet iconSet="3Stars" showValue="0" custom="1">
              <x14:cfvo type="percent">
                <xm:f>0</xm:f>
              </x14:cfvo>
              <x14:cfvo type="num">
                <xm:f>1</xm:f>
              </x14:cfvo>
              <x14:cfvo type="num">
                <xm:f>2</xm:f>
              </x14:cfvo>
              <x14:cfIcon iconSet="NoIcons" iconId="0"/>
              <x14:cfIcon iconSet="3Flags" iconId="1"/>
              <x14:cfIcon iconSet="3Signs" iconId="0"/>
            </x14:iconSet>
          </x14:cfRule>
          <xm:sqref>L11:LX50</xm:sqref>
        </x14:conditionalFormatting>
        <x14:conditionalFormatting xmlns:xm="http://schemas.microsoft.com/office/excel/2006/main">
          <x14:cfRule type="dataBar" id="{B196C807-AF64-4A8F-A5CA-CF2AB4B775DB}">
            <x14:dataBar minLength="0" maxLength="100" gradient="0">
              <x14:cfvo type="num">
                <xm:f>0</xm:f>
              </x14:cfvo>
              <x14:cfvo type="num">
                <xm:f>1</xm:f>
              </x14:cfvo>
              <x14:negativeFillColor rgb="FFFF0000"/>
              <x14:axisColor rgb="FF000000"/>
            </x14:dataBar>
          </x14:cfRule>
          <xm:sqref>F12:F50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Background xmlns="71af3243-3dd4-4a8d-8c0d-dd76da1f02a5">false</Background>
    <Status xmlns="71af3243-3dd4-4a8d-8c0d-dd76da1f02a5">Not started</Status>
    <_ip_UnifiedCompliancePolicyUIAction xmlns="http://schemas.microsoft.com/sharepoint/v3" xsi:nil="true"/>
    <Image xmlns="71af3243-3dd4-4a8d-8c0d-dd76da1f02a5">
      <Url xsi:nil="true"/>
      <Description xsi:nil="true"/>
    </Image>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1AAADB5-F91F-44CE-8CB6-D8472D59D975}">
  <ds:schemaRefs>
    <ds:schemaRef ds:uri="http://schemas.microsoft.com/office/2006/metadata/properties"/>
    <ds:schemaRef ds:uri="http://schemas.microsoft.com/office/infopath/2007/PartnerControls"/>
    <ds:schemaRef ds:uri="71af3243-3dd4-4a8d-8c0d-dd76da1f02a5"/>
    <ds:schemaRef ds:uri="http://schemas.microsoft.com/sharepoint/v3"/>
    <ds:schemaRef ds:uri="230e9df3-be65-4c73-a93b-d1236ebd677e"/>
  </ds:schemaRefs>
</ds:datastoreItem>
</file>

<file path=customXml/itemProps2.xml><?xml version="1.0" encoding="utf-8"?>
<ds:datastoreItem xmlns:ds="http://schemas.openxmlformats.org/officeDocument/2006/customXml" ds:itemID="{A9C5315E-9A69-4EEB-ACCD-0F886FBF12FB}">
  <ds:schemaRefs>
    <ds:schemaRef ds:uri="http://schemas.microsoft.com/sharepoint/v3/contenttype/forms"/>
  </ds:schemaRefs>
</ds:datastoreItem>
</file>

<file path=customXml/itemProps3.xml><?xml version="1.0" encoding="utf-8"?>
<ds:datastoreItem xmlns:ds="http://schemas.openxmlformats.org/officeDocument/2006/customXml" ds:itemID="{CF181E67-B5A5-4E32-9D0A-4494603D7B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Light</vt:lpstr>
      <vt:lpstr>Light!Print_Titles</vt:lpstr>
      <vt:lpstr>Light!Project_Start</vt:lpstr>
      <vt:lpstr>Light!Scrolling_Increment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2023-01-31T06:47:08Z</dcterms:created>
  <dcterms:modified xsi:type="dcterms:W3CDTF">2025-10-19T05:33:39Z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