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ing Jun\Desktop\PSB\Masters\Data_Science_Project\Report\Project management\"/>
    </mc:Choice>
  </mc:AlternateContent>
  <xr:revisionPtr revIDLastSave="0" documentId="13_ncr:1_{20424BC4-5A39-4E39-820B-491E8F97D6AE}" xr6:coauthVersionLast="47" xr6:coauthVersionMax="47" xr10:uidLastSave="{00000000-0000-0000-0000-000000000000}"/>
  <bookViews>
    <workbookView xWindow="-119" yWindow="-119" windowWidth="28741" windowHeight="15543" activeTab="1" xr2:uid="{00000000-000D-0000-FFFF-FFFF00000000}"/>
  </bookViews>
  <sheets>
    <sheet name="Gantt Chart (daily view)" sheetId="13" r:id="rId1"/>
    <sheet name="Gantt Chart (weekly view)" sheetId="9" r:id="rId2"/>
    <sheet name="Gantt Chart (monthly view)" sheetId="12" r:id="rId3"/>
    <sheet name="ProjectTaskList" sheetId="8" r:id="rId4"/>
    <sheet name="Help" sheetId="2" r:id="rId5"/>
    <sheet name="Sheet2" sheetId="10" r:id="rId6"/>
    <sheet name="Sheet3" sheetId="11" r:id="rId7"/>
    <sheet name="Sheet4" sheetId="14" r:id="rId8"/>
  </sheets>
  <definedNames>
    <definedName name="_xlnm.Print_Area" localSheetId="3">ProjectTaskList!$A$1:$M$52</definedName>
    <definedName name="valuevx">42.314159</definedName>
    <definedName name="vertex42_copyright" hidden="1">"© 2017 Vertex42 LLC"</definedName>
    <definedName name="vertex42_id" hidden="1">"project-task-list-with-gantt-chart.xlsx"</definedName>
    <definedName name="vertex42_title" hidden="1">"Project Task List with Gantt Chart"</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13" l="1"/>
  <c r="F22" i="13"/>
  <c r="F21" i="13"/>
  <c r="F20" i="13"/>
  <c r="F19" i="13"/>
  <c r="F18" i="13"/>
  <c r="F17" i="13"/>
  <c r="F16" i="13"/>
  <c r="F15" i="13"/>
  <c r="F14" i="13"/>
  <c r="F13" i="13"/>
  <c r="F12" i="13"/>
  <c r="F11" i="13"/>
  <c r="F10" i="13"/>
  <c r="F9" i="13"/>
  <c r="F8" i="13"/>
  <c r="F7" i="13"/>
  <c r="F6" i="13"/>
  <c r="F5" i="13"/>
  <c r="F4" i="13"/>
  <c r="F3" i="13"/>
  <c r="F2" i="13"/>
  <c r="H5" i="8"/>
  <c r="I5" i="8"/>
  <c r="L5" i="8"/>
  <c r="M5" i="8"/>
  <c r="J5" i="8" s="1"/>
  <c r="K5" i="8" s="1"/>
  <c r="H6" i="8"/>
  <c r="I6" i="8"/>
  <c r="L6" i="8"/>
  <c r="M6" i="8"/>
  <c r="H7" i="8"/>
  <c r="I7" i="8"/>
  <c r="L7" i="8"/>
  <c r="M7" i="8"/>
  <c r="J7" i="8" s="1"/>
  <c r="H8" i="8"/>
  <c r="I8" i="8"/>
  <c r="L8" i="8"/>
  <c r="M8" i="8"/>
  <c r="J8" i="8" s="1"/>
  <c r="H9" i="8"/>
  <c r="I9" i="8"/>
  <c r="L9" i="8"/>
  <c r="M9" i="8"/>
  <c r="H10" i="8"/>
  <c r="I10" i="8" s="1"/>
  <c r="L10" i="8"/>
  <c r="M10" i="8"/>
  <c r="J10" i="8" s="1"/>
  <c r="H11" i="8"/>
  <c r="I11" i="8"/>
  <c r="L11" i="8"/>
  <c r="M11" i="8"/>
  <c r="J11" i="8" s="1"/>
  <c r="H12" i="8"/>
  <c r="I12" i="8"/>
  <c r="L12" i="8"/>
  <c r="M12" i="8"/>
  <c r="J12" i="8" s="1"/>
  <c r="H13" i="8"/>
  <c r="I13" i="8"/>
  <c r="L13" i="8"/>
  <c r="M13" i="8"/>
  <c r="J13" i="8" s="1"/>
  <c r="H14" i="8"/>
  <c r="I14" i="8"/>
  <c r="L14" i="8"/>
  <c r="M14" i="8"/>
  <c r="H15" i="8"/>
  <c r="I15" i="8" s="1"/>
  <c r="L15" i="8"/>
  <c r="M15" i="8"/>
  <c r="J15" i="8" s="1"/>
  <c r="H16" i="8"/>
  <c r="I16" i="8"/>
  <c r="L16" i="8"/>
  <c r="M16" i="8"/>
  <c r="H17" i="8"/>
  <c r="I17" i="8"/>
  <c r="L17" i="8"/>
  <c r="M17" i="8"/>
  <c r="H18" i="8"/>
  <c r="I18" i="8" s="1"/>
  <c r="L18" i="8"/>
  <c r="M18" i="8"/>
  <c r="J18" i="8" s="1"/>
  <c r="H19" i="8"/>
  <c r="I19" i="8" s="1"/>
  <c r="L19" i="8"/>
  <c r="M19" i="8"/>
  <c r="J19" i="8" s="1"/>
  <c r="H20" i="8"/>
  <c r="I20" i="8" s="1"/>
  <c r="L20" i="8"/>
  <c r="M20" i="8"/>
  <c r="J20" i="8" s="1"/>
  <c r="H21" i="8"/>
  <c r="I21" i="8"/>
  <c r="L21" i="8"/>
  <c r="M21" i="8"/>
  <c r="J21" i="8" s="1"/>
  <c r="H22" i="8"/>
  <c r="I22" i="8"/>
  <c r="L22" i="8"/>
  <c r="M22" i="8"/>
  <c r="J22" i="8" s="1"/>
  <c r="H23" i="8"/>
  <c r="I23" i="8"/>
  <c r="L23" i="8"/>
  <c r="M23" i="8"/>
  <c r="H24" i="8"/>
  <c r="I24" i="8" s="1"/>
  <c r="L24" i="8"/>
  <c r="M24" i="8"/>
  <c r="J24" i="8" s="1"/>
  <c r="H25" i="8"/>
  <c r="I25" i="8" s="1"/>
  <c r="L25" i="8"/>
  <c r="M25" i="8"/>
  <c r="J25" i="8" s="1"/>
  <c r="K25" i="8" s="1"/>
  <c r="H26" i="8"/>
  <c r="I26" i="8"/>
  <c r="L26" i="8"/>
  <c r="M26" i="8"/>
  <c r="J26" i="8" s="1"/>
  <c r="F23" i="12"/>
  <c r="F22" i="12"/>
  <c r="F21" i="12"/>
  <c r="F20" i="12"/>
  <c r="F19" i="12"/>
  <c r="F18" i="12"/>
  <c r="F17" i="12"/>
  <c r="F16" i="12"/>
  <c r="F15" i="12"/>
  <c r="F14" i="12"/>
  <c r="F13" i="12"/>
  <c r="F12" i="12"/>
  <c r="F11" i="12"/>
  <c r="F10" i="12"/>
  <c r="F9" i="12"/>
  <c r="F8" i="12"/>
  <c r="F7" i="12"/>
  <c r="F6" i="12"/>
  <c r="F5" i="12"/>
  <c r="F4" i="12"/>
  <c r="F3" i="12"/>
  <c r="F2" i="12"/>
  <c r="H15" i="11"/>
  <c r="G3" i="11"/>
  <c r="H3" i="11"/>
  <c r="G4" i="11"/>
  <c r="H4" i="11"/>
  <c r="G5" i="11"/>
  <c r="H5" i="11"/>
  <c r="G6" i="11"/>
  <c r="H6" i="11"/>
  <c r="G7" i="11"/>
  <c r="H7" i="11"/>
  <c r="G8" i="11"/>
  <c r="H8" i="11"/>
  <c r="G9" i="11"/>
  <c r="H9" i="11"/>
  <c r="G10" i="11"/>
  <c r="H10" i="11"/>
  <c r="G11" i="11"/>
  <c r="H11" i="11"/>
  <c r="G12" i="11"/>
  <c r="H12" i="11"/>
  <c r="G13" i="11"/>
  <c r="H13" i="11"/>
  <c r="G14" i="11"/>
  <c r="H14" i="11"/>
  <c r="G15" i="11"/>
  <c r="G16" i="11"/>
  <c r="H16" i="11"/>
  <c r="G17" i="11"/>
  <c r="H17" i="11"/>
  <c r="G18" i="11"/>
  <c r="H18" i="11"/>
  <c r="G19" i="11"/>
  <c r="H19" i="11"/>
  <c r="G20" i="11"/>
  <c r="H20" i="11"/>
  <c r="G21" i="11"/>
  <c r="H21" i="11"/>
  <c r="G22" i="11"/>
  <c r="H22" i="11"/>
  <c r="G23" i="11"/>
  <c r="H23" i="11"/>
  <c r="H2" i="11"/>
  <c r="G2" i="11"/>
  <c r="F2" i="10"/>
  <c r="F3" i="10"/>
  <c r="F4" i="10"/>
  <c r="F5" i="10"/>
  <c r="F6" i="10"/>
  <c r="F7" i="10"/>
  <c r="F8" i="10"/>
  <c r="F9" i="10"/>
  <c r="F10" i="10"/>
  <c r="F11" i="10"/>
  <c r="F12" i="10"/>
  <c r="F13" i="10"/>
  <c r="F14" i="10"/>
  <c r="F15" i="10"/>
  <c r="F16" i="10"/>
  <c r="F17" i="10"/>
  <c r="F18" i="10"/>
  <c r="F19" i="10"/>
  <c r="F20" i="10"/>
  <c r="F21" i="10"/>
  <c r="F22" i="10"/>
  <c r="F23" i="10"/>
  <c r="F23" i="9"/>
  <c r="F22" i="9"/>
  <c r="F21" i="9"/>
  <c r="F20" i="9"/>
  <c r="F19" i="9"/>
  <c r="F18" i="9"/>
  <c r="F17" i="9"/>
  <c r="F16" i="9"/>
  <c r="F15" i="9"/>
  <c r="F14" i="9"/>
  <c r="F13" i="9"/>
  <c r="F12" i="9"/>
  <c r="F11" i="9"/>
  <c r="F10" i="9"/>
  <c r="F9" i="9"/>
  <c r="F8" i="9"/>
  <c r="F7" i="9"/>
  <c r="F6" i="9"/>
  <c r="F5" i="9"/>
  <c r="F4" i="9"/>
  <c r="F3" i="9"/>
  <c r="F2" i="9"/>
  <c r="K15" i="8" l="1"/>
  <c r="K18" i="8"/>
  <c r="J14" i="8"/>
  <c r="K14" i="8" s="1"/>
  <c r="J17" i="8"/>
  <c r="K17" i="8" s="1"/>
  <c r="K21" i="8"/>
  <c r="K7" i="8"/>
  <c r="K20" i="8"/>
  <c r="K26" i="8"/>
  <c r="K8" i="8"/>
  <c r="J23" i="8"/>
  <c r="K23" i="8" s="1"/>
  <c r="J16" i="8"/>
  <c r="K16" i="8" s="1"/>
  <c r="J6" i="8"/>
  <c r="K6" i="8" s="1"/>
  <c r="K19" i="8"/>
  <c r="J9" i="8"/>
  <c r="K9" i="8" s="1"/>
  <c r="K11" i="8"/>
  <c r="K10" i="8"/>
  <c r="K13" i="8"/>
  <c r="K22" i="8"/>
  <c r="K12" i="8"/>
  <c r="K24" i="8"/>
</calcChain>
</file>

<file path=xl/sharedStrings.xml><?xml version="1.0" encoding="utf-8"?>
<sst xmlns="http://schemas.openxmlformats.org/spreadsheetml/2006/main" count="255" uniqueCount="134">
  <si>
    <t>PRIORITY</t>
  </si>
  <si>
    <t>HELP</t>
  </si>
  <si>
    <t>About</t>
  </si>
  <si>
    <t>Terms of Use</t>
  </si>
  <si>
    <t>Do not submit copies or modifications of this template to any website or online template gallery. Please review the following license agreement to learn how you may or may not use this template. Thank you.</t>
  </si>
  <si>
    <t>This spreadsheet, including all worksheets and associated content is a copyrighted work under the United States and other copyright laws.</t>
  </si>
  <si>
    <t>https://www.vertex42.com/licensing/EULA_privateuse.html</t>
  </si>
  <si>
    <t>Conditional Formatting</t>
  </si>
  <si>
    <t>To edit conditional formatting rules, go to Conditional Formatting &gt; Manage Rules and select "This Worksheet" to see and edit all the rules.</t>
  </si>
  <si>
    <t>Additional Help</t>
  </si>
  <si>
    <t>The link at the top of this worksheet will take you to the web page on vertex42.com that talks about this template.</t>
  </si>
  <si>
    <t>© 2017 Vertex42.com</t>
  </si>
  <si>
    <t>% COMPLETE</t>
  </si>
  <si>
    <t>TASK</t>
  </si>
  <si>
    <t>LOW</t>
  </si>
  <si>
    <t>Project Start</t>
  </si>
  <si>
    <t>START</t>
  </si>
  <si>
    <t>Insert new rows above this one</t>
  </si>
  <si>
    <t>PROJECT</t>
  </si>
  <si>
    <t>ACTUAL END</t>
  </si>
  <si>
    <t>PLAN END</t>
  </si>
  <si>
    <t>Complete</t>
  </si>
  <si>
    <t>Incomplete</t>
  </si>
  <si>
    <t>Slippage</t>
  </si>
  <si>
    <t>Days to Start</t>
  </si>
  <si>
    <t>When you change the Project Start date, you will need to also update the Minimum bound for the X-axis in the gantt chart. Right-click on the x-axis labels in the chart and go to Format Axis.</t>
  </si>
  <si>
    <t>Adjust the Minimum Bound for the X-axis</t>
  </si>
  <si>
    <t>This task list template shows how you can create a gantt chart as a stacked bar chart in Excel. The Project Start date is the first series in the chart, but it is shown as a hidden bar by changing the fill color to None. The Minimum bound for the x-axis should be set to the Project Start date (and that is a manual process - see below).</t>
  </si>
  <si>
    <t>Adding More Rows</t>
  </si>
  <si>
    <t>When you insert new rows, you should insert a blank row, then copy formulas down in the columns with the gray background.</t>
  </si>
  <si>
    <t>The Priority column uses conditional formatting to highlight cells differently based on their text value. If you change the list of items in the Priority drop-down list, then you may need to edit the conditional formatting rule(s) as well.</t>
  </si>
  <si>
    <t>https://www.vertex42.com/ExcelTemplates/task-list-template.html</t>
  </si>
  <si>
    <t>Plan Days</t>
  </si>
  <si>
    <t>Get Gantt Chart Template Pro for Excel</t>
  </si>
  <si>
    <t>Try a better approach to creating Gantt charts in Excel</t>
  </si>
  <si>
    <t>[42]</t>
  </si>
  <si>
    <t>{42}</t>
  </si>
  <si>
    <t>Training a Model on Moral Dilemmas: How AI ‘Thinks’ About Ethics.</t>
  </si>
  <si>
    <t>Lee Ling Jun</t>
  </si>
  <si>
    <t>Phase</t>
  </si>
  <si>
    <t>Task</t>
  </si>
  <si>
    <t>Start Date</t>
  </si>
  <si>
    <t>End Date</t>
  </si>
  <si>
    <t>Estimated Duration (weeks)</t>
  </si>
  <si>
    <t>Notes / Deliverables</t>
  </si>
  <si>
    <t>1. Project Scoping &amp; Background Research</t>
  </si>
  <si>
    <t>Finalize research questions, scope, and hypotheses</t>
  </si>
  <si>
    <t>Sep 2, 2025</t>
  </si>
  <si>
    <t>Sep 15, 2025</t>
  </si>
  <si>
    <t>Define central problem and framing (AI &amp; ethics).</t>
  </si>
  <si>
    <t>Conduct literature review on AI + morality, datasets, interpretability, Chinese Room</t>
  </si>
  <si>
    <t>Sep 9, 2025</t>
  </si>
  <si>
    <t>Sep 30, 2025</t>
  </si>
  <si>
    <t>Build annotated bibliography.</t>
  </si>
  <si>
    <t>Define evaluation metrics and success criteria</t>
  </si>
  <si>
    <t>Sep 25, 2025</t>
  </si>
  <si>
    <t>Oct 5, 2025</t>
  </si>
  <si>
    <t>Draft methodology outline.</t>
  </si>
  <si>
    <t>2. Dataset Design &amp; Collection</t>
  </si>
  <si>
    <t>Choose dataset focus (cross-cultural, uncertainty, etc.)</t>
  </si>
  <si>
    <t>Oct 1, 2025</t>
  </si>
  <si>
    <t>Oct 10, 2025</t>
  </si>
  <si>
    <t>Finalize dataset concept.</t>
  </si>
  <si>
    <t>Collect ethical dilemmas (texts, surveys, cultural sources)</t>
  </si>
  <si>
    <t>Nov 10, 2025</t>
  </si>
  <si>
    <t>Gather raw moral dilemmas.</t>
  </si>
  <si>
    <t>Design annotation schema and label guidelines</t>
  </si>
  <si>
    <t>Oct 20, 2025</t>
  </si>
  <si>
    <t>Nov 5, 2025</t>
  </si>
  <si>
    <t>Define moral categories (fairness, duty, harm).</t>
  </si>
  <si>
    <t>Begin initial annotations / pilot study</t>
  </si>
  <si>
    <t>Nov 25, 2025</t>
  </si>
  <si>
    <t>Test consistency and reliability.</t>
  </si>
  <si>
    <t>3. Model Selection &amp; Setup</t>
  </si>
  <si>
    <t>Choose baseline models (rule-based, shallow)</t>
  </si>
  <si>
    <t>Dec 1, 2025</t>
  </si>
  <si>
    <t>Dec 10, 2025</t>
  </si>
  <si>
    <t>Implement simple baselines.</t>
  </si>
  <si>
    <t>Choose transformer models (LLaMA, GPT, Mistral, etc.)</t>
  </si>
  <si>
    <t>Dec 20, 2025</t>
  </si>
  <si>
    <t>Secure access / compute.</t>
  </si>
  <si>
    <t>Set up training environment (Python, GPUs, libraries)</t>
  </si>
  <si>
    <t>Dec 15, 2025</t>
  </si>
  <si>
    <t>Jan 5, 2026</t>
  </si>
  <si>
    <t>Verify reproducibility setup.</t>
  </si>
  <si>
    <t>4. Training &amp; Fine-tuning</t>
  </si>
  <si>
    <t>Preprocess dataset and tokenization</t>
  </si>
  <si>
    <t>Jan 20, 2026</t>
  </si>
  <si>
    <t>Clean, split, and validate data.</t>
  </si>
  <si>
    <t>Fine-tune baseline models on ETHICS</t>
  </si>
  <si>
    <t>Feb 5, 2026</t>
  </si>
  <si>
    <t>Establish baseline performance.</t>
  </si>
  <si>
    <t>Fine-tune models on your custom dataset</t>
  </si>
  <si>
    <t>Feb 25, 2026</t>
  </si>
  <si>
    <t>Train, log, and verify convergence.</t>
  </si>
  <si>
    <t>Sanity-check and validate model outputs</t>
  </si>
  <si>
    <t>Feb 20, 2026</t>
  </si>
  <si>
    <t>Feb 29, 2026</t>
  </si>
  <si>
    <t>Qualitative inspection of reasoning.</t>
  </si>
  <si>
    <t>5. Evaluation</t>
  </si>
  <si>
    <t>Define and calculate evaluation metrics (accuracy, robustness, bias)</t>
  </si>
  <si>
    <t>Mar 1, 2026</t>
  </si>
  <si>
    <t>Mar 10, 2026</t>
  </si>
  <si>
    <t>Build evaluation scripts.</t>
  </si>
  <si>
    <t>Conduct interpretability analysis (attention, embeddings, interventions)</t>
  </si>
  <si>
    <t>Mar 5, 2026</t>
  </si>
  <si>
    <t>Mar 25, 2026</t>
  </si>
  <si>
    <t>Visualize model reasoning patterns.</t>
  </si>
  <si>
    <t>Cross-cultural or moral uncertainty tests</t>
  </si>
  <si>
    <t>Mar 30, 2026</t>
  </si>
  <si>
    <t>Compare across groups or dilemmas.</t>
  </si>
  <si>
    <t>6. Analysis &amp; Reflection</t>
  </si>
  <si>
    <t>Relate findings to philosophical framing (Chinese Room, etc.)</t>
  </si>
  <si>
    <t>Apr 5, 2026</t>
  </si>
  <si>
    <t>Integrate technical + ethical insights.</t>
  </si>
  <si>
    <t>Identify limitations, biases, implications</t>
  </si>
  <si>
    <t>Apr 1, 2026</t>
  </si>
  <si>
    <t>Apr 10, 2026</t>
  </si>
  <si>
    <t>Draft discussion section.</t>
  </si>
  <si>
    <t>7. Write-up &amp; Presentation</t>
  </si>
  <si>
    <t>Draft report/paper (intro, method, results)</t>
  </si>
  <si>
    <t>Mar 15, 2026</t>
  </si>
  <si>
    <t>Prepare initial manuscript.</t>
  </si>
  <si>
    <t>Create figures, charts (attention maps, embeddings, Gantt chart)</t>
  </si>
  <si>
    <t>Apr 15, 2026</t>
  </si>
  <si>
    <t>Include in appendix or slides.</t>
  </si>
  <si>
    <t>Revise, finalize, and prepare presentation</t>
  </si>
  <si>
    <t>Apr 30, 2026</t>
  </si>
  <si>
    <t>Final thesis/presentation submission.</t>
  </si>
  <si>
    <t>Estimated Duration (days roudup)</t>
  </si>
  <si>
    <t>Estimated Duration (days)</t>
  </si>
  <si>
    <t>Daily</t>
  </si>
  <si>
    <t>weekly</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</si>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</sst>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Arial"/>
      <family val="2"/>
      <scheme val="minor"/>
    </font>
    <font>
      <b/>
      <sz val="20"/>
      <color theme="4" tint="-0.249977111117893"/>
      <name val="Arial"/>
      <family val="2"/>
      <scheme val="major"/>
    </font>
    <font>
      <sz val="10"/>
      <name val="Arial"/>
      <family val="2"/>
      <scheme val="minor"/>
    </font>
    <font>
      <sz val="18"/>
      <name val="Arial"/>
      <family val="2"/>
    </font>
    <font>
      <sz val="10"/>
      <name val="Arial"/>
      <family val="2"/>
    </font>
    <font>
      <b/>
      <sz val="11"/>
      <name val="Arial"/>
      <family val="2"/>
      <scheme val="minor"/>
    </font>
    <font>
      <sz val="11"/>
      <name val="Arial"/>
      <family val="2"/>
    </font>
    <font>
      <u/>
      <sz val="11"/>
      <color indexed="12"/>
      <name val="Arial"/>
      <family val="2"/>
    </font>
    <font>
      <sz val="10"/>
      <color theme="1" tint="0.499984740745262"/>
      <name val="Arial"/>
      <family val="2"/>
      <scheme val="minor"/>
    </font>
    <font>
      <sz val="11"/>
      <color theme="1"/>
      <name val="Arial"/>
      <family val="2"/>
      <scheme val="minor"/>
    </font>
    <font>
      <b/>
      <sz val="11"/>
      <color theme="1"/>
      <name val="Arial"/>
      <family val="2"/>
      <scheme val="minor"/>
    </font>
    <font>
      <b/>
      <u/>
      <sz val="11"/>
      <color rgb="FF0070C0"/>
      <name val="Arial"/>
      <family val="2"/>
    </font>
    <font>
      <sz val="12"/>
      <color theme="1"/>
      <name val="Arial"/>
      <family val="2"/>
      <scheme val="minor"/>
    </font>
    <font>
      <sz val="1"/>
      <color theme="0"/>
      <name val="Arial"/>
      <family val="2"/>
      <scheme val="minor"/>
    </font>
    <font>
      <sz val="18"/>
      <color theme="1"/>
      <name val="Arial"/>
      <family val="2"/>
      <scheme val="minor"/>
    </font>
    <font>
      <b/>
      <sz val="36"/>
      <color theme="1"/>
      <name val="Arial"/>
      <family val="2"/>
      <scheme val="minor"/>
    </font>
    <font>
      <b/>
      <sz val="72"/>
      <name val="Arial"/>
      <family val="2"/>
      <scheme val="major"/>
    </font>
    <font>
      <b/>
      <sz val="72"/>
      <color theme="1"/>
      <name val="Arial"/>
      <family val="2"/>
      <scheme val="minor"/>
    </font>
    <font>
      <sz val="36"/>
      <color theme="1"/>
      <name val="Arial"/>
      <family val="2"/>
      <scheme val="minor"/>
    </font>
    <font>
      <b/>
      <sz val="36"/>
      <color theme="0"/>
      <name val="Arial"/>
      <family val="2"/>
      <scheme val="minor"/>
    </font>
    <font>
      <sz val="36"/>
      <color theme="0"/>
      <name val="Arial"/>
      <family val="2"/>
      <scheme val="minor"/>
    </font>
    <font>
      <sz val="36"/>
      <name val="Arial"/>
      <family val="2"/>
      <scheme val="minor"/>
    </font>
    <font>
      <b/>
      <sz val="45"/>
      <color theme="1"/>
      <name val="Arial"/>
      <family val="2"/>
      <scheme val="minor"/>
    </font>
    <font>
      <b/>
      <sz val="45"/>
      <color theme="0"/>
      <name val="Arial"/>
      <family val="2"/>
      <scheme val="minor"/>
    </font>
    <font>
      <b/>
      <u/>
      <sz val="36"/>
      <color theme="0"/>
      <name val="Arial"/>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4"/>
        <bgColor theme="4"/>
      </patternFill>
    </fill>
    <fill>
      <patternFill patternType="solid">
        <fgColor theme="4"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0" tint="-0.24994659260841701"/>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0" tint="-0.24994659260841701"/>
      </left>
      <right style="medium">
        <color indexed="64"/>
      </right>
      <top/>
      <bottom style="medium">
        <color indexed="64"/>
      </bottom>
      <diagonal/>
    </border>
    <border>
      <left/>
      <right/>
      <top style="medium">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3">
    <xf numFmtId="0" fontId="0" fillId="0" borderId="0"/>
    <xf numFmtId="0" fontId="7" fillId="0" borderId="0" applyNumberFormat="0" applyFill="0" applyBorder="0" applyAlignment="0" applyProtection="0">
      <alignment vertical="top"/>
      <protection locked="0"/>
    </xf>
    <xf numFmtId="9" fontId="9" fillId="0" borderId="0" applyFont="0" applyFill="0" applyBorder="0" applyAlignment="0" applyProtection="0"/>
  </cellStyleXfs>
  <cellXfs count="88">
    <xf numFmtId="0" fontId="0" fillId="0" borderId="0" xfId="0"/>
    <xf numFmtId="0" fontId="1" fillId="0" borderId="0" xfId="0" applyFont="1" applyAlignment="1">
      <alignment horizontal="left"/>
    </xf>
    <xf numFmtId="0" fontId="2" fillId="0" borderId="0" xfId="0" applyFont="1"/>
    <xf numFmtId="0" fontId="3" fillId="2" borderId="0" xfId="0" applyFont="1" applyFill="1" applyAlignment="1">
      <alignment vertical="center"/>
    </xf>
    <xf numFmtId="0" fontId="4" fillId="2" borderId="0" xfId="0" applyFont="1" applyFill="1" applyAlignment="1">
      <alignment horizontal="right" vertical="center"/>
    </xf>
    <xf numFmtId="0" fontId="7" fillId="0" borderId="0" xfId="1" applyAlignment="1" applyProtection="1">
      <alignment horizontal="right" vertical="top"/>
    </xf>
    <xf numFmtId="0" fontId="0" fillId="0" borderId="0" xfId="0" applyAlignment="1">
      <alignment vertical="top"/>
    </xf>
    <xf numFmtId="0" fontId="5" fillId="0" borderId="0" xfId="0" applyFont="1"/>
    <xf numFmtId="0" fontId="0" fillId="0" borderId="0" xfId="0" applyAlignment="1">
      <alignment vertical="top" wrapText="1"/>
    </xf>
    <xf numFmtId="0" fontId="6" fillId="0" borderId="0" xfId="0" applyFont="1" applyAlignment="1">
      <alignment vertical="top" wrapText="1"/>
    </xf>
    <xf numFmtId="0" fontId="7" fillId="0" borderId="0" xfId="1" applyAlignment="1" applyProtection="1">
      <alignment vertical="top"/>
    </xf>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7" fillId="0" borderId="0" xfId="1" applyAlignment="1" applyProtection="1">
      <alignment vertical="center"/>
    </xf>
    <xf numFmtId="0" fontId="8" fillId="0" borderId="0" xfId="0" applyFont="1" applyAlignment="1">
      <alignment vertical="top"/>
    </xf>
    <xf numFmtId="0" fontId="0" fillId="6" borderId="0" xfId="0" applyFill="1" applyAlignment="1">
      <alignment vertical="top" wrapText="1"/>
    </xf>
    <xf numFmtId="0" fontId="11" fillId="6" borderId="0" xfId="1" applyFont="1" applyFill="1" applyAlignment="1" applyProtection="1">
      <alignment horizontal="center" vertical="top" wrapText="1"/>
    </xf>
    <xf numFmtId="0" fontId="12" fillId="6" borderId="0" xfId="0" applyFont="1" applyFill="1" applyAlignment="1">
      <alignment horizontal="center" vertical="top" wrapText="1"/>
    </xf>
    <xf numFmtId="0" fontId="13" fillId="0" borderId="0" xfId="0" applyFont="1"/>
    <xf numFmtId="14" fontId="0" fillId="0" borderId="0" xfId="0" applyNumberFormat="1"/>
    <xf numFmtId="0" fontId="10" fillId="0" borderId="0" xfId="0" applyFont="1" applyAlignment="1">
      <alignment horizontal="center" vertical="center" wrapText="1"/>
    </xf>
    <xf numFmtId="0" fontId="0" fillId="0" borderId="0" xfId="0" applyAlignment="1">
      <alignment vertical="center" wrapText="1"/>
    </xf>
    <xf numFmtId="0" fontId="10" fillId="0" borderId="0" xfId="0" applyFont="1" applyAlignment="1">
      <alignment vertical="center" wrapText="1"/>
    </xf>
    <xf numFmtId="14" fontId="0" fillId="0" borderId="0" xfId="0" applyNumberFormat="1" applyAlignment="1">
      <alignment vertical="center" wrapText="1"/>
    </xf>
    <xf numFmtId="0" fontId="0" fillId="3" borderId="6" xfId="0" applyFill="1" applyBorder="1" applyAlignment="1">
      <alignment horizontal="left" vertical="center" wrapText="1" indent="1"/>
    </xf>
    <xf numFmtId="0" fontId="14" fillId="0" borderId="8" xfId="0" applyFont="1" applyBorder="1" applyAlignment="1">
      <alignment vertical="center" wrapText="1"/>
    </xf>
    <xf numFmtId="0" fontId="14" fillId="0" borderId="9" xfId="0" applyFont="1" applyBorder="1" applyAlignment="1">
      <alignment vertical="center" wrapText="1"/>
    </xf>
    <xf numFmtId="0" fontId="16" fillId="0" borderId="0" xfId="0" applyFont="1" applyAlignment="1">
      <alignment horizontal="left"/>
    </xf>
    <xf numFmtId="0" fontId="17" fillId="0" borderId="0" xfId="0" applyFont="1"/>
    <xf numFmtId="0" fontId="18" fillId="0" borderId="0" xfId="0" applyFont="1"/>
    <xf numFmtId="0" fontId="15" fillId="0" borderId="0" xfId="0" applyFont="1" applyAlignment="1">
      <alignment horizontal="right" vertical="center" indent="1"/>
    </xf>
    <xf numFmtId="14" fontId="18" fillId="0" borderId="0" xfId="0" applyNumberFormat="1" applyFont="1" applyAlignment="1">
      <alignment vertical="center" wrapText="1"/>
    </xf>
    <xf numFmtId="0" fontId="18" fillId="0" borderId="18" xfId="0" applyFont="1" applyBorder="1" applyAlignment="1">
      <alignment vertical="center" wrapText="1"/>
    </xf>
    <xf numFmtId="14" fontId="18" fillId="0" borderId="11" xfId="0" applyNumberFormat="1" applyFont="1" applyBorder="1" applyAlignment="1">
      <alignment vertical="center" wrapText="1"/>
    </xf>
    <xf numFmtId="14" fontId="21" fillId="2" borderId="25" xfId="0" applyNumberFormat="1" applyFont="1" applyFill="1" applyBorder="1" applyAlignment="1">
      <alignment horizontal="center" vertical="center"/>
    </xf>
    <xf numFmtId="0" fontId="21" fillId="2" borderId="25" xfId="0" applyFont="1" applyFill="1" applyBorder="1" applyAlignment="1">
      <alignment horizontal="center" vertical="center"/>
    </xf>
    <xf numFmtId="0" fontId="21" fillId="2" borderId="12" xfId="0" applyFont="1" applyFill="1" applyBorder="1" applyAlignment="1">
      <alignment horizontal="center" vertical="center"/>
    </xf>
    <xf numFmtId="0" fontId="18" fillId="0" borderId="19" xfId="0" applyFont="1" applyBorder="1" applyAlignment="1">
      <alignment vertical="center" wrapText="1"/>
    </xf>
    <xf numFmtId="0" fontId="18" fillId="0" borderId="17" xfId="0" applyFont="1" applyBorder="1" applyAlignment="1">
      <alignment horizontal="left" vertical="center" wrapText="1" indent="1"/>
    </xf>
    <xf numFmtId="14" fontId="18" fillId="0" borderId="13" xfId="0" applyNumberFormat="1" applyFont="1" applyBorder="1" applyAlignment="1">
      <alignment vertical="center" wrapText="1"/>
    </xf>
    <xf numFmtId="14" fontId="21" fillId="2" borderId="1" xfId="0" applyNumberFormat="1" applyFont="1" applyFill="1" applyBorder="1" applyAlignment="1">
      <alignment horizontal="center" vertical="center"/>
    </xf>
    <xf numFmtId="0" fontId="21" fillId="2" borderId="1" xfId="0" applyFont="1" applyFill="1" applyBorder="1" applyAlignment="1">
      <alignment horizontal="center" vertical="center"/>
    </xf>
    <xf numFmtId="0" fontId="21" fillId="2" borderId="14" xfId="0" applyFont="1" applyFill="1" applyBorder="1" applyAlignment="1">
      <alignment horizontal="center" vertical="center"/>
    </xf>
    <xf numFmtId="0" fontId="18" fillId="0" borderId="20" xfId="0" applyFont="1" applyBorder="1" applyAlignment="1">
      <alignment vertical="center" wrapText="1"/>
    </xf>
    <xf numFmtId="14" fontId="18" fillId="0" borderId="15" xfId="0" applyNumberFormat="1" applyFont="1" applyBorder="1" applyAlignment="1">
      <alignment vertical="center" wrapText="1"/>
    </xf>
    <xf numFmtId="14" fontId="21" fillId="2" borderId="26" xfId="0" applyNumberFormat="1" applyFont="1" applyFill="1" applyBorder="1" applyAlignment="1">
      <alignment horizontal="center" vertical="center"/>
    </xf>
    <xf numFmtId="0" fontId="21" fillId="2" borderId="26" xfId="0" applyFont="1" applyFill="1" applyBorder="1" applyAlignment="1">
      <alignment horizontal="center" vertical="center"/>
    </xf>
    <xf numFmtId="0" fontId="21" fillId="2" borderId="16" xfId="0" applyFont="1" applyFill="1" applyBorder="1" applyAlignment="1">
      <alignment horizontal="center" vertical="center"/>
    </xf>
    <xf numFmtId="0" fontId="18" fillId="3" borderId="10" xfId="0" applyFont="1" applyFill="1" applyBorder="1" applyAlignment="1">
      <alignment horizontal="left" vertical="center" indent="1"/>
    </xf>
    <xf numFmtId="14" fontId="18" fillId="3" borderId="10" xfId="0" applyNumberFormat="1" applyFont="1" applyFill="1" applyBorder="1" applyAlignment="1">
      <alignment horizontal="center" vertical="center"/>
    </xf>
    <xf numFmtId="14" fontId="21" fillId="3" borderId="10" xfId="0" applyNumberFormat="1" applyFont="1" applyFill="1" applyBorder="1" applyAlignment="1">
      <alignment horizontal="center" vertical="center"/>
    </xf>
    <xf numFmtId="9" fontId="21" fillId="3" borderId="10" xfId="2" applyFont="1" applyFill="1" applyBorder="1" applyAlignment="1">
      <alignment horizontal="center" vertical="center"/>
    </xf>
    <xf numFmtId="0" fontId="21" fillId="3" borderId="10" xfId="0" applyFont="1" applyFill="1" applyBorder="1" applyAlignment="1">
      <alignment horizontal="center" vertical="center"/>
    </xf>
    <xf numFmtId="0" fontId="21" fillId="3" borderId="21" xfId="0" applyFont="1" applyFill="1" applyBorder="1" applyAlignment="1">
      <alignment horizontal="center" vertical="center"/>
    </xf>
    <xf numFmtId="0" fontId="22" fillId="0" borderId="7" xfId="0" applyFont="1" applyBorder="1" applyAlignment="1">
      <alignment vertical="center" wrapText="1"/>
    </xf>
    <xf numFmtId="0" fontId="23" fillId="5" borderId="7" xfId="0" applyFont="1" applyFill="1" applyBorder="1" applyAlignment="1">
      <alignment horizontal="left" vertical="center" indent="1"/>
    </xf>
    <xf numFmtId="0" fontId="19" fillId="4" borderId="22" xfId="0" applyFont="1" applyFill="1" applyBorder="1" applyAlignment="1">
      <alignment horizontal="center" vertical="center"/>
    </xf>
    <xf numFmtId="14" fontId="21" fillId="2" borderId="3" xfId="0" applyNumberFormat="1" applyFont="1" applyFill="1" applyBorder="1" applyAlignment="1">
      <alignment horizontal="center" vertical="center"/>
    </xf>
    <xf numFmtId="0" fontId="21" fillId="2" borderId="3" xfId="0" applyFont="1" applyFill="1" applyBorder="1" applyAlignment="1">
      <alignment horizontal="center" vertical="center"/>
    </xf>
    <xf numFmtId="0" fontId="21" fillId="2" borderId="27" xfId="0" applyFont="1" applyFill="1" applyBorder="1" applyAlignment="1">
      <alignment horizontal="center" vertical="center"/>
    </xf>
    <xf numFmtId="0" fontId="18" fillId="0" borderId="28" xfId="0" applyFont="1" applyBorder="1" applyAlignment="1">
      <alignment horizontal="left" vertical="center" wrapText="1" indent="1"/>
    </xf>
    <xf numFmtId="0" fontId="18" fillId="0" borderId="29" xfId="0" applyFont="1" applyBorder="1" applyAlignment="1">
      <alignment horizontal="left" vertical="center" wrapText="1" indent="1"/>
    </xf>
    <xf numFmtId="0" fontId="18" fillId="0" borderId="23" xfId="0" applyFont="1" applyBorder="1" applyAlignment="1">
      <alignment vertical="center" wrapText="1"/>
    </xf>
    <xf numFmtId="0" fontId="18" fillId="0" borderId="30" xfId="0" applyFont="1" applyBorder="1" applyAlignment="1">
      <alignment horizontal="left" vertical="center" wrapText="1" indent="1"/>
    </xf>
    <xf numFmtId="14" fontId="21" fillId="2" borderId="31" xfId="0" applyNumberFormat="1" applyFont="1" applyFill="1" applyBorder="1" applyAlignment="1">
      <alignment horizontal="center" vertical="center"/>
    </xf>
    <xf numFmtId="0" fontId="21" fillId="2" borderId="31" xfId="0" applyFont="1" applyFill="1" applyBorder="1" applyAlignment="1">
      <alignment horizontal="center" vertical="center"/>
    </xf>
    <xf numFmtId="0" fontId="21" fillId="2" borderId="24" xfId="0" applyFont="1" applyFill="1" applyBorder="1" applyAlignment="1">
      <alignment horizontal="center" vertical="center"/>
    </xf>
    <xf numFmtId="0" fontId="24" fillId="5" borderId="2" xfId="0" applyFont="1" applyFill="1" applyBorder="1" applyAlignment="1">
      <alignment horizontal="center" vertical="center"/>
    </xf>
    <xf numFmtId="0" fontId="19" fillId="5" borderId="32"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20" fillId="5" borderId="34" xfId="0" applyFont="1" applyFill="1" applyBorder="1" applyAlignment="1">
      <alignment horizontal="center" vertical="center" wrapText="1"/>
    </xf>
    <xf numFmtId="14" fontId="18" fillId="0" borderId="1" xfId="0" applyNumberFormat="1" applyFont="1" applyBorder="1" applyAlignment="1">
      <alignment vertical="center" wrapText="1"/>
    </xf>
    <xf numFmtId="0" fontId="19" fillId="4" borderId="35" xfId="0" applyFont="1" applyFill="1" applyBorder="1" applyAlignment="1">
      <alignment horizontal="center" vertical="center" wrapText="1"/>
    </xf>
    <xf numFmtId="9" fontId="21" fillId="0" borderId="4" xfId="2" applyFont="1" applyFill="1" applyBorder="1" applyAlignment="1">
      <alignment horizontal="center" vertical="center"/>
    </xf>
    <xf numFmtId="9" fontId="21" fillId="0" borderId="5" xfId="2" applyFont="1" applyFill="1" applyBorder="1" applyAlignment="1">
      <alignment horizontal="center" vertical="center"/>
    </xf>
    <xf numFmtId="9" fontId="21" fillId="0" borderId="36" xfId="2" applyFont="1" applyFill="1" applyBorder="1" applyAlignment="1">
      <alignment horizontal="center" vertical="center"/>
    </xf>
    <xf numFmtId="9" fontId="21" fillId="0" borderId="37" xfId="2" applyFont="1" applyFill="1" applyBorder="1" applyAlignment="1">
      <alignment horizontal="center" vertical="center"/>
    </xf>
    <xf numFmtId="9" fontId="21" fillId="0" borderId="38" xfId="2" applyFont="1" applyFill="1" applyBorder="1" applyAlignment="1">
      <alignment horizontal="center" vertical="center"/>
    </xf>
    <xf numFmtId="0" fontId="19" fillId="5" borderId="33" xfId="0" applyFont="1" applyFill="1" applyBorder="1" applyAlignment="1">
      <alignment horizontal="center" vertical="center" wrapText="1"/>
    </xf>
    <xf numFmtId="0" fontId="19" fillId="5" borderId="34" xfId="0" applyFont="1" applyFill="1" applyBorder="1" applyAlignment="1">
      <alignment horizontal="center" vertical="center" wrapText="1"/>
    </xf>
    <xf numFmtId="14" fontId="18" fillId="0" borderId="25" xfId="0" applyNumberFormat="1" applyFont="1" applyBorder="1" applyAlignment="1">
      <alignment vertical="center" wrapText="1"/>
    </xf>
    <xf numFmtId="14" fontId="18" fillId="0" borderId="12" xfId="0" applyNumberFormat="1" applyFont="1" applyBorder="1" applyAlignment="1">
      <alignment vertical="center" wrapText="1"/>
    </xf>
    <xf numFmtId="14" fontId="21" fillId="0" borderId="14" xfId="0" applyNumberFormat="1" applyFont="1" applyBorder="1" applyAlignment="1">
      <alignment horizontal="center" vertical="center"/>
    </xf>
    <xf numFmtId="14" fontId="18" fillId="0" borderId="26" xfId="0" applyNumberFormat="1" applyFont="1" applyBorder="1" applyAlignment="1">
      <alignment vertical="center" wrapText="1"/>
    </xf>
    <xf numFmtId="14" fontId="21" fillId="0" borderId="16" xfId="0" applyNumberFormat="1" applyFont="1" applyBorder="1" applyAlignment="1">
      <alignment horizontal="center" vertical="center"/>
    </xf>
    <xf numFmtId="14" fontId="21" fillId="0" borderId="12" xfId="0" applyNumberFormat="1" applyFont="1" applyBorder="1" applyAlignment="1">
      <alignment horizontal="center" vertical="center"/>
    </xf>
    <xf numFmtId="0" fontId="0" fillId="0" borderId="0" xfId="0" applyAlignment="1">
      <alignment horizontal="center" vertical="center"/>
    </xf>
  </cellXfs>
  <cellStyles count="3">
    <cellStyle name="Hyperlink" xfId="1" builtinId="8" customBuiltin="1"/>
    <cellStyle name="Normal" xfId="0" builtinId="0"/>
    <cellStyle name="Percent" xfId="2" builtinId="5"/>
  </cellStyles>
  <dxfs count="12">
    <dxf>
      <font>
        <color rgb="FF9C0006"/>
      </font>
      <fill>
        <patternFill>
          <bgColor rgb="FFFFC7CE"/>
        </patternFill>
      </fill>
    </dxf>
    <dxf>
      <font>
        <color rgb="FF9C5700"/>
      </font>
      <fill>
        <patternFill>
          <bgColor rgb="FFFFEB9C"/>
        </patternFill>
      </fill>
    </dxf>
    <dxf>
      <font>
        <color rgb="FF006100"/>
      </font>
      <fill>
        <patternFill>
          <bgColor rgb="FFC6EFCE"/>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2" defaultTableStyle="TableStyleMedium2" defaultPivotStyle="PivotStyleLight16">
    <tableStyle name="Invisible" pivot="0" table="0" count="0" xr9:uid="{2073864A-197E-4405-AEEA-612BC929274A}"/>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mruColors>
      <color rgb="FF99C6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ProjectTaskList!$A$1</c:f>
          <c:strCache>
            <c:ptCount val="1"/>
            <c:pt idx="0">
              <c:v>Training a Model on Moral Dilemmas: How AI ‘Thinks’ About Ethics.</c:v>
            </c:pt>
          </c:strCache>
        </c:strRef>
      </c:tx>
      <c:layout>
        <c:manualLayout>
          <c:xMode val="edge"/>
          <c:yMode val="edge"/>
          <c:x val="1.2009374913080035E-2"/>
          <c:y val="2.8185548439284069E-2"/>
        </c:manualLayout>
      </c:layout>
      <c:overlay val="0"/>
      <c:spPr>
        <a:noFill/>
        <a:ln>
          <a:noFill/>
        </a:ln>
        <a:effectLst/>
      </c:spPr>
      <c:txPr>
        <a:bodyPr rot="0" spcFirstLastPara="1" vertOverflow="ellipsis" vert="horz" wrap="square" anchor="ctr" anchorCtr="1"/>
        <a:lstStyle/>
        <a:p>
          <a:pPr>
            <a:defRPr sz="13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8943801380897405"/>
          <c:y val="0.13718621184371552"/>
          <c:w val="0.7277902181433572"/>
          <c:h val="0.8346074377203373"/>
        </c:manualLayout>
      </c:layout>
      <c:barChart>
        <c:barDir val="bar"/>
        <c:grouping val="stacked"/>
        <c:varyColors val="0"/>
        <c:ser>
          <c:idx val="0"/>
          <c:order val="0"/>
          <c:tx>
            <c:strRef>
              <c:f>ProjectTaskList!$H$4</c:f>
              <c:strCache>
                <c:ptCount val="1"/>
                <c:pt idx="0">
                  <c:v>Project Start</c:v>
                </c:pt>
              </c:strCache>
            </c:strRef>
          </c:tx>
          <c:spPr>
            <a:no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ProjectTaskList!$H$5:$H$27</c:f>
              <c:numCache>
                <c:formatCode>m/d/yyyy</c:formatCode>
                <c:ptCount val="23"/>
                <c:pt idx="0">
                  <c:v>45921</c:v>
                </c:pt>
                <c:pt idx="1">
                  <c:v>45921</c:v>
                </c:pt>
                <c:pt idx="2">
                  <c:v>45921</c:v>
                </c:pt>
                <c:pt idx="3">
                  <c:v>45921</c:v>
                </c:pt>
                <c:pt idx="4">
                  <c:v>45921</c:v>
                </c:pt>
                <c:pt idx="5">
                  <c:v>45921</c:v>
                </c:pt>
                <c:pt idx="6">
                  <c:v>45921</c:v>
                </c:pt>
                <c:pt idx="7">
                  <c:v>45921</c:v>
                </c:pt>
                <c:pt idx="8">
                  <c:v>45921</c:v>
                </c:pt>
                <c:pt idx="9">
                  <c:v>45921</c:v>
                </c:pt>
                <c:pt idx="10">
                  <c:v>45921</c:v>
                </c:pt>
                <c:pt idx="11">
                  <c:v>45921</c:v>
                </c:pt>
                <c:pt idx="12">
                  <c:v>45921</c:v>
                </c:pt>
                <c:pt idx="13">
                  <c:v>45921</c:v>
                </c:pt>
                <c:pt idx="14">
                  <c:v>45921</c:v>
                </c:pt>
                <c:pt idx="15">
                  <c:v>45921</c:v>
                </c:pt>
                <c:pt idx="16">
                  <c:v>45921</c:v>
                </c:pt>
                <c:pt idx="17">
                  <c:v>45921</c:v>
                </c:pt>
                <c:pt idx="18">
                  <c:v>45921</c:v>
                </c:pt>
                <c:pt idx="19">
                  <c:v>45921</c:v>
                </c:pt>
                <c:pt idx="20">
                  <c:v>45921</c:v>
                </c:pt>
                <c:pt idx="21">
                  <c:v>45921</c:v>
                </c:pt>
              </c:numCache>
            </c:numRef>
          </c:val>
          <c:extLst>
            <c:ext xmlns:c16="http://schemas.microsoft.com/office/drawing/2014/chart" uri="{C3380CC4-5D6E-409C-BE32-E72D297353CC}">
              <c16:uniqueId val="{00000000-5176-4430-B15A-E3FEBFCA60ED}"/>
            </c:ext>
          </c:extLst>
        </c:ser>
        <c:ser>
          <c:idx val="1"/>
          <c:order val="1"/>
          <c:tx>
            <c:strRef>
              <c:f>ProjectTaskList!$I$4</c:f>
              <c:strCache>
                <c:ptCount val="1"/>
                <c:pt idx="0">
                  <c:v>Days to Start</c:v>
                </c:pt>
              </c:strCache>
            </c:strRef>
          </c:tx>
          <c:spPr>
            <a:no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ProjectTaskList!$I$5:$I$27</c:f>
              <c:numCache>
                <c:formatCode>General</c:formatCode>
                <c:ptCount val="23"/>
                <c:pt idx="0">
                  <c:v>0</c:v>
                </c:pt>
                <c:pt idx="1">
                  <c:v>7</c:v>
                </c:pt>
                <c:pt idx="2">
                  <c:v>23</c:v>
                </c:pt>
                <c:pt idx="3">
                  <c:v>29</c:v>
                </c:pt>
                <c:pt idx="4">
                  <c:v>38</c:v>
                </c:pt>
                <c:pt idx="5">
                  <c:v>48</c:v>
                </c:pt>
                <c:pt idx="6">
                  <c:v>64</c:v>
                </c:pt>
                <c:pt idx="7">
                  <c:v>90</c:v>
                </c:pt>
                <c:pt idx="8">
                  <c:v>99</c:v>
                </c:pt>
                <c:pt idx="9">
                  <c:v>104</c:v>
                </c:pt>
                <c:pt idx="10">
                  <c:v>125</c:v>
                </c:pt>
                <c:pt idx="11">
                  <c:v>140</c:v>
                </c:pt>
                <c:pt idx="12">
                  <c:v>156</c:v>
                </c:pt>
                <c:pt idx="13">
                  <c:v>171</c:v>
                </c:pt>
                <c:pt idx="14">
                  <c:v>180</c:v>
                </c:pt>
                <c:pt idx="15">
                  <c:v>184</c:v>
                </c:pt>
                <c:pt idx="16">
                  <c:v>189</c:v>
                </c:pt>
                <c:pt idx="17">
                  <c:v>204</c:v>
                </c:pt>
                <c:pt idx="18">
                  <c:v>211</c:v>
                </c:pt>
                <c:pt idx="19">
                  <c:v>194</c:v>
                </c:pt>
                <c:pt idx="20">
                  <c:v>204</c:v>
                </c:pt>
                <c:pt idx="21">
                  <c:v>220</c:v>
                </c:pt>
              </c:numCache>
            </c:numRef>
          </c:val>
          <c:extLst>
            <c:ext xmlns:c16="http://schemas.microsoft.com/office/drawing/2014/chart" uri="{C3380CC4-5D6E-409C-BE32-E72D297353CC}">
              <c16:uniqueId val="{00000001-5176-4430-B15A-E3FEBFCA60ED}"/>
            </c:ext>
          </c:extLst>
        </c:ser>
        <c:ser>
          <c:idx val="2"/>
          <c:order val="2"/>
          <c:tx>
            <c:strRef>
              <c:f>ProjectTaskList!$J$4</c:f>
              <c:strCache>
                <c:ptCount val="1"/>
                <c:pt idx="0">
                  <c:v>Complete</c:v>
                </c:pt>
              </c:strCache>
            </c:strRef>
          </c:tx>
          <c:spPr>
            <a:solidFill>
              <a:srgbClr val="99C662"/>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ProjectTaskList!$J$5:$J$27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2-5176-4430-B15A-E3FEBFCA60ED}"/>
            </c:ext>
          </c:extLst>
        </c:ser>
        <c:ser>
          <c:idx val="3"/>
          <c:order val="3"/>
          <c:tx>
            <c:strRef>
              <c:f>ProjectTaskList!$K$4</c:f>
              <c:strCache>
                <c:ptCount val="1"/>
                <c:pt idx="0">
                  <c:v>Incomplete</c:v>
                </c:pt>
              </c:strCache>
            </c:strRef>
          </c:tx>
          <c:spPr>
            <a:solidFill>
              <a:schemeClr val="accent2">
                <a:lumMod val="40000"/>
                <a:lumOff val="60000"/>
              </a:schemeClr>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ProjectTaskList!$K$5:$K$27</c:f>
              <c:numCache>
                <c:formatCode>General</c:formatCode>
                <c:ptCount val="23"/>
                <c:pt idx="0">
                  <c:v>13</c:v>
                </c:pt>
                <c:pt idx="1">
                  <c:v>21</c:v>
                </c:pt>
                <c:pt idx="2">
                  <c:v>10</c:v>
                </c:pt>
                <c:pt idx="3">
                  <c:v>9</c:v>
                </c:pt>
                <c:pt idx="4">
                  <c:v>31</c:v>
                </c:pt>
                <c:pt idx="5">
                  <c:v>16</c:v>
                </c:pt>
                <c:pt idx="6">
                  <c:v>20</c:v>
                </c:pt>
                <c:pt idx="7">
                  <c:v>9</c:v>
                </c:pt>
                <c:pt idx="8">
                  <c:v>10</c:v>
                </c:pt>
                <c:pt idx="9">
                  <c:v>21</c:v>
                </c:pt>
                <c:pt idx="10">
                  <c:v>15</c:v>
                </c:pt>
                <c:pt idx="11">
                  <c:v>16</c:v>
                </c:pt>
                <c:pt idx="12">
                  <c:v>20</c:v>
                </c:pt>
                <c:pt idx="13">
                  <c:v>9</c:v>
                </c:pt>
                <c:pt idx="14">
                  <c:v>4</c:v>
                </c:pt>
                <c:pt idx="15">
                  <c:v>20</c:v>
                </c:pt>
                <c:pt idx="16">
                  <c:v>20</c:v>
                </c:pt>
                <c:pt idx="17">
                  <c:v>11</c:v>
                </c:pt>
                <c:pt idx="18">
                  <c:v>9</c:v>
                </c:pt>
                <c:pt idx="19">
                  <c:v>26</c:v>
                </c:pt>
                <c:pt idx="20">
                  <c:v>21</c:v>
                </c:pt>
                <c:pt idx="21">
                  <c:v>20</c:v>
                </c:pt>
              </c:numCache>
            </c:numRef>
          </c:val>
          <c:extLst>
            <c:ext xmlns:c16="http://schemas.microsoft.com/office/drawing/2014/chart" uri="{C3380CC4-5D6E-409C-BE32-E72D297353CC}">
              <c16:uniqueId val="{00000003-5176-4430-B15A-E3FEBFCA60ED}"/>
            </c:ext>
          </c:extLst>
        </c:ser>
        <c:ser>
          <c:idx val="4"/>
          <c:order val="4"/>
          <c:tx>
            <c:strRef>
              <c:f>ProjectTaskList!$L$4</c:f>
              <c:strCache>
                <c:ptCount val="1"/>
                <c:pt idx="0">
                  <c:v>Slippage</c:v>
                </c:pt>
              </c:strCache>
            </c:strRef>
          </c:tx>
          <c:spPr>
            <a:solidFill>
              <a:schemeClr val="accent2"/>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ProjectTaskList!$L$5:$L$27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4-5176-4430-B15A-E3FEBFCA60ED}"/>
            </c:ext>
          </c:extLst>
        </c:ser>
        <c:dLbls>
          <c:showLegendKey val="0"/>
          <c:showVal val="0"/>
          <c:showCatName val="0"/>
          <c:showSerName val="0"/>
          <c:showPercent val="0"/>
          <c:showBubbleSize val="0"/>
        </c:dLbls>
        <c:gapWidth val="20"/>
        <c:overlap val="100"/>
        <c:axId val="500243952"/>
        <c:axId val="500240344"/>
      </c:barChart>
      <c:catAx>
        <c:axId val="500243952"/>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7200" b="1" i="0" u="none" strike="noStrike" kern="1200" baseline="0">
                <a:solidFill>
                  <a:sysClr val="windowText" lastClr="000000"/>
                </a:solidFill>
                <a:latin typeface="+mn-lt"/>
                <a:ea typeface="+mn-ea"/>
                <a:cs typeface="+mn-cs"/>
              </a:defRPr>
            </a:pPr>
            <a:endParaRPr lang="en-US"/>
          </a:p>
        </c:txPr>
        <c:crossAx val="500240344"/>
        <c:crosses val="autoZero"/>
        <c:auto val="1"/>
        <c:lblAlgn val="ctr"/>
        <c:lblOffset val="100"/>
        <c:tickLblSkip val="1"/>
        <c:noMultiLvlLbl val="0"/>
      </c:catAx>
      <c:valAx>
        <c:axId val="500240344"/>
        <c:scaling>
          <c:orientation val="minMax"/>
          <c:min val="45921"/>
        </c:scaling>
        <c:delete val="0"/>
        <c:axPos val="t"/>
        <c:majorGridlines>
          <c:spPr>
            <a:ln w="9525" cap="flat" cmpd="sng" algn="ctr">
              <a:solidFill>
                <a:schemeClr val="bg1">
                  <a:lumMod val="75000"/>
                </a:schemeClr>
              </a:solidFill>
              <a:prstDash val="dash"/>
              <a:round/>
            </a:ln>
            <a:effectLst/>
          </c:spPr>
        </c:majorGridlines>
        <c:title>
          <c:tx>
            <c:rich>
              <a:bodyPr rot="0" spcFirstLastPara="1" vertOverflow="ellipsis" vert="horz" wrap="square" anchor="ctr" anchorCtr="1"/>
              <a:lstStyle/>
              <a:p>
                <a:pPr>
                  <a:defRPr sz="9600" b="1" i="0" u="none" strike="noStrike" kern="1200" baseline="0">
                    <a:solidFill>
                      <a:sysClr val="windowText" lastClr="000000"/>
                    </a:solidFill>
                    <a:latin typeface="+mn-lt"/>
                    <a:ea typeface="+mn-ea"/>
                    <a:cs typeface="+mn-cs"/>
                  </a:defRPr>
                </a:pPr>
                <a:r>
                  <a:rPr lang="en-SG" sz="9600" b="1"/>
                  <a:t>Date (Daily)</a:t>
                </a:r>
              </a:p>
            </c:rich>
          </c:tx>
          <c:layout>
            <c:manualLayout>
              <c:xMode val="edge"/>
              <c:yMode val="edge"/>
              <c:x val="0.5888388922687624"/>
              <c:y val="9.3369812070393285E-2"/>
            </c:manualLayout>
          </c:layout>
          <c:overlay val="0"/>
          <c:spPr>
            <a:noFill/>
            <a:ln>
              <a:noFill/>
            </a:ln>
            <a:effectLst/>
          </c:spPr>
          <c:txPr>
            <a:bodyPr rot="0" spcFirstLastPara="1" vertOverflow="ellipsis" vert="horz" wrap="square" anchor="ctr" anchorCtr="1"/>
            <a:lstStyle/>
            <a:p>
              <a:pPr>
                <a:defRPr sz="9600" b="1" i="0" u="none" strike="noStrike" kern="1200" baseline="0">
                  <a:solidFill>
                    <a:sysClr val="windowText" lastClr="000000"/>
                  </a:solidFill>
                  <a:latin typeface="+mn-lt"/>
                  <a:ea typeface="+mn-ea"/>
                  <a:cs typeface="+mn-cs"/>
                </a:defRPr>
              </a:pPr>
              <a:endParaRPr lang="en-US"/>
            </a:p>
          </c:txPr>
        </c:title>
        <c:numFmt formatCode="dd/mm" sourceLinked="0"/>
        <c:majorTickMark val="in"/>
        <c:minorTickMark val="none"/>
        <c:tickLblPos val="nextTo"/>
        <c:spPr>
          <a:noFill/>
          <a:ln>
            <a:solidFill>
              <a:schemeClr val="tx1"/>
            </a:solidFill>
          </a:ln>
          <a:effectLst/>
        </c:spPr>
        <c:txPr>
          <a:bodyPr rot="0" spcFirstLastPara="1" vertOverflow="ellipsis" wrap="square" anchor="t" anchorCtr="0"/>
          <a:lstStyle/>
          <a:p>
            <a:pPr>
              <a:defRPr sz="1500" b="1" i="0" u="none" strike="noStrike" kern="1200" baseline="0">
                <a:solidFill>
                  <a:sysClr val="windowText" lastClr="000000"/>
                </a:solidFill>
                <a:latin typeface="+mn-lt"/>
                <a:ea typeface="+mn-ea"/>
                <a:cs typeface="+mn-cs"/>
              </a:defRPr>
            </a:pPr>
            <a:endParaRPr lang="en-US"/>
          </a:p>
        </c:txPr>
        <c:crossAx val="500243952"/>
        <c:crosses val="autoZero"/>
        <c:crossBetween val="between"/>
        <c:majorUnit val="1"/>
        <c:minorUnit val="1"/>
      </c:valAx>
      <c:spPr>
        <a:noFill/>
        <a:ln>
          <a:solidFill>
            <a:schemeClr val="tx1"/>
          </a:solidFill>
          <a:prstDash val="dash"/>
        </a:ln>
        <a:effectLst/>
      </c:spPr>
    </c:plotArea>
    <c:legend>
      <c:legendPos val="t"/>
      <c:legendEntry>
        <c:idx val="0"/>
        <c:delete val="1"/>
      </c:legendEntry>
      <c:legendEntry>
        <c:idx val="1"/>
        <c:delete val="1"/>
      </c:legendEntry>
      <c:layout>
        <c:manualLayout>
          <c:xMode val="edge"/>
          <c:yMode val="edge"/>
          <c:x val="0.71851732017099401"/>
          <c:y val="1.8085106382978729E-2"/>
          <c:w val="0.27470906541980128"/>
          <c:h val="5.9356137064853043E-2"/>
        </c:manualLayout>
      </c:layout>
      <c:overlay val="0"/>
      <c:spPr>
        <a:solidFill>
          <a:sysClr val="window" lastClr="FFFFFF"/>
        </a:solidFill>
        <a:ln>
          <a:noFill/>
        </a:ln>
        <a:effectLst/>
      </c:spPr>
      <c:txPr>
        <a:bodyPr rot="0" spcFirstLastPara="1" vertOverflow="ellipsis" vert="horz" wrap="square" anchor="ctr" anchorCtr="1"/>
        <a:lstStyle/>
        <a:p>
          <a:pPr>
            <a:defRPr sz="11500" b="0" i="0" u="none" strike="noStrike" kern="1200" baseline="0">
              <a:solidFill>
                <a:sysClr val="windowText" lastClr="000000"/>
              </a:solidFill>
              <a:latin typeface="+mn-lt"/>
              <a:ea typeface="+mn-ea"/>
              <a:cs typeface="+mn-cs"/>
            </a:defRPr>
          </a:pPr>
          <a:endParaRPr lang="en-US"/>
        </a:p>
      </c:txPr>
    </c:legend>
    <c:plotVisOnly val="0"/>
    <c:dispBlanksAs val="gap"/>
    <c:showDLblsOverMax val="0"/>
  </c:chart>
  <c:spPr>
    <a:solidFill>
      <a:schemeClr val="bg1"/>
    </a:solidFill>
    <a:ln w="9525" cap="flat" cmpd="sng" algn="ctr">
      <a:noFill/>
      <a:round/>
    </a:ln>
    <a:effectLst/>
  </c:spPr>
  <c:txPr>
    <a:bodyPr/>
    <a:lstStyle/>
    <a:p>
      <a:pPr>
        <a:defRPr sz="4000" baseline="0">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ProjectTaskList!$A$1</c:f>
          <c:strCache>
            <c:ptCount val="1"/>
            <c:pt idx="0">
              <c:v>Training a Model on Moral Dilemmas: How AI ‘Thinks’ About Ethics.</c:v>
            </c:pt>
          </c:strCache>
        </c:strRef>
      </c:tx>
      <c:layout>
        <c:manualLayout>
          <c:xMode val="edge"/>
          <c:yMode val="edge"/>
          <c:x val="1.2009374913080035E-2"/>
          <c:y val="2.8185548439284069E-2"/>
        </c:manualLayout>
      </c:layout>
      <c:overlay val="0"/>
      <c:spPr>
        <a:noFill/>
        <a:ln>
          <a:noFill/>
        </a:ln>
        <a:effectLst/>
      </c:spPr>
      <c:txPr>
        <a:bodyPr rot="0" spcFirstLastPara="1" vertOverflow="ellipsis" vert="horz" wrap="square" anchor="ctr" anchorCtr="1"/>
        <a:lstStyle/>
        <a:p>
          <a:pPr>
            <a:defRPr sz="66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8943801380897405"/>
          <c:y val="0.13718621184371552"/>
          <c:w val="0.7277902181433572"/>
          <c:h val="0.8346074377203373"/>
        </c:manualLayout>
      </c:layout>
      <c:barChart>
        <c:barDir val="bar"/>
        <c:grouping val="stacked"/>
        <c:varyColors val="0"/>
        <c:ser>
          <c:idx val="0"/>
          <c:order val="0"/>
          <c:tx>
            <c:strRef>
              <c:f>ProjectTaskList!$H$4</c:f>
              <c:strCache>
                <c:ptCount val="1"/>
                <c:pt idx="0">
                  <c:v>Project Start</c:v>
                </c:pt>
              </c:strCache>
            </c:strRef>
          </c:tx>
          <c:spPr>
            <a:no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ProjectTaskList!$H$5:$H$27</c:f>
              <c:numCache>
                <c:formatCode>m/d/yyyy</c:formatCode>
                <c:ptCount val="23"/>
                <c:pt idx="0">
                  <c:v>45921</c:v>
                </c:pt>
                <c:pt idx="1">
                  <c:v>45921</c:v>
                </c:pt>
                <c:pt idx="2">
                  <c:v>45921</c:v>
                </c:pt>
                <c:pt idx="3">
                  <c:v>45921</c:v>
                </c:pt>
                <c:pt idx="4">
                  <c:v>45921</c:v>
                </c:pt>
                <c:pt idx="5">
                  <c:v>45921</c:v>
                </c:pt>
                <c:pt idx="6">
                  <c:v>45921</c:v>
                </c:pt>
                <c:pt idx="7">
                  <c:v>45921</c:v>
                </c:pt>
                <c:pt idx="8">
                  <c:v>45921</c:v>
                </c:pt>
                <c:pt idx="9">
                  <c:v>45921</c:v>
                </c:pt>
                <c:pt idx="10">
                  <c:v>45921</c:v>
                </c:pt>
                <c:pt idx="11">
                  <c:v>45921</c:v>
                </c:pt>
                <c:pt idx="12">
                  <c:v>45921</c:v>
                </c:pt>
                <c:pt idx="13">
                  <c:v>45921</c:v>
                </c:pt>
                <c:pt idx="14">
                  <c:v>45921</c:v>
                </c:pt>
                <c:pt idx="15">
                  <c:v>45921</c:v>
                </c:pt>
                <c:pt idx="16">
                  <c:v>45921</c:v>
                </c:pt>
                <c:pt idx="17">
                  <c:v>45921</c:v>
                </c:pt>
                <c:pt idx="18">
                  <c:v>45921</c:v>
                </c:pt>
                <c:pt idx="19">
                  <c:v>45921</c:v>
                </c:pt>
                <c:pt idx="20">
                  <c:v>45921</c:v>
                </c:pt>
                <c:pt idx="21">
                  <c:v>45921</c:v>
                </c:pt>
              </c:numCache>
            </c:numRef>
          </c:val>
          <c:extLst>
            <c:ext xmlns:c16="http://schemas.microsoft.com/office/drawing/2014/chart" uri="{C3380CC4-5D6E-409C-BE32-E72D297353CC}">
              <c16:uniqueId val="{00000000-A200-4162-9B3A-104C6C2D0087}"/>
            </c:ext>
          </c:extLst>
        </c:ser>
        <c:ser>
          <c:idx val="1"/>
          <c:order val="1"/>
          <c:tx>
            <c:strRef>
              <c:f>ProjectTaskList!$I$4</c:f>
              <c:strCache>
                <c:ptCount val="1"/>
                <c:pt idx="0">
                  <c:v>Days to Start</c:v>
                </c:pt>
              </c:strCache>
            </c:strRef>
          </c:tx>
          <c:spPr>
            <a:no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ProjectTaskList!$I$5:$I$27</c:f>
              <c:numCache>
                <c:formatCode>General</c:formatCode>
                <c:ptCount val="23"/>
                <c:pt idx="0">
                  <c:v>0</c:v>
                </c:pt>
                <c:pt idx="1">
                  <c:v>7</c:v>
                </c:pt>
                <c:pt idx="2">
                  <c:v>23</c:v>
                </c:pt>
                <c:pt idx="3">
                  <c:v>29</c:v>
                </c:pt>
                <c:pt idx="4">
                  <c:v>38</c:v>
                </c:pt>
                <c:pt idx="5">
                  <c:v>48</c:v>
                </c:pt>
                <c:pt idx="6">
                  <c:v>64</c:v>
                </c:pt>
                <c:pt idx="7">
                  <c:v>90</c:v>
                </c:pt>
                <c:pt idx="8">
                  <c:v>99</c:v>
                </c:pt>
                <c:pt idx="9">
                  <c:v>104</c:v>
                </c:pt>
                <c:pt idx="10">
                  <c:v>125</c:v>
                </c:pt>
                <c:pt idx="11">
                  <c:v>140</c:v>
                </c:pt>
                <c:pt idx="12">
                  <c:v>156</c:v>
                </c:pt>
                <c:pt idx="13">
                  <c:v>171</c:v>
                </c:pt>
                <c:pt idx="14">
                  <c:v>180</c:v>
                </c:pt>
                <c:pt idx="15">
                  <c:v>184</c:v>
                </c:pt>
                <c:pt idx="16">
                  <c:v>189</c:v>
                </c:pt>
                <c:pt idx="17">
                  <c:v>204</c:v>
                </c:pt>
                <c:pt idx="18">
                  <c:v>211</c:v>
                </c:pt>
                <c:pt idx="19">
                  <c:v>194</c:v>
                </c:pt>
                <c:pt idx="20">
                  <c:v>204</c:v>
                </c:pt>
                <c:pt idx="21">
                  <c:v>220</c:v>
                </c:pt>
              </c:numCache>
            </c:numRef>
          </c:val>
          <c:extLst>
            <c:ext xmlns:c16="http://schemas.microsoft.com/office/drawing/2014/chart" uri="{C3380CC4-5D6E-409C-BE32-E72D297353CC}">
              <c16:uniqueId val="{00000001-A200-4162-9B3A-104C6C2D0087}"/>
            </c:ext>
          </c:extLst>
        </c:ser>
        <c:ser>
          <c:idx val="2"/>
          <c:order val="2"/>
          <c:tx>
            <c:strRef>
              <c:f>ProjectTaskList!$J$4</c:f>
              <c:strCache>
                <c:ptCount val="1"/>
                <c:pt idx="0">
                  <c:v>Complete</c:v>
                </c:pt>
              </c:strCache>
            </c:strRef>
          </c:tx>
          <c:spPr>
            <a:solidFill>
              <a:srgbClr val="99C662"/>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ProjectTaskList!$J$5:$J$27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2-A200-4162-9B3A-104C6C2D0087}"/>
            </c:ext>
          </c:extLst>
        </c:ser>
        <c:ser>
          <c:idx val="3"/>
          <c:order val="3"/>
          <c:tx>
            <c:strRef>
              <c:f>ProjectTaskList!$K$4</c:f>
              <c:strCache>
                <c:ptCount val="1"/>
                <c:pt idx="0">
                  <c:v>Incomplete</c:v>
                </c:pt>
              </c:strCache>
            </c:strRef>
          </c:tx>
          <c:spPr>
            <a:solidFill>
              <a:schemeClr val="accent2">
                <a:lumMod val="40000"/>
                <a:lumOff val="60000"/>
              </a:schemeClr>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ProjectTaskList!$K$5:$K$27</c:f>
              <c:numCache>
                <c:formatCode>General</c:formatCode>
                <c:ptCount val="23"/>
                <c:pt idx="0">
                  <c:v>13</c:v>
                </c:pt>
                <c:pt idx="1">
                  <c:v>21</c:v>
                </c:pt>
                <c:pt idx="2">
                  <c:v>10</c:v>
                </c:pt>
                <c:pt idx="3">
                  <c:v>9</c:v>
                </c:pt>
                <c:pt idx="4">
                  <c:v>31</c:v>
                </c:pt>
                <c:pt idx="5">
                  <c:v>16</c:v>
                </c:pt>
                <c:pt idx="6">
                  <c:v>20</c:v>
                </c:pt>
                <c:pt idx="7">
                  <c:v>9</c:v>
                </c:pt>
                <c:pt idx="8">
                  <c:v>10</c:v>
                </c:pt>
                <c:pt idx="9">
                  <c:v>21</c:v>
                </c:pt>
                <c:pt idx="10">
                  <c:v>15</c:v>
                </c:pt>
                <c:pt idx="11">
                  <c:v>16</c:v>
                </c:pt>
                <c:pt idx="12">
                  <c:v>20</c:v>
                </c:pt>
                <c:pt idx="13">
                  <c:v>9</c:v>
                </c:pt>
                <c:pt idx="14">
                  <c:v>4</c:v>
                </c:pt>
                <c:pt idx="15">
                  <c:v>20</c:v>
                </c:pt>
                <c:pt idx="16">
                  <c:v>20</c:v>
                </c:pt>
                <c:pt idx="17">
                  <c:v>11</c:v>
                </c:pt>
                <c:pt idx="18">
                  <c:v>9</c:v>
                </c:pt>
                <c:pt idx="19">
                  <c:v>26</c:v>
                </c:pt>
                <c:pt idx="20">
                  <c:v>21</c:v>
                </c:pt>
                <c:pt idx="21">
                  <c:v>20</c:v>
                </c:pt>
              </c:numCache>
            </c:numRef>
          </c:val>
          <c:extLst>
            <c:ext xmlns:c16="http://schemas.microsoft.com/office/drawing/2014/chart" uri="{C3380CC4-5D6E-409C-BE32-E72D297353CC}">
              <c16:uniqueId val="{00000003-A200-4162-9B3A-104C6C2D0087}"/>
            </c:ext>
          </c:extLst>
        </c:ser>
        <c:ser>
          <c:idx val="4"/>
          <c:order val="4"/>
          <c:tx>
            <c:strRef>
              <c:f>ProjectTaskList!$L$4</c:f>
              <c:strCache>
                <c:ptCount val="1"/>
                <c:pt idx="0">
                  <c:v>Slippage</c:v>
                </c:pt>
              </c:strCache>
            </c:strRef>
          </c:tx>
          <c:spPr>
            <a:solidFill>
              <a:schemeClr val="accent2"/>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ProjectTaskList!$L$5:$L$27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4-A200-4162-9B3A-104C6C2D0087}"/>
            </c:ext>
          </c:extLst>
        </c:ser>
        <c:dLbls>
          <c:showLegendKey val="0"/>
          <c:showVal val="0"/>
          <c:showCatName val="0"/>
          <c:showSerName val="0"/>
          <c:showPercent val="0"/>
          <c:showBubbleSize val="0"/>
        </c:dLbls>
        <c:gapWidth val="20"/>
        <c:overlap val="100"/>
        <c:axId val="500243952"/>
        <c:axId val="500240344"/>
      </c:barChart>
      <c:catAx>
        <c:axId val="500243952"/>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4000" b="0" i="0" u="none" strike="noStrike" kern="1200" baseline="0">
                <a:solidFill>
                  <a:sysClr val="windowText" lastClr="000000"/>
                </a:solidFill>
                <a:latin typeface="+mn-lt"/>
                <a:ea typeface="+mn-ea"/>
                <a:cs typeface="+mn-cs"/>
              </a:defRPr>
            </a:pPr>
            <a:endParaRPr lang="en-US"/>
          </a:p>
        </c:txPr>
        <c:crossAx val="500240344"/>
        <c:crosses val="autoZero"/>
        <c:auto val="1"/>
        <c:lblAlgn val="ctr"/>
        <c:lblOffset val="100"/>
        <c:tickLblSkip val="1"/>
        <c:noMultiLvlLbl val="0"/>
      </c:catAx>
      <c:valAx>
        <c:axId val="500240344"/>
        <c:scaling>
          <c:orientation val="minMax"/>
          <c:min val="45921"/>
        </c:scaling>
        <c:delete val="0"/>
        <c:axPos val="t"/>
        <c:majorGridlines>
          <c:spPr>
            <a:ln w="9525" cap="flat" cmpd="sng" algn="ctr">
              <a:solidFill>
                <a:schemeClr val="bg1">
                  <a:lumMod val="65000"/>
                </a:schemeClr>
              </a:solidFill>
              <a:prstDash val="lgDash"/>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SG" sz="5400" b="1" u="sng">
                    <a:solidFill>
                      <a:sysClr val="windowText" lastClr="000000"/>
                    </a:solidFill>
                  </a:rPr>
                  <a:t>Date (weekly)</a:t>
                </a:r>
              </a:p>
            </c:rich>
          </c:tx>
          <c:layout>
            <c:manualLayout>
              <c:xMode val="edge"/>
              <c:yMode val="edge"/>
              <c:x val="0.58883889335337347"/>
              <c:y val="7.163410666656489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d/mmm" sourceLinked="0"/>
        <c:majorTickMark val="out"/>
        <c:minorTickMark val="in"/>
        <c:tickLblPos val="nextTo"/>
        <c:spPr>
          <a:noFill/>
          <a:ln>
            <a:solidFill>
              <a:schemeClr val="tx1"/>
            </a:solidFill>
          </a:ln>
          <a:effectLst/>
        </c:spPr>
        <c:txPr>
          <a:bodyPr rot="0" spcFirstLastPara="1" vertOverflow="ellipsis" wrap="square" anchor="ctr" anchorCtr="1"/>
          <a:lstStyle/>
          <a:p>
            <a:pPr>
              <a:defRPr sz="2800" b="1" i="0" u="none" strike="noStrike" kern="1200" baseline="0">
                <a:solidFill>
                  <a:sysClr val="windowText" lastClr="000000"/>
                </a:solidFill>
                <a:latin typeface="+mn-lt"/>
                <a:ea typeface="+mn-ea"/>
                <a:cs typeface="+mn-cs"/>
              </a:defRPr>
            </a:pPr>
            <a:endParaRPr lang="en-US"/>
          </a:p>
        </c:txPr>
        <c:crossAx val="500243952"/>
        <c:crosses val="autoZero"/>
        <c:crossBetween val="between"/>
        <c:majorUnit val="7"/>
        <c:minorUnit val="1"/>
      </c:valAx>
      <c:spPr>
        <a:noFill/>
        <a:ln>
          <a:solidFill>
            <a:schemeClr val="tx1"/>
          </a:solidFill>
        </a:ln>
        <a:effectLst/>
      </c:spPr>
    </c:plotArea>
    <c:legend>
      <c:legendPos val="t"/>
      <c:legendEntry>
        <c:idx val="0"/>
        <c:delete val="1"/>
      </c:legendEntry>
      <c:legendEntry>
        <c:idx val="1"/>
        <c:delete val="1"/>
      </c:legendEntry>
      <c:layout>
        <c:manualLayout>
          <c:xMode val="edge"/>
          <c:yMode val="edge"/>
          <c:x val="0.71851732017099401"/>
          <c:y val="1.8085106382978729E-2"/>
          <c:w val="0.27470906541980128"/>
          <c:h val="5.9356137064853043E-2"/>
        </c:manualLayout>
      </c:layout>
      <c:overlay val="0"/>
      <c:spPr>
        <a:solidFill>
          <a:sysClr val="window" lastClr="FFFFFF"/>
        </a:solidFill>
        <a:ln>
          <a:noFill/>
        </a:ln>
        <a:effectLst/>
      </c:spPr>
      <c:txPr>
        <a:bodyPr rot="0" spcFirstLastPara="1" vertOverflow="ellipsis" vert="horz" wrap="square" anchor="ctr" anchorCtr="1"/>
        <a:lstStyle/>
        <a:p>
          <a:pPr>
            <a:defRPr sz="4800" b="1" i="0" u="none" strike="noStrike" kern="1200" baseline="0">
              <a:solidFill>
                <a:sysClr val="windowText" lastClr="000000"/>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ProjectTaskList!$A$1</c:f>
          <c:strCache>
            <c:ptCount val="1"/>
            <c:pt idx="0">
              <c:v>Training a Model on Moral Dilemmas: How AI ‘Thinks’ About Ethics.</c:v>
            </c:pt>
          </c:strCache>
        </c:strRef>
      </c:tx>
      <c:layout>
        <c:manualLayout>
          <c:xMode val="edge"/>
          <c:yMode val="edge"/>
          <c:x val="1.2009374913080035E-2"/>
          <c:y val="2.8185548439284069E-2"/>
        </c:manualLayout>
      </c:layout>
      <c:overlay val="0"/>
      <c:spPr>
        <a:noFill/>
        <a:ln>
          <a:noFill/>
        </a:ln>
        <a:effectLst/>
      </c:spPr>
      <c:txPr>
        <a:bodyPr rot="0" spcFirstLastPara="1" vertOverflow="ellipsis" vert="horz" wrap="square" anchor="ctr" anchorCtr="1"/>
        <a:lstStyle/>
        <a:p>
          <a:pPr>
            <a:defRPr sz="80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8943801380897405"/>
          <c:y val="0.13718621184371552"/>
          <c:w val="0.7277902181433572"/>
          <c:h val="0.8346074377203373"/>
        </c:manualLayout>
      </c:layout>
      <c:barChart>
        <c:barDir val="bar"/>
        <c:grouping val="stacked"/>
        <c:varyColors val="0"/>
        <c:ser>
          <c:idx val="0"/>
          <c:order val="0"/>
          <c:tx>
            <c:strRef>
              <c:f>ProjectTaskList!$H$4</c:f>
              <c:strCache>
                <c:ptCount val="1"/>
                <c:pt idx="0">
                  <c:v>Project Start</c:v>
                </c:pt>
              </c:strCache>
            </c:strRef>
          </c:tx>
          <c:spPr>
            <a:no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ProjectTaskList!$H$5:$H$27</c:f>
              <c:numCache>
                <c:formatCode>m/d/yyyy</c:formatCode>
                <c:ptCount val="23"/>
                <c:pt idx="0">
                  <c:v>45921</c:v>
                </c:pt>
                <c:pt idx="1">
                  <c:v>45921</c:v>
                </c:pt>
                <c:pt idx="2">
                  <c:v>45921</c:v>
                </c:pt>
                <c:pt idx="3">
                  <c:v>45921</c:v>
                </c:pt>
                <c:pt idx="4">
                  <c:v>45921</c:v>
                </c:pt>
                <c:pt idx="5">
                  <c:v>45921</c:v>
                </c:pt>
                <c:pt idx="6">
                  <c:v>45921</c:v>
                </c:pt>
                <c:pt idx="7">
                  <c:v>45921</c:v>
                </c:pt>
                <c:pt idx="8">
                  <c:v>45921</c:v>
                </c:pt>
                <c:pt idx="9">
                  <c:v>45921</c:v>
                </c:pt>
                <c:pt idx="10">
                  <c:v>45921</c:v>
                </c:pt>
                <c:pt idx="11">
                  <c:v>45921</c:v>
                </c:pt>
                <c:pt idx="12">
                  <c:v>45921</c:v>
                </c:pt>
                <c:pt idx="13">
                  <c:v>45921</c:v>
                </c:pt>
                <c:pt idx="14">
                  <c:v>45921</c:v>
                </c:pt>
                <c:pt idx="15">
                  <c:v>45921</c:v>
                </c:pt>
                <c:pt idx="16">
                  <c:v>45921</c:v>
                </c:pt>
                <c:pt idx="17">
                  <c:v>45921</c:v>
                </c:pt>
                <c:pt idx="18">
                  <c:v>45921</c:v>
                </c:pt>
                <c:pt idx="19">
                  <c:v>45921</c:v>
                </c:pt>
                <c:pt idx="20">
                  <c:v>45921</c:v>
                </c:pt>
                <c:pt idx="21">
                  <c:v>45921</c:v>
                </c:pt>
              </c:numCache>
            </c:numRef>
          </c:val>
          <c:extLst>
            <c:ext xmlns:c16="http://schemas.microsoft.com/office/drawing/2014/chart" uri="{C3380CC4-5D6E-409C-BE32-E72D297353CC}">
              <c16:uniqueId val="{00000000-C64D-4A05-BBDB-E7776361A955}"/>
            </c:ext>
          </c:extLst>
        </c:ser>
        <c:ser>
          <c:idx val="1"/>
          <c:order val="1"/>
          <c:tx>
            <c:strRef>
              <c:f>ProjectTaskList!$I$4</c:f>
              <c:strCache>
                <c:ptCount val="1"/>
                <c:pt idx="0">
                  <c:v>Days to Start</c:v>
                </c:pt>
              </c:strCache>
            </c:strRef>
          </c:tx>
          <c:spPr>
            <a:no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ProjectTaskList!$I$5:$I$27</c:f>
              <c:numCache>
                <c:formatCode>General</c:formatCode>
                <c:ptCount val="23"/>
                <c:pt idx="0">
                  <c:v>0</c:v>
                </c:pt>
                <c:pt idx="1">
                  <c:v>7</c:v>
                </c:pt>
                <c:pt idx="2">
                  <c:v>23</c:v>
                </c:pt>
                <c:pt idx="3">
                  <c:v>29</c:v>
                </c:pt>
                <c:pt idx="4">
                  <c:v>38</c:v>
                </c:pt>
                <c:pt idx="5">
                  <c:v>48</c:v>
                </c:pt>
                <c:pt idx="6">
                  <c:v>64</c:v>
                </c:pt>
                <c:pt idx="7">
                  <c:v>90</c:v>
                </c:pt>
                <c:pt idx="8">
                  <c:v>99</c:v>
                </c:pt>
                <c:pt idx="9">
                  <c:v>104</c:v>
                </c:pt>
                <c:pt idx="10">
                  <c:v>125</c:v>
                </c:pt>
                <c:pt idx="11">
                  <c:v>140</c:v>
                </c:pt>
                <c:pt idx="12">
                  <c:v>156</c:v>
                </c:pt>
                <c:pt idx="13">
                  <c:v>171</c:v>
                </c:pt>
                <c:pt idx="14">
                  <c:v>180</c:v>
                </c:pt>
                <c:pt idx="15">
                  <c:v>184</c:v>
                </c:pt>
                <c:pt idx="16">
                  <c:v>189</c:v>
                </c:pt>
                <c:pt idx="17">
                  <c:v>204</c:v>
                </c:pt>
                <c:pt idx="18">
                  <c:v>211</c:v>
                </c:pt>
                <c:pt idx="19">
                  <c:v>194</c:v>
                </c:pt>
                <c:pt idx="20">
                  <c:v>204</c:v>
                </c:pt>
                <c:pt idx="21">
                  <c:v>220</c:v>
                </c:pt>
              </c:numCache>
            </c:numRef>
          </c:val>
          <c:extLst>
            <c:ext xmlns:c16="http://schemas.microsoft.com/office/drawing/2014/chart" uri="{C3380CC4-5D6E-409C-BE32-E72D297353CC}">
              <c16:uniqueId val="{00000001-C64D-4A05-BBDB-E7776361A955}"/>
            </c:ext>
          </c:extLst>
        </c:ser>
        <c:ser>
          <c:idx val="2"/>
          <c:order val="2"/>
          <c:tx>
            <c:strRef>
              <c:f>ProjectTaskList!$J$4</c:f>
              <c:strCache>
                <c:ptCount val="1"/>
                <c:pt idx="0">
                  <c:v>Complete</c:v>
                </c:pt>
              </c:strCache>
            </c:strRef>
          </c:tx>
          <c:spPr>
            <a:solidFill>
              <a:srgbClr val="99C662"/>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ProjectTaskList!$J$5:$J$27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2-C64D-4A05-BBDB-E7776361A955}"/>
            </c:ext>
          </c:extLst>
        </c:ser>
        <c:ser>
          <c:idx val="3"/>
          <c:order val="3"/>
          <c:tx>
            <c:strRef>
              <c:f>ProjectTaskList!$K$4</c:f>
              <c:strCache>
                <c:ptCount val="1"/>
                <c:pt idx="0">
                  <c:v>Incomplete</c:v>
                </c:pt>
              </c:strCache>
            </c:strRef>
          </c:tx>
          <c:spPr>
            <a:solidFill>
              <a:schemeClr val="accent2">
                <a:lumMod val="40000"/>
                <a:lumOff val="60000"/>
              </a:schemeClr>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ProjectTaskList!$K$5:$K$27</c:f>
              <c:numCache>
                <c:formatCode>General</c:formatCode>
                <c:ptCount val="23"/>
                <c:pt idx="0">
                  <c:v>13</c:v>
                </c:pt>
                <c:pt idx="1">
                  <c:v>21</c:v>
                </c:pt>
                <c:pt idx="2">
                  <c:v>10</c:v>
                </c:pt>
                <c:pt idx="3">
                  <c:v>9</c:v>
                </c:pt>
                <c:pt idx="4">
                  <c:v>31</c:v>
                </c:pt>
                <c:pt idx="5">
                  <c:v>16</c:v>
                </c:pt>
                <c:pt idx="6">
                  <c:v>20</c:v>
                </c:pt>
                <c:pt idx="7">
                  <c:v>9</c:v>
                </c:pt>
                <c:pt idx="8">
                  <c:v>10</c:v>
                </c:pt>
                <c:pt idx="9">
                  <c:v>21</c:v>
                </c:pt>
                <c:pt idx="10">
                  <c:v>15</c:v>
                </c:pt>
                <c:pt idx="11">
                  <c:v>16</c:v>
                </c:pt>
                <c:pt idx="12">
                  <c:v>20</c:v>
                </c:pt>
                <c:pt idx="13">
                  <c:v>9</c:v>
                </c:pt>
                <c:pt idx="14">
                  <c:v>4</c:v>
                </c:pt>
                <c:pt idx="15">
                  <c:v>20</c:v>
                </c:pt>
                <c:pt idx="16">
                  <c:v>20</c:v>
                </c:pt>
                <c:pt idx="17">
                  <c:v>11</c:v>
                </c:pt>
                <c:pt idx="18">
                  <c:v>9</c:v>
                </c:pt>
                <c:pt idx="19">
                  <c:v>26</c:v>
                </c:pt>
                <c:pt idx="20">
                  <c:v>21</c:v>
                </c:pt>
                <c:pt idx="21">
                  <c:v>20</c:v>
                </c:pt>
              </c:numCache>
            </c:numRef>
          </c:val>
          <c:extLst>
            <c:ext xmlns:c16="http://schemas.microsoft.com/office/drawing/2014/chart" uri="{C3380CC4-5D6E-409C-BE32-E72D297353CC}">
              <c16:uniqueId val="{00000003-C64D-4A05-BBDB-E7776361A955}"/>
            </c:ext>
          </c:extLst>
        </c:ser>
        <c:ser>
          <c:idx val="4"/>
          <c:order val="4"/>
          <c:tx>
            <c:strRef>
              <c:f>ProjectTaskList!$L$4</c:f>
              <c:strCache>
                <c:ptCount val="1"/>
                <c:pt idx="0">
                  <c:v>Slippage</c:v>
                </c:pt>
              </c:strCache>
            </c:strRef>
          </c:tx>
          <c:spPr>
            <a:solidFill>
              <a:schemeClr val="accent2"/>
            </a:solidFill>
            <a:ln>
              <a:noFill/>
            </a:ln>
            <a:effectLst/>
          </c:spPr>
          <c:invertIfNegative val="0"/>
          <c:cat>
            <c:multiLvlStrRef>
              <c:f>ProjectTaskList!$A$5:$B$27</c:f>
              <c:multiLvlStrCache>
                <c:ptCount val="22"/>
                <c:lvl>
                  <c:pt idx="0">
                    <c:v>Finalize research questions, scope, and hypotheses</c:v>
                  </c:pt>
                  <c:pt idx="1">
                    <c:v>Conduct literature review on AI + morality, datasets, interpretability, Chinese Room</c:v>
                  </c:pt>
                  <c:pt idx="2">
                    <c:v>Define evaluation metrics and success criteria</c:v>
                  </c:pt>
                  <c:pt idx="3">
                    <c:v>Choose dataset focus (cross-cultural, uncertainty, etc.)</c:v>
                  </c:pt>
                  <c:pt idx="4">
                    <c:v>Collect ethical dilemmas (texts, surveys, cultural sources)</c:v>
                  </c:pt>
                  <c:pt idx="5">
                    <c:v>Design annotation schema and label guidelines</c:v>
                  </c:pt>
                  <c:pt idx="6">
                    <c:v>Begin initial annotations / pilot study</c:v>
                  </c:pt>
                  <c:pt idx="7">
                    <c:v>Choose baseline models (rule-based, shallow)</c:v>
                  </c:pt>
                  <c:pt idx="8">
                    <c:v>Choose transformer models (LLaMA, GPT, Mistral, etc.)</c:v>
                  </c:pt>
                  <c:pt idx="9">
                    <c:v>Set up training environment (Python, GPUs, libraries)</c:v>
                  </c:pt>
                  <c:pt idx="10">
                    <c:v>Preprocess dataset and tokenization</c:v>
                  </c:pt>
                  <c:pt idx="11">
                    <c:v>Fine-tune baseline models on ETHICS</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lvl>
                <c:lvl>
                  <c:pt idx="0">
                    <c:v>1. Project Scoping &amp; Background Research</c:v>
                  </c:pt>
                  <c:pt idx="3">
                    <c:v>2. Dataset Design &amp; Collection</c:v>
                  </c:pt>
                  <c:pt idx="7">
                    <c:v>3. Model Selection &amp; Setup</c:v>
                  </c:pt>
                  <c:pt idx="10">
                    <c:v>4. Training &amp; Fine-tuning</c:v>
                  </c:pt>
                  <c:pt idx="14">
                    <c:v>5. Evaluation</c:v>
                  </c:pt>
                  <c:pt idx="17">
                    <c:v>6. Analysis &amp; Reflection</c:v>
                  </c:pt>
                  <c:pt idx="19">
                    <c:v>7. Write-up &amp; Presentation</c:v>
                  </c:pt>
                </c:lvl>
              </c:multiLvlStrCache>
            </c:multiLvlStrRef>
          </c:cat>
          <c:val>
            <c:numRef>
              <c:f>ProjectTaskList!$L$5:$L$27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4-C64D-4A05-BBDB-E7776361A955}"/>
            </c:ext>
          </c:extLst>
        </c:ser>
        <c:dLbls>
          <c:showLegendKey val="0"/>
          <c:showVal val="0"/>
          <c:showCatName val="0"/>
          <c:showSerName val="0"/>
          <c:showPercent val="0"/>
          <c:showBubbleSize val="0"/>
        </c:dLbls>
        <c:gapWidth val="20"/>
        <c:overlap val="100"/>
        <c:axId val="500243952"/>
        <c:axId val="500240344"/>
      </c:barChart>
      <c:catAx>
        <c:axId val="500243952"/>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5400" b="1" i="0" u="none" strike="noStrike" kern="1200" baseline="0">
                <a:solidFill>
                  <a:sysClr val="windowText" lastClr="000000"/>
                </a:solidFill>
                <a:latin typeface="+mn-lt"/>
                <a:ea typeface="+mn-ea"/>
                <a:cs typeface="+mn-cs"/>
              </a:defRPr>
            </a:pPr>
            <a:endParaRPr lang="en-US"/>
          </a:p>
        </c:txPr>
        <c:crossAx val="500240344"/>
        <c:crosses val="autoZero"/>
        <c:auto val="1"/>
        <c:lblAlgn val="ctr"/>
        <c:lblOffset val="100"/>
        <c:tickLblSkip val="1"/>
        <c:noMultiLvlLbl val="0"/>
      </c:catAx>
      <c:valAx>
        <c:axId val="500240344"/>
        <c:scaling>
          <c:orientation val="minMax"/>
          <c:min val="45921"/>
        </c:scaling>
        <c:delete val="0"/>
        <c:axPos val="t"/>
        <c:majorGridlines>
          <c:spPr>
            <a:ln w="9525" cap="flat" cmpd="sng" algn="ctr">
              <a:solidFill>
                <a:schemeClr val="tx1"/>
              </a:solidFill>
              <a:prstDash val="dash"/>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SG" sz="5400" b="1" u="sng">
                    <a:solidFill>
                      <a:sysClr val="windowText" lastClr="000000"/>
                    </a:solidFill>
                  </a:rPr>
                  <a:t>Date (Monthly)</a:t>
                </a:r>
              </a:p>
            </c:rich>
          </c:tx>
          <c:layout>
            <c:manualLayout>
              <c:xMode val="edge"/>
              <c:yMode val="edge"/>
              <c:x val="0.58883889335337347"/>
              <c:y val="7.163410666656489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mmmm\ yyyy" sourceLinked="0"/>
        <c:majorTickMark val="out"/>
        <c:minorTickMark val="in"/>
        <c:tickLblPos val="nextTo"/>
        <c:spPr>
          <a:noFill/>
          <a:ln>
            <a:solidFill>
              <a:schemeClr val="tx1"/>
            </a:solidFill>
          </a:ln>
          <a:effectLst/>
        </c:spPr>
        <c:txPr>
          <a:bodyPr rot="0" spcFirstLastPara="1" vertOverflow="ellipsis" wrap="square" anchor="ctr" anchorCtr="1"/>
          <a:lstStyle/>
          <a:p>
            <a:pPr>
              <a:defRPr sz="6000" b="1" i="0" u="none" strike="noStrike" kern="1200" baseline="0">
                <a:solidFill>
                  <a:sysClr val="windowText" lastClr="000000"/>
                </a:solidFill>
                <a:latin typeface="+mn-lt"/>
                <a:ea typeface="+mn-ea"/>
                <a:cs typeface="+mn-cs"/>
              </a:defRPr>
            </a:pPr>
            <a:endParaRPr lang="en-US"/>
          </a:p>
        </c:txPr>
        <c:crossAx val="500243952"/>
        <c:crosses val="autoZero"/>
        <c:crossBetween val="between"/>
        <c:majorUnit val="28"/>
        <c:minorUnit val="1"/>
      </c:valAx>
      <c:spPr>
        <a:noFill/>
        <a:ln>
          <a:solidFill>
            <a:schemeClr val="tx1"/>
          </a:solidFill>
        </a:ln>
        <a:effectLst/>
      </c:spPr>
    </c:plotArea>
    <c:legend>
      <c:legendPos val="t"/>
      <c:legendEntry>
        <c:idx val="0"/>
        <c:delete val="1"/>
      </c:legendEntry>
      <c:legendEntry>
        <c:idx val="1"/>
        <c:delete val="1"/>
      </c:legendEntry>
      <c:layout>
        <c:manualLayout>
          <c:xMode val="edge"/>
          <c:yMode val="edge"/>
          <c:x val="0.71851732017099401"/>
          <c:y val="1.8085106382978729E-2"/>
          <c:w val="0.27470906541980128"/>
          <c:h val="5.9356137064853043E-2"/>
        </c:manualLayout>
      </c:layout>
      <c:overlay val="0"/>
      <c:spPr>
        <a:solidFill>
          <a:sysClr val="window" lastClr="FFFFFF"/>
        </a:solidFill>
        <a:ln>
          <a:noFill/>
        </a:ln>
        <a:effectLst/>
      </c:spPr>
      <c:txPr>
        <a:bodyPr rot="0" spcFirstLastPara="1" vertOverflow="ellipsis" vert="horz" wrap="square" anchor="ctr" anchorCtr="1"/>
        <a:lstStyle/>
        <a:p>
          <a:pPr>
            <a:defRPr sz="4800" b="1" i="0" u="none" strike="noStrike" kern="1200" baseline="0">
              <a:solidFill>
                <a:sysClr val="windowText" lastClr="000000"/>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395926</xdr:colOff>
      <xdr:row>0</xdr:row>
      <xdr:rowOff>0</xdr:rowOff>
    </xdr:from>
    <xdr:to>
      <xdr:col>262</xdr:col>
      <xdr:colOff>377076</xdr:colOff>
      <xdr:row>344</xdr:row>
      <xdr:rowOff>2</xdr:rowOff>
    </xdr:to>
    <xdr:graphicFrame macro="">
      <xdr:nvGraphicFramePr>
        <xdr:cNvPr id="2" name="Chart 1">
          <a:extLst>
            <a:ext uri="{FF2B5EF4-FFF2-40B4-BE49-F238E27FC236}">
              <a16:creationId xmlns:a16="http://schemas.microsoft.com/office/drawing/2014/main" id="{422922B0-6B15-4985-BAD6-857E35E12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113123</xdr:colOff>
      <xdr:row>0</xdr:row>
      <xdr:rowOff>0</xdr:rowOff>
    </xdr:from>
    <xdr:to>
      <xdr:col>111</xdr:col>
      <xdr:colOff>433638</xdr:colOff>
      <xdr:row>209</xdr:row>
      <xdr:rowOff>157127</xdr:rowOff>
    </xdr:to>
    <xdr:graphicFrame macro="">
      <xdr:nvGraphicFramePr>
        <xdr:cNvPr id="2" name="Chart 1">
          <a:extLst>
            <a:ext uri="{FF2B5EF4-FFF2-40B4-BE49-F238E27FC236}">
              <a16:creationId xmlns:a16="http://schemas.microsoft.com/office/drawing/2014/main" id="{71F2DDCA-3BE6-4AF6-9349-B9F170D69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363359</xdr:colOff>
      <xdr:row>9</xdr:row>
      <xdr:rowOff>34280</xdr:rowOff>
    </xdr:from>
    <xdr:to>
      <xdr:col>151</xdr:col>
      <xdr:colOff>509042</xdr:colOff>
      <xdr:row>240</xdr:row>
      <xdr:rowOff>2869</xdr:rowOff>
    </xdr:to>
    <xdr:graphicFrame macro="">
      <xdr:nvGraphicFramePr>
        <xdr:cNvPr id="3" name="Chart 2">
          <a:extLst>
            <a:ext uri="{FF2B5EF4-FFF2-40B4-BE49-F238E27FC236}">
              <a16:creationId xmlns:a16="http://schemas.microsoft.com/office/drawing/2014/main" id="{BC3615AD-CEE0-45F9-A271-5931B4AE4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Vertex42 - CalendarBoldBlue">
      <a:dk1>
        <a:sysClr val="windowText" lastClr="000000"/>
      </a:dk1>
      <a:lt1>
        <a:sysClr val="window" lastClr="FFFFFF"/>
      </a:lt1>
      <a:dk2>
        <a:srgbClr val="3A5D9C"/>
      </a:dk2>
      <a:lt2>
        <a:srgbClr val="EEECE2"/>
      </a:lt2>
      <a:accent1>
        <a:srgbClr val="3969AD"/>
      </a:accent1>
      <a:accent2>
        <a:srgbClr val="C04E4E"/>
      </a:accent2>
      <a:accent3>
        <a:srgbClr val="E68422"/>
      </a:accent3>
      <a:accent4>
        <a:srgbClr val="846648"/>
      </a:accent4>
      <a:accent5>
        <a:srgbClr val="26AA26"/>
      </a:accent5>
      <a:accent6>
        <a:srgbClr val="7860B4"/>
      </a:accent6>
      <a:hlink>
        <a:srgbClr val="4C92AE"/>
      </a:hlink>
      <a:folHlink>
        <a:srgbClr val="96969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vertex42.com/ExcelTemplates/excel-gantt-chart.html" TargetMode="Externa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task-list-templat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EA07-EE19-46B0-AC29-5F1A39F81E22}">
  <dimension ref="F1:F23"/>
  <sheetViews>
    <sheetView zoomScale="10" zoomScaleNormal="10" workbookViewId="0">
      <selection activeCell="HT374" sqref="HT374"/>
    </sheetView>
  </sheetViews>
  <sheetFormatPr defaultRowHeight="14.1" x14ac:dyDescent="0.2"/>
  <cols>
    <col min="6" max="6" width="29.875" bestFit="1" customWidth="1"/>
    <col min="248" max="248" width="9" customWidth="1"/>
  </cols>
  <sheetData>
    <row r="1" spans="6:6" x14ac:dyDescent="0.2">
      <c r="F1" t="s">
        <v>129</v>
      </c>
    </row>
    <row r="2" spans="6:6" x14ac:dyDescent="0.2">
      <c r="F2">
        <f xml:space="preserve"> ROUNDUP(E2*7,0)</f>
        <v>0</v>
      </c>
    </row>
    <row r="3" spans="6:6" x14ac:dyDescent="0.2">
      <c r="F3">
        <f t="shared" ref="F3:F23" si="0" xml:space="preserve"> ROUNDUP(E3*7,0)</f>
        <v>0</v>
      </c>
    </row>
    <row r="4" spans="6:6" x14ac:dyDescent="0.2">
      <c r="F4">
        <f t="shared" si="0"/>
        <v>0</v>
      </c>
    </row>
    <row r="5" spans="6:6" x14ac:dyDescent="0.2">
      <c r="F5">
        <f t="shared" si="0"/>
        <v>0</v>
      </c>
    </row>
    <row r="6" spans="6:6" x14ac:dyDescent="0.2">
      <c r="F6">
        <f t="shared" si="0"/>
        <v>0</v>
      </c>
    </row>
    <row r="7" spans="6:6" x14ac:dyDescent="0.2">
      <c r="F7">
        <f t="shared" si="0"/>
        <v>0</v>
      </c>
    </row>
    <row r="8" spans="6:6" x14ac:dyDescent="0.2">
      <c r="F8">
        <f t="shared" si="0"/>
        <v>0</v>
      </c>
    </row>
    <row r="9" spans="6:6" x14ac:dyDescent="0.2">
      <c r="F9">
        <f t="shared" si="0"/>
        <v>0</v>
      </c>
    </row>
    <row r="10" spans="6:6" x14ac:dyDescent="0.2">
      <c r="F10">
        <f t="shared" si="0"/>
        <v>0</v>
      </c>
    </row>
    <row r="11" spans="6:6" x14ac:dyDescent="0.2">
      <c r="F11">
        <f t="shared" si="0"/>
        <v>0</v>
      </c>
    </row>
    <row r="12" spans="6:6" x14ac:dyDescent="0.2">
      <c r="F12">
        <f t="shared" si="0"/>
        <v>0</v>
      </c>
    </row>
    <row r="13" spans="6:6" x14ac:dyDescent="0.2">
      <c r="F13">
        <f t="shared" si="0"/>
        <v>0</v>
      </c>
    </row>
    <row r="14" spans="6:6" x14ac:dyDescent="0.2">
      <c r="F14">
        <f t="shared" si="0"/>
        <v>0</v>
      </c>
    </row>
    <row r="15" spans="6:6" x14ac:dyDescent="0.2">
      <c r="F15">
        <f t="shared" si="0"/>
        <v>0</v>
      </c>
    </row>
    <row r="16" spans="6:6" x14ac:dyDescent="0.2">
      <c r="F16">
        <f t="shared" si="0"/>
        <v>0</v>
      </c>
    </row>
    <row r="17" spans="6:6" x14ac:dyDescent="0.2">
      <c r="F17">
        <f t="shared" si="0"/>
        <v>0</v>
      </c>
    </row>
    <row r="18" spans="6:6" x14ac:dyDescent="0.2">
      <c r="F18">
        <f t="shared" si="0"/>
        <v>0</v>
      </c>
    </row>
    <row r="19" spans="6:6" x14ac:dyDescent="0.2">
      <c r="F19">
        <f t="shared" si="0"/>
        <v>0</v>
      </c>
    </row>
    <row r="20" spans="6:6" x14ac:dyDescent="0.2">
      <c r="F20">
        <f t="shared" si="0"/>
        <v>0</v>
      </c>
    </row>
    <row r="21" spans="6:6" x14ac:dyDescent="0.2">
      <c r="F21">
        <f t="shared" si="0"/>
        <v>0</v>
      </c>
    </row>
    <row r="22" spans="6:6" x14ac:dyDescent="0.2">
      <c r="F22">
        <f t="shared" si="0"/>
        <v>0</v>
      </c>
    </row>
    <row r="23" spans="6:6" x14ac:dyDescent="0.2">
      <c r="F23">
        <f t="shared" si="0"/>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BA697-2A92-43C5-8D3B-B2712443F1EF}">
  <dimension ref="F1:F23"/>
  <sheetViews>
    <sheetView tabSelected="1" zoomScale="10" zoomScaleNormal="10" workbookViewId="0">
      <selection activeCell="HG142" sqref="HF142:HG142"/>
    </sheetView>
  </sheetViews>
  <sheetFormatPr defaultRowHeight="14.1" x14ac:dyDescent="0.2"/>
  <cols>
    <col min="6" max="6" width="29.875" bestFit="1" customWidth="1"/>
  </cols>
  <sheetData>
    <row r="1" spans="6:6" x14ac:dyDescent="0.2">
      <c r="F1" t="s">
        <v>129</v>
      </c>
    </row>
    <row r="2" spans="6:6" x14ac:dyDescent="0.2">
      <c r="F2">
        <f xml:space="preserve"> ROUNDUP(E2*7,0)</f>
        <v>0</v>
      </c>
    </row>
    <row r="3" spans="6:6" x14ac:dyDescent="0.2">
      <c r="F3">
        <f t="shared" ref="F3:F23" si="0" xml:space="preserve"> ROUNDUP(E3*7,0)</f>
        <v>0</v>
      </c>
    </row>
    <row r="4" spans="6:6" x14ac:dyDescent="0.2">
      <c r="F4">
        <f t="shared" si="0"/>
        <v>0</v>
      </c>
    </row>
    <row r="5" spans="6:6" x14ac:dyDescent="0.2">
      <c r="F5">
        <f t="shared" si="0"/>
        <v>0</v>
      </c>
    </row>
    <row r="6" spans="6:6" x14ac:dyDescent="0.2">
      <c r="F6">
        <f t="shared" si="0"/>
        <v>0</v>
      </c>
    </row>
    <row r="7" spans="6:6" x14ac:dyDescent="0.2">
      <c r="F7">
        <f t="shared" si="0"/>
        <v>0</v>
      </c>
    </row>
    <row r="8" spans="6:6" x14ac:dyDescent="0.2">
      <c r="F8">
        <f t="shared" si="0"/>
        <v>0</v>
      </c>
    </row>
    <row r="9" spans="6:6" x14ac:dyDescent="0.2">
      <c r="F9">
        <f t="shared" si="0"/>
        <v>0</v>
      </c>
    </row>
    <row r="10" spans="6:6" x14ac:dyDescent="0.2">
      <c r="F10">
        <f t="shared" si="0"/>
        <v>0</v>
      </c>
    </row>
    <row r="11" spans="6:6" x14ac:dyDescent="0.2">
      <c r="F11">
        <f t="shared" si="0"/>
        <v>0</v>
      </c>
    </row>
    <row r="12" spans="6:6" x14ac:dyDescent="0.2">
      <c r="F12">
        <f t="shared" si="0"/>
        <v>0</v>
      </c>
    </row>
    <row r="13" spans="6:6" x14ac:dyDescent="0.2">
      <c r="F13">
        <f t="shared" si="0"/>
        <v>0</v>
      </c>
    </row>
    <row r="14" spans="6:6" x14ac:dyDescent="0.2">
      <c r="F14">
        <f t="shared" si="0"/>
        <v>0</v>
      </c>
    </row>
    <row r="15" spans="6:6" x14ac:dyDescent="0.2">
      <c r="F15">
        <f t="shared" si="0"/>
        <v>0</v>
      </c>
    </row>
    <row r="16" spans="6:6" x14ac:dyDescent="0.2">
      <c r="F16">
        <f t="shared" si="0"/>
        <v>0</v>
      </c>
    </row>
    <row r="17" spans="6:6" x14ac:dyDescent="0.2">
      <c r="F17">
        <f t="shared" si="0"/>
        <v>0</v>
      </c>
    </row>
    <row r="18" spans="6:6" x14ac:dyDescent="0.2">
      <c r="F18">
        <f t="shared" si="0"/>
        <v>0</v>
      </c>
    </row>
    <row r="19" spans="6:6" x14ac:dyDescent="0.2">
      <c r="F19">
        <f t="shared" si="0"/>
        <v>0</v>
      </c>
    </row>
    <row r="20" spans="6:6" x14ac:dyDescent="0.2">
      <c r="F20">
        <f t="shared" si="0"/>
        <v>0</v>
      </c>
    </row>
    <row r="21" spans="6:6" x14ac:dyDescent="0.2">
      <c r="F21">
        <f t="shared" si="0"/>
        <v>0</v>
      </c>
    </row>
    <row r="22" spans="6:6" x14ac:dyDescent="0.2">
      <c r="F22">
        <f t="shared" si="0"/>
        <v>0</v>
      </c>
    </row>
    <row r="23" spans="6:6" x14ac:dyDescent="0.2">
      <c r="F23">
        <f t="shared" si="0"/>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B08A8-FC23-4E46-B597-FEC92FD8A8DC}">
  <dimension ref="F1:F23"/>
  <sheetViews>
    <sheetView zoomScale="10" zoomScaleNormal="10" workbookViewId="0">
      <selection activeCell="EJ294" sqref="EJ294"/>
    </sheetView>
  </sheetViews>
  <sheetFormatPr defaultRowHeight="14.1" x14ac:dyDescent="0.2"/>
  <cols>
    <col min="6" max="6" width="29.875" bestFit="1" customWidth="1"/>
  </cols>
  <sheetData>
    <row r="1" spans="6:6" x14ac:dyDescent="0.2">
      <c r="F1" t="s">
        <v>129</v>
      </c>
    </row>
    <row r="2" spans="6:6" x14ac:dyDescent="0.2">
      <c r="F2">
        <f xml:space="preserve"> ROUNDUP(E2*7,0)</f>
        <v>0</v>
      </c>
    </row>
    <row r="3" spans="6:6" x14ac:dyDescent="0.2">
      <c r="F3">
        <f t="shared" ref="F3:F23" si="0" xml:space="preserve"> ROUNDUP(E3*7,0)</f>
        <v>0</v>
      </c>
    </row>
    <row r="4" spans="6:6" x14ac:dyDescent="0.2">
      <c r="F4">
        <f t="shared" si="0"/>
        <v>0</v>
      </c>
    </row>
    <row r="5" spans="6:6" x14ac:dyDescent="0.2">
      <c r="F5">
        <f t="shared" si="0"/>
        <v>0</v>
      </c>
    </row>
    <row r="6" spans="6:6" x14ac:dyDescent="0.2">
      <c r="F6">
        <f t="shared" si="0"/>
        <v>0</v>
      </c>
    </row>
    <row r="7" spans="6:6" x14ac:dyDescent="0.2">
      <c r="F7">
        <f t="shared" si="0"/>
        <v>0</v>
      </c>
    </row>
    <row r="8" spans="6:6" x14ac:dyDescent="0.2">
      <c r="F8">
        <f t="shared" si="0"/>
        <v>0</v>
      </c>
    </row>
    <row r="9" spans="6:6" x14ac:dyDescent="0.2">
      <c r="F9">
        <f t="shared" si="0"/>
        <v>0</v>
      </c>
    </row>
    <row r="10" spans="6:6" x14ac:dyDescent="0.2">
      <c r="F10">
        <f t="shared" si="0"/>
        <v>0</v>
      </c>
    </row>
    <row r="11" spans="6:6" x14ac:dyDescent="0.2">
      <c r="F11">
        <f t="shared" si="0"/>
        <v>0</v>
      </c>
    </row>
    <row r="12" spans="6:6" x14ac:dyDescent="0.2">
      <c r="F12">
        <f t="shared" si="0"/>
        <v>0</v>
      </c>
    </row>
    <row r="13" spans="6:6" x14ac:dyDescent="0.2">
      <c r="F13">
        <f t="shared" si="0"/>
        <v>0</v>
      </c>
    </row>
    <row r="14" spans="6:6" x14ac:dyDescent="0.2">
      <c r="F14">
        <f t="shared" si="0"/>
        <v>0</v>
      </c>
    </row>
    <row r="15" spans="6:6" x14ac:dyDescent="0.2">
      <c r="F15">
        <f t="shared" si="0"/>
        <v>0</v>
      </c>
    </row>
    <row r="16" spans="6:6" x14ac:dyDescent="0.2">
      <c r="F16">
        <f t="shared" si="0"/>
        <v>0</v>
      </c>
    </row>
    <row r="17" spans="6:6" x14ac:dyDescent="0.2">
      <c r="F17">
        <f t="shared" si="0"/>
        <v>0</v>
      </c>
    </row>
    <row r="18" spans="6:6" x14ac:dyDescent="0.2">
      <c r="F18">
        <f t="shared" si="0"/>
        <v>0</v>
      </c>
    </row>
    <row r="19" spans="6:6" x14ac:dyDescent="0.2">
      <c r="F19">
        <f t="shared" si="0"/>
        <v>0</v>
      </c>
    </row>
    <row r="20" spans="6:6" x14ac:dyDescent="0.2">
      <c r="F20">
        <f t="shared" si="0"/>
        <v>0</v>
      </c>
    </row>
    <row r="21" spans="6:6" x14ac:dyDescent="0.2">
      <c r="F21">
        <f t="shared" si="0"/>
        <v>0</v>
      </c>
    </row>
    <row r="22" spans="6:6" x14ac:dyDescent="0.2">
      <c r="F22">
        <f t="shared" si="0"/>
        <v>0</v>
      </c>
    </row>
    <row r="23" spans="6:6" x14ac:dyDescent="0.2">
      <c r="F23">
        <f t="shared" si="0"/>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1"/>
  <sheetViews>
    <sheetView showGridLines="0" zoomScale="25" zoomScaleNormal="25" workbookViewId="0">
      <selection activeCell="E26" sqref="E26"/>
    </sheetView>
  </sheetViews>
  <sheetFormatPr defaultRowHeight="14.1" x14ac:dyDescent="0.2"/>
  <cols>
    <col min="1" max="1" width="255.625" bestFit="1" customWidth="1"/>
    <col min="2" max="2" width="183" customWidth="1"/>
    <col min="3" max="3" width="95.625" hidden="1" customWidth="1"/>
    <col min="4" max="4" width="35.625" style="13" bestFit="1" customWidth="1"/>
    <col min="5" max="5" width="35.625" customWidth="1"/>
    <col min="6" max="6" width="45.625" customWidth="1"/>
    <col min="7" max="7" width="42.75" customWidth="1"/>
    <col min="8" max="10" width="30.625" customWidth="1"/>
    <col min="11" max="11" width="35.125" customWidth="1"/>
    <col min="12" max="13" width="30.625" customWidth="1"/>
  </cols>
  <sheetData>
    <row r="1" spans="1:15" ht="90.6" x14ac:dyDescent="1.2">
      <c r="A1" s="28" t="s">
        <v>37</v>
      </c>
      <c r="B1" s="1"/>
      <c r="C1" s="1"/>
      <c r="D1" s="12"/>
      <c r="E1" s="2"/>
      <c r="F1" s="2"/>
      <c r="G1" s="2"/>
      <c r="H1" s="2"/>
      <c r="I1" s="2"/>
      <c r="J1" s="2"/>
      <c r="K1" s="2"/>
      <c r="L1" s="2"/>
      <c r="M1" s="2"/>
    </row>
    <row r="2" spans="1:15" ht="90.6" x14ac:dyDescent="1.2">
      <c r="A2" s="29" t="s">
        <v>38</v>
      </c>
      <c r="K2" s="19" t="s">
        <v>36</v>
      </c>
      <c r="O2" s="14"/>
    </row>
    <row r="3" spans="1:15" ht="46.05" thickBot="1" x14ac:dyDescent="0.65">
      <c r="B3" s="30"/>
      <c r="C3" s="31" t="s">
        <v>15</v>
      </c>
      <c r="D3" s="32">
        <v>45921</v>
      </c>
      <c r="E3" s="30"/>
      <c r="F3" s="30"/>
      <c r="G3" s="30"/>
      <c r="H3" s="30"/>
      <c r="I3" s="30"/>
      <c r="J3" s="30"/>
      <c r="K3" s="30"/>
      <c r="L3" s="30"/>
      <c r="M3" s="30"/>
      <c r="O3" s="15"/>
    </row>
    <row r="4" spans="1:15" ht="91.3" thickBot="1" x14ac:dyDescent="0.25">
      <c r="A4" s="56" t="s">
        <v>18</v>
      </c>
      <c r="B4" s="68" t="s">
        <v>13</v>
      </c>
      <c r="C4" s="57" t="s">
        <v>0</v>
      </c>
      <c r="D4" s="69" t="s">
        <v>16</v>
      </c>
      <c r="E4" s="79" t="s">
        <v>20</v>
      </c>
      <c r="F4" s="80" t="s">
        <v>19</v>
      </c>
      <c r="G4" s="73" t="s">
        <v>12</v>
      </c>
      <c r="H4" s="70" t="s">
        <v>15</v>
      </c>
      <c r="I4" s="70" t="s">
        <v>24</v>
      </c>
      <c r="J4" s="70" t="s">
        <v>21</v>
      </c>
      <c r="K4" s="70" t="s">
        <v>22</v>
      </c>
      <c r="L4" s="70" t="s">
        <v>23</v>
      </c>
      <c r="M4" s="71" t="s">
        <v>32</v>
      </c>
    </row>
    <row r="5" spans="1:15" s="11" customFormat="1" ht="56.45" x14ac:dyDescent="0.2">
      <c r="A5" s="55" t="s">
        <v>45</v>
      </c>
      <c r="B5" s="33" t="s">
        <v>46</v>
      </c>
      <c r="C5" s="61" t="s">
        <v>14</v>
      </c>
      <c r="D5" s="34">
        <v>45921</v>
      </c>
      <c r="E5" s="81">
        <v>45934</v>
      </c>
      <c r="F5" s="82"/>
      <c r="G5" s="74">
        <v>0</v>
      </c>
      <c r="H5" s="58">
        <f t="shared" ref="H5:H26" si="0">$D$3</f>
        <v>45921</v>
      </c>
      <c r="I5" s="59">
        <f>IF(ISBLANK(D5),0,D5-H5)</f>
        <v>0</v>
      </c>
      <c r="J5" s="59">
        <f>$G5*$M5</f>
        <v>0</v>
      </c>
      <c r="K5" s="59">
        <f>M5-J5</f>
        <v>13</v>
      </c>
      <c r="L5" s="59">
        <f>IF(ISBLANK(F5),0,(F5-D5)-M5)</f>
        <v>0</v>
      </c>
      <c r="M5" s="60">
        <f t="shared" ref="M5:M26" si="1">IF(ISBLANK(E5),0,E5-D5)</f>
        <v>13</v>
      </c>
    </row>
    <row r="6" spans="1:15" s="11" customFormat="1" ht="90.6" x14ac:dyDescent="0.2">
      <c r="A6" s="26"/>
      <c r="B6" s="38" t="s">
        <v>50</v>
      </c>
      <c r="C6" s="39" t="s">
        <v>14</v>
      </c>
      <c r="D6" s="40">
        <v>45928</v>
      </c>
      <c r="E6" s="72">
        <v>45949</v>
      </c>
      <c r="F6" s="83"/>
      <c r="G6" s="75">
        <v>0</v>
      </c>
      <c r="H6" s="41">
        <f t="shared" si="0"/>
        <v>45921</v>
      </c>
      <c r="I6" s="42">
        <f t="shared" ref="I6:I11" si="2">IF(ISBLANK(D6),0,D6-H6)</f>
        <v>7</v>
      </c>
      <c r="J6" s="42">
        <f t="shared" ref="J6:J26" si="3">$G6*$M6</f>
        <v>0</v>
      </c>
      <c r="K6" s="42">
        <f t="shared" ref="K6:K11" si="4">M6-J6</f>
        <v>21</v>
      </c>
      <c r="L6" s="42">
        <f t="shared" ref="L6:L11" si="5">IF(ISBLANK(F6),0,(F6-D6)-M6)</f>
        <v>0</v>
      </c>
      <c r="M6" s="43">
        <f t="shared" si="1"/>
        <v>21</v>
      </c>
    </row>
    <row r="7" spans="1:15" s="11" customFormat="1" ht="46.05" thickBot="1" x14ac:dyDescent="0.25">
      <c r="A7" s="26"/>
      <c r="B7" s="63" t="s">
        <v>54</v>
      </c>
      <c r="C7" s="64" t="s">
        <v>14</v>
      </c>
      <c r="D7" s="45">
        <v>45944</v>
      </c>
      <c r="E7" s="84">
        <v>45954</v>
      </c>
      <c r="F7" s="85"/>
      <c r="G7" s="76">
        <v>0</v>
      </c>
      <c r="H7" s="65">
        <f t="shared" si="0"/>
        <v>45921</v>
      </c>
      <c r="I7" s="66">
        <f t="shared" si="2"/>
        <v>23</v>
      </c>
      <c r="J7" s="66">
        <f t="shared" si="3"/>
        <v>0</v>
      </c>
      <c r="K7" s="66">
        <f t="shared" si="4"/>
        <v>10</v>
      </c>
      <c r="L7" s="66">
        <f t="shared" si="5"/>
        <v>0</v>
      </c>
      <c r="M7" s="67">
        <f t="shared" si="1"/>
        <v>10</v>
      </c>
    </row>
    <row r="8" spans="1:15" s="11" customFormat="1" ht="56.45" x14ac:dyDescent="0.2">
      <c r="A8" s="55" t="s">
        <v>58</v>
      </c>
      <c r="B8" s="33" t="s">
        <v>59</v>
      </c>
      <c r="C8" s="61" t="s">
        <v>14</v>
      </c>
      <c r="D8" s="34">
        <v>45950</v>
      </c>
      <c r="E8" s="81">
        <v>45959</v>
      </c>
      <c r="F8" s="86"/>
      <c r="G8" s="77">
        <v>0</v>
      </c>
      <c r="H8" s="35">
        <f t="shared" si="0"/>
        <v>45921</v>
      </c>
      <c r="I8" s="36">
        <f t="shared" si="2"/>
        <v>29</v>
      </c>
      <c r="J8" s="36">
        <f t="shared" si="3"/>
        <v>0</v>
      </c>
      <c r="K8" s="36">
        <f t="shared" si="4"/>
        <v>9</v>
      </c>
      <c r="L8" s="36">
        <f t="shared" si="5"/>
        <v>0</v>
      </c>
      <c r="M8" s="37">
        <f t="shared" si="1"/>
        <v>9</v>
      </c>
    </row>
    <row r="9" spans="1:15" s="11" customFormat="1" ht="45.3" x14ac:dyDescent="0.2">
      <c r="A9" s="26"/>
      <c r="B9" s="38" t="s">
        <v>63</v>
      </c>
      <c r="C9" s="39" t="s">
        <v>14</v>
      </c>
      <c r="D9" s="40">
        <v>45959</v>
      </c>
      <c r="E9" s="72">
        <v>45990</v>
      </c>
      <c r="F9" s="83"/>
      <c r="G9" s="75">
        <v>0</v>
      </c>
      <c r="H9" s="41">
        <f t="shared" si="0"/>
        <v>45921</v>
      </c>
      <c r="I9" s="42">
        <f t="shared" si="2"/>
        <v>38</v>
      </c>
      <c r="J9" s="42">
        <f t="shared" si="3"/>
        <v>0</v>
      </c>
      <c r="K9" s="42">
        <f t="shared" si="4"/>
        <v>31</v>
      </c>
      <c r="L9" s="42">
        <f t="shared" si="5"/>
        <v>0</v>
      </c>
      <c r="M9" s="43">
        <f t="shared" si="1"/>
        <v>31</v>
      </c>
    </row>
    <row r="10" spans="1:15" s="11" customFormat="1" ht="45.3" x14ac:dyDescent="0.2">
      <c r="A10" s="26"/>
      <c r="B10" s="38" t="s">
        <v>66</v>
      </c>
      <c r="C10" s="39" t="s">
        <v>14</v>
      </c>
      <c r="D10" s="40">
        <v>45969</v>
      </c>
      <c r="E10" s="72">
        <v>45985</v>
      </c>
      <c r="F10" s="83"/>
      <c r="G10" s="75">
        <v>0</v>
      </c>
      <c r="H10" s="41">
        <f t="shared" si="0"/>
        <v>45921</v>
      </c>
      <c r="I10" s="42">
        <f t="shared" si="2"/>
        <v>48</v>
      </c>
      <c r="J10" s="42">
        <f t="shared" si="3"/>
        <v>0</v>
      </c>
      <c r="K10" s="42">
        <f t="shared" si="4"/>
        <v>16</v>
      </c>
      <c r="L10" s="42">
        <f t="shared" si="5"/>
        <v>0</v>
      </c>
      <c r="M10" s="43">
        <f t="shared" si="1"/>
        <v>16</v>
      </c>
    </row>
    <row r="11" spans="1:15" s="11" customFormat="1" ht="46.05" thickBot="1" x14ac:dyDescent="0.25">
      <c r="A11" s="27"/>
      <c r="B11" s="44" t="s">
        <v>70</v>
      </c>
      <c r="C11" s="62" t="s">
        <v>14</v>
      </c>
      <c r="D11" s="45">
        <v>45985</v>
      </c>
      <c r="E11" s="84">
        <v>46005</v>
      </c>
      <c r="F11" s="85"/>
      <c r="G11" s="78">
        <v>0</v>
      </c>
      <c r="H11" s="46">
        <f t="shared" si="0"/>
        <v>45921</v>
      </c>
      <c r="I11" s="47">
        <f t="shared" si="2"/>
        <v>64</v>
      </c>
      <c r="J11" s="47">
        <f t="shared" si="3"/>
        <v>0</v>
      </c>
      <c r="K11" s="47">
        <f t="shared" si="4"/>
        <v>20</v>
      </c>
      <c r="L11" s="47">
        <f t="shared" si="5"/>
        <v>0</v>
      </c>
      <c r="M11" s="48">
        <f t="shared" si="1"/>
        <v>20</v>
      </c>
    </row>
    <row r="12" spans="1:15" s="11" customFormat="1" ht="56.45" x14ac:dyDescent="0.2">
      <c r="A12" s="55" t="s">
        <v>73</v>
      </c>
      <c r="B12" s="33" t="s">
        <v>74</v>
      </c>
      <c r="C12" s="61" t="s">
        <v>14</v>
      </c>
      <c r="D12" s="34">
        <v>46011</v>
      </c>
      <c r="E12" s="81">
        <v>46020</v>
      </c>
      <c r="F12" s="86"/>
      <c r="G12" s="77">
        <v>0</v>
      </c>
      <c r="H12" s="35">
        <f t="shared" si="0"/>
        <v>45921</v>
      </c>
      <c r="I12" s="36">
        <f t="shared" ref="I12:I26" si="6">IF(ISBLANK(D12),0,D12-H12)</f>
        <v>90</v>
      </c>
      <c r="J12" s="36">
        <f t="shared" si="3"/>
        <v>0</v>
      </c>
      <c r="K12" s="36">
        <f t="shared" ref="K12:K26" si="7">M12-J12</f>
        <v>9</v>
      </c>
      <c r="L12" s="36">
        <f t="shared" ref="L12:L26" si="8">IF(ISBLANK(F12),0,(F12-D12)-M12)</f>
        <v>0</v>
      </c>
      <c r="M12" s="37">
        <f t="shared" si="1"/>
        <v>9</v>
      </c>
    </row>
    <row r="13" spans="1:15" s="11" customFormat="1" ht="45.3" x14ac:dyDescent="0.2">
      <c r="A13" s="26"/>
      <c r="B13" s="38" t="s">
        <v>78</v>
      </c>
      <c r="C13" s="39" t="s">
        <v>14</v>
      </c>
      <c r="D13" s="40">
        <v>46020</v>
      </c>
      <c r="E13" s="72">
        <v>46030</v>
      </c>
      <c r="F13" s="83"/>
      <c r="G13" s="75">
        <v>0</v>
      </c>
      <c r="H13" s="41">
        <f t="shared" si="0"/>
        <v>45921</v>
      </c>
      <c r="I13" s="42">
        <f t="shared" si="6"/>
        <v>99</v>
      </c>
      <c r="J13" s="42">
        <f t="shared" si="3"/>
        <v>0</v>
      </c>
      <c r="K13" s="42">
        <f t="shared" si="7"/>
        <v>10</v>
      </c>
      <c r="L13" s="42">
        <f t="shared" si="8"/>
        <v>0</v>
      </c>
      <c r="M13" s="43">
        <f t="shared" si="1"/>
        <v>10</v>
      </c>
    </row>
    <row r="14" spans="1:15" s="11" customFormat="1" ht="46.05" thickBot="1" x14ac:dyDescent="0.25">
      <c r="A14" s="27"/>
      <c r="B14" s="44" t="s">
        <v>81</v>
      </c>
      <c r="C14" s="62" t="s">
        <v>14</v>
      </c>
      <c r="D14" s="45">
        <v>46025</v>
      </c>
      <c r="E14" s="84">
        <v>46046</v>
      </c>
      <c r="F14" s="85"/>
      <c r="G14" s="78">
        <v>0</v>
      </c>
      <c r="H14" s="46">
        <f t="shared" si="0"/>
        <v>45921</v>
      </c>
      <c r="I14" s="47">
        <f t="shared" si="6"/>
        <v>104</v>
      </c>
      <c r="J14" s="47">
        <f t="shared" si="3"/>
        <v>0</v>
      </c>
      <c r="K14" s="47">
        <f t="shared" si="7"/>
        <v>21</v>
      </c>
      <c r="L14" s="47">
        <f t="shared" si="8"/>
        <v>0</v>
      </c>
      <c r="M14" s="48">
        <f t="shared" si="1"/>
        <v>21</v>
      </c>
    </row>
    <row r="15" spans="1:15" s="11" customFormat="1" ht="56.45" x14ac:dyDescent="0.2">
      <c r="A15" s="55" t="s">
        <v>85</v>
      </c>
      <c r="B15" s="33" t="s">
        <v>86</v>
      </c>
      <c r="C15" s="61" t="s">
        <v>14</v>
      </c>
      <c r="D15" s="34">
        <v>46046</v>
      </c>
      <c r="E15" s="81">
        <v>46061</v>
      </c>
      <c r="F15" s="86"/>
      <c r="G15" s="77">
        <v>0</v>
      </c>
      <c r="H15" s="35">
        <f t="shared" si="0"/>
        <v>45921</v>
      </c>
      <c r="I15" s="36">
        <f t="shared" si="6"/>
        <v>125</v>
      </c>
      <c r="J15" s="36">
        <f t="shared" si="3"/>
        <v>0</v>
      </c>
      <c r="K15" s="36">
        <f t="shared" si="7"/>
        <v>15</v>
      </c>
      <c r="L15" s="36">
        <f t="shared" si="8"/>
        <v>0</v>
      </c>
      <c r="M15" s="37">
        <f t="shared" si="1"/>
        <v>15</v>
      </c>
    </row>
    <row r="16" spans="1:15" s="11" customFormat="1" ht="45.3" x14ac:dyDescent="0.2">
      <c r="A16" s="26"/>
      <c r="B16" s="38" t="s">
        <v>89</v>
      </c>
      <c r="C16" s="39" t="s">
        <v>14</v>
      </c>
      <c r="D16" s="40">
        <v>46061</v>
      </c>
      <c r="E16" s="72">
        <v>46077</v>
      </c>
      <c r="F16" s="83"/>
      <c r="G16" s="75">
        <v>0</v>
      </c>
      <c r="H16" s="41">
        <f t="shared" si="0"/>
        <v>45921</v>
      </c>
      <c r="I16" s="42">
        <f t="shared" si="6"/>
        <v>140</v>
      </c>
      <c r="J16" s="42">
        <f t="shared" si="3"/>
        <v>0</v>
      </c>
      <c r="K16" s="42">
        <f t="shared" si="7"/>
        <v>16</v>
      </c>
      <c r="L16" s="42">
        <f t="shared" si="8"/>
        <v>0</v>
      </c>
      <c r="M16" s="43">
        <f t="shared" si="1"/>
        <v>16</v>
      </c>
    </row>
    <row r="17" spans="1:13" s="11" customFormat="1" ht="45.3" x14ac:dyDescent="0.2">
      <c r="A17" s="26"/>
      <c r="B17" s="38" t="s">
        <v>92</v>
      </c>
      <c r="C17" s="39" t="s">
        <v>14</v>
      </c>
      <c r="D17" s="40">
        <v>46077</v>
      </c>
      <c r="E17" s="72">
        <v>46097</v>
      </c>
      <c r="F17" s="83"/>
      <c r="G17" s="75">
        <v>0</v>
      </c>
      <c r="H17" s="41">
        <f t="shared" si="0"/>
        <v>45921</v>
      </c>
      <c r="I17" s="42">
        <f t="shared" si="6"/>
        <v>156</v>
      </c>
      <c r="J17" s="42">
        <f t="shared" si="3"/>
        <v>0</v>
      </c>
      <c r="K17" s="42">
        <f t="shared" si="7"/>
        <v>20</v>
      </c>
      <c r="L17" s="42">
        <f t="shared" si="8"/>
        <v>0</v>
      </c>
      <c r="M17" s="43">
        <f t="shared" si="1"/>
        <v>20</v>
      </c>
    </row>
    <row r="18" spans="1:13" s="11" customFormat="1" ht="46.05" thickBot="1" x14ac:dyDescent="0.25">
      <c r="A18" s="27"/>
      <c r="B18" s="44" t="s">
        <v>95</v>
      </c>
      <c r="C18" s="62" t="s">
        <v>14</v>
      </c>
      <c r="D18" s="45">
        <v>46092</v>
      </c>
      <c r="E18" s="84">
        <v>46101</v>
      </c>
      <c r="F18" s="85"/>
      <c r="G18" s="78">
        <v>0</v>
      </c>
      <c r="H18" s="46">
        <f t="shared" si="0"/>
        <v>45921</v>
      </c>
      <c r="I18" s="47">
        <f t="shared" si="6"/>
        <v>171</v>
      </c>
      <c r="J18" s="47">
        <f t="shared" si="3"/>
        <v>0</v>
      </c>
      <c r="K18" s="47">
        <f t="shared" si="7"/>
        <v>9</v>
      </c>
      <c r="L18" s="47">
        <f t="shared" si="8"/>
        <v>0</v>
      </c>
      <c r="M18" s="48">
        <f t="shared" si="1"/>
        <v>9</v>
      </c>
    </row>
    <row r="19" spans="1:13" s="11" customFormat="1" ht="90.6" x14ac:dyDescent="0.2">
      <c r="A19" s="55" t="s">
        <v>99</v>
      </c>
      <c r="B19" s="33" t="s">
        <v>100</v>
      </c>
      <c r="C19" s="61" t="s">
        <v>14</v>
      </c>
      <c r="D19" s="34">
        <v>46101</v>
      </c>
      <c r="E19" s="81">
        <v>46105</v>
      </c>
      <c r="F19" s="86"/>
      <c r="G19" s="77">
        <v>0</v>
      </c>
      <c r="H19" s="35">
        <f t="shared" si="0"/>
        <v>45921</v>
      </c>
      <c r="I19" s="36">
        <f t="shared" si="6"/>
        <v>180</v>
      </c>
      <c r="J19" s="36">
        <f t="shared" si="3"/>
        <v>0</v>
      </c>
      <c r="K19" s="36">
        <f t="shared" si="7"/>
        <v>4</v>
      </c>
      <c r="L19" s="36">
        <f t="shared" si="8"/>
        <v>0</v>
      </c>
      <c r="M19" s="37">
        <f t="shared" si="1"/>
        <v>4</v>
      </c>
    </row>
    <row r="20" spans="1:13" s="11" customFormat="1" ht="90.6" x14ac:dyDescent="0.2">
      <c r="A20" s="26"/>
      <c r="B20" s="38" t="s">
        <v>104</v>
      </c>
      <c r="C20" s="39" t="s">
        <v>14</v>
      </c>
      <c r="D20" s="40">
        <v>46105</v>
      </c>
      <c r="E20" s="72">
        <v>46125</v>
      </c>
      <c r="F20" s="83"/>
      <c r="G20" s="75">
        <v>0</v>
      </c>
      <c r="H20" s="41">
        <f t="shared" si="0"/>
        <v>45921</v>
      </c>
      <c r="I20" s="42">
        <f t="shared" si="6"/>
        <v>184</v>
      </c>
      <c r="J20" s="42">
        <f t="shared" si="3"/>
        <v>0</v>
      </c>
      <c r="K20" s="42">
        <f t="shared" si="7"/>
        <v>20</v>
      </c>
      <c r="L20" s="42">
        <f t="shared" si="8"/>
        <v>0</v>
      </c>
      <c r="M20" s="43">
        <f t="shared" si="1"/>
        <v>20</v>
      </c>
    </row>
    <row r="21" spans="1:13" s="11" customFormat="1" ht="46.05" thickBot="1" x14ac:dyDescent="0.25">
      <c r="A21" s="27"/>
      <c r="B21" s="44" t="s">
        <v>108</v>
      </c>
      <c r="C21" s="62" t="s">
        <v>14</v>
      </c>
      <c r="D21" s="45">
        <v>46110</v>
      </c>
      <c r="E21" s="84">
        <v>46130</v>
      </c>
      <c r="F21" s="85"/>
      <c r="G21" s="78">
        <v>0</v>
      </c>
      <c r="H21" s="46">
        <f t="shared" si="0"/>
        <v>45921</v>
      </c>
      <c r="I21" s="47">
        <f t="shared" si="6"/>
        <v>189</v>
      </c>
      <c r="J21" s="47">
        <f t="shared" si="3"/>
        <v>0</v>
      </c>
      <c r="K21" s="47">
        <f t="shared" si="7"/>
        <v>20</v>
      </c>
      <c r="L21" s="47">
        <f t="shared" si="8"/>
        <v>0</v>
      </c>
      <c r="M21" s="48">
        <f t="shared" si="1"/>
        <v>20</v>
      </c>
    </row>
    <row r="22" spans="1:13" s="11" customFormat="1" ht="56.45" x14ac:dyDescent="0.2">
      <c r="A22" s="55" t="s">
        <v>111</v>
      </c>
      <c r="B22" s="33" t="s">
        <v>112</v>
      </c>
      <c r="C22" s="61" t="s">
        <v>14</v>
      </c>
      <c r="D22" s="34">
        <v>46125</v>
      </c>
      <c r="E22" s="81">
        <v>46136</v>
      </c>
      <c r="F22" s="86"/>
      <c r="G22" s="77">
        <v>0</v>
      </c>
      <c r="H22" s="35">
        <f t="shared" si="0"/>
        <v>45921</v>
      </c>
      <c r="I22" s="36">
        <f t="shared" si="6"/>
        <v>204</v>
      </c>
      <c r="J22" s="36">
        <f t="shared" si="3"/>
        <v>0</v>
      </c>
      <c r="K22" s="36">
        <f t="shared" si="7"/>
        <v>11</v>
      </c>
      <c r="L22" s="36">
        <f t="shared" si="8"/>
        <v>0</v>
      </c>
      <c r="M22" s="37">
        <f t="shared" si="1"/>
        <v>11</v>
      </c>
    </row>
    <row r="23" spans="1:13" s="11" customFormat="1" ht="46.05" thickBot="1" x14ac:dyDescent="0.25">
      <c r="A23" s="27"/>
      <c r="B23" s="44" t="s">
        <v>115</v>
      </c>
      <c r="C23" s="62" t="s">
        <v>14</v>
      </c>
      <c r="D23" s="45">
        <v>46132</v>
      </c>
      <c r="E23" s="84">
        <v>46141</v>
      </c>
      <c r="F23" s="85"/>
      <c r="G23" s="78">
        <v>0</v>
      </c>
      <c r="H23" s="46">
        <f t="shared" si="0"/>
        <v>45921</v>
      </c>
      <c r="I23" s="47">
        <f t="shared" si="6"/>
        <v>211</v>
      </c>
      <c r="J23" s="47">
        <f t="shared" si="3"/>
        <v>0</v>
      </c>
      <c r="K23" s="47">
        <f t="shared" si="7"/>
        <v>9</v>
      </c>
      <c r="L23" s="47">
        <f t="shared" si="8"/>
        <v>0</v>
      </c>
      <c r="M23" s="48">
        <f t="shared" si="1"/>
        <v>9</v>
      </c>
    </row>
    <row r="24" spans="1:13" s="11" customFormat="1" ht="56.45" x14ac:dyDescent="0.2">
      <c r="A24" s="55" t="s">
        <v>119</v>
      </c>
      <c r="B24" s="33" t="s">
        <v>120</v>
      </c>
      <c r="C24" s="61" t="s">
        <v>14</v>
      </c>
      <c r="D24" s="34">
        <v>46115</v>
      </c>
      <c r="E24" s="81">
        <v>46141</v>
      </c>
      <c r="F24" s="86"/>
      <c r="G24" s="77">
        <v>0</v>
      </c>
      <c r="H24" s="35">
        <f t="shared" si="0"/>
        <v>45921</v>
      </c>
      <c r="I24" s="36">
        <f t="shared" si="6"/>
        <v>194</v>
      </c>
      <c r="J24" s="36">
        <f t="shared" si="3"/>
        <v>0</v>
      </c>
      <c r="K24" s="36">
        <f t="shared" si="7"/>
        <v>26</v>
      </c>
      <c r="L24" s="36">
        <f t="shared" si="8"/>
        <v>0</v>
      </c>
      <c r="M24" s="37">
        <f t="shared" si="1"/>
        <v>26</v>
      </c>
    </row>
    <row r="25" spans="1:13" s="11" customFormat="1" ht="90.6" x14ac:dyDescent="0.2">
      <c r="A25" s="26"/>
      <c r="B25" s="38" t="s">
        <v>123</v>
      </c>
      <c r="C25" s="39" t="s">
        <v>14</v>
      </c>
      <c r="D25" s="40">
        <v>46125</v>
      </c>
      <c r="E25" s="72">
        <v>46146</v>
      </c>
      <c r="F25" s="83"/>
      <c r="G25" s="75">
        <v>0</v>
      </c>
      <c r="H25" s="41">
        <f t="shared" si="0"/>
        <v>45921</v>
      </c>
      <c r="I25" s="42">
        <f t="shared" si="6"/>
        <v>204</v>
      </c>
      <c r="J25" s="42">
        <f t="shared" si="3"/>
        <v>0</v>
      </c>
      <c r="K25" s="42">
        <f t="shared" si="7"/>
        <v>21</v>
      </c>
      <c r="L25" s="42">
        <f t="shared" si="8"/>
        <v>0</v>
      </c>
      <c r="M25" s="43">
        <f t="shared" si="1"/>
        <v>21</v>
      </c>
    </row>
    <row r="26" spans="1:13" s="11" customFormat="1" ht="46.05" thickBot="1" x14ac:dyDescent="0.25">
      <c r="A26" s="27"/>
      <c r="B26" s="44" t="s">
        <v>126</v>
      </c>
      <c r="C26" s="62" t="s">
        <v>14</v>
      </c>
      <c r="D26" s="45">
        <v>46141</v>
      </c>
      <c r="E26" s="84">
        <v>46161</v>
      </c>
      <c r="F26" s="85"/>
      <c r="G26" s="78">
        <v>0</v>
      </c>
      <c r="H26" s="46">
        <f t="shared" si="0"/>
        <v>45921</v>
      </c>
      <c r="I26" s="47">
        <f t="shared" si="6"/>
        <v>220</v>
      </c>
      <c r="J26" s="47">
        <f t="shared" si="3"/>
        <v>0</v>
      </c>
      <c r="K26" s="47">
        <f t="shared" si="7"/>
        <v>20</v>
      </c>
      <c r="L26" s="47">
        <f t="shared" si="8"/>
        <v>0</v>
      </c>
      <c r="M26" s="48">
        <f t="shared" si="1"/>
        <v>20</v>
      </c>
    </row>
    <row r="27" spans="1:13" s="11" customFormat="1" ht="46.05" thickBot="1" x14ac:dyDescent="0.25">
      <c r="A27" s="25"/>
      <c r="B27" s="49"/>
      <c r="C27" s="49" t="s">
        <v>17</v>
      </c>
      <c r="D27" s="50"/>
      <c r="E27" s="51"/>
      <c r="F27" s="51"/>
      <c r="G27" s="52"/>
      <c r="H27" s="51"/>
      <c r="I27" s="53"/>
      <c r="J27" s="53"/>
      <c r="K27" s="53"/>
      <c r="L27" s="53"/>
      <c r="M27" s="54"/>
    </row>
    <row r="31" spans="1:13" x14ac:dyDescent="0.2">
      <c r="L31" s="19" t="s">
        <v>35</v>
      </c>
    </row>
  </sheetData>
  <conditionalFormatting sqref="C5:C26">
    <cfRule type="containsText" dxfId="2" priority="1" operator="containsText" text="LOW">
      <formula>NOT(ISERROR(SEARCH("LOW",C5)))</formula>
    </cfRule>
    <cfRule type="containsText" dxfId="1" priority="2" operator="containsText" text="MEDIUM">
      <formula>NOT(ISERROR(SEARCH("MEDIUM",C5)))</formula>
    </cfRule>
    <cfRule type="containsText" dxfId="0" priority="3" operator="containsText" text="HIGH">
      <formula>NOT(ISERROR(SEARCH("HIGH",C5)))</formula>
    </cfRule>
  </conditionalFormatting>
  <conditionalFormatting sqref="G5:G27">
    <cfRule type="dataBar" priority="4">
      <dataBar>
        <cfvo type="num" val="0"/>
        <cfvo type="num" val="1"/>
        <color rgb="FF63C384"/>
      </dataBar>
      <extLst>
        <ext xmlns:x14="http://schemas.microsoft.com/office/spreadsheetml/2009/9/main" uri="{B025F937-C7B1-47D3-B67F-A62EFF666E3E}">
          <x14:id>{C418AF5D-1E15-4890-9C99-E5C9D08F1B88}</x14:id>
        </ext>
      </extLst>
    </cfRule>
  </conditionalFormatting>
  <dataValidations disablePrompts="1" count="1">
    <dataValidation type="list" allowBlank="1" showInputMessage="1" showErrorMessage="1" sqref="C5:C26" xr:uid="{00000000-0002-0000-0000-000000000000}">
      <formula1>"HIGH,MEDIUM,LOW"</formula1>
    </dataValidation>
  </dataValidations>
  <pageMargins left="0.5" right="0.5" top="0.5" bottom="0.5" header="0.3" footer="0.3"/>
  <pageSetup scale="82" fitToHeight="0" orientation="landscape" r:id="rId1"/>
  <headerFooter scaleWithDoc="0">
    <oddFooter>&amp;L&amp;"Arial,Regular"&amp;9&amp;K01+045https://www.vertex42.com/ExcelTemplates/task-list-template.html&amp;R&amp;"Arial,Regular"&amp;9&amp;K01+045Project Task List Template © 2017 by Vertex42.com</oddFooter>
  </headerFooter>
  <extLst>
    <ext xmlns:x14="http://schemas.microsoft.com/office/spreadsheetml/2009/9/main" uri="{78C0D931-6437-407d-A8EE-F0AAD7539E65}">
      <x14:conditionalFormattings>
        <x14:conditionalFormatting xmlns:xm="http://schemas.microsoft.com/office/excel/2006/main">
          <x14:cfRule type="dataBar" id="{C418AF5D-1E15-4890-9C99-E5C9D08F1B88}">
            <x14:dataBar minLength="0" maxLength="100" border="1" gradient="0">
              <x14:cfvo type="num">
                <xm:f>0</xm:f>
              </x14:cfvo>
              <x14:cfvo type="num">
                <xm:f>1</xm:f>
              </x14:cfvo>
              <x14:borderColor theme="0"/>
              <x14:negativeFillColor rgb="FFFF0000"/>
              <x14:axisColor rgb="FF000000"/>
            </x14:dataBar>
          </x14:cfRule>
          <xm:sqref>G5:G27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showGridLines="0" topLeftCell="A16" workbookViewId="0">
      <selection activeCell="A2" sqref="A2"/>
    </sheetView>
  </sheetViews>
  <sheetFormatPr defaultRowHeight="14.1" x14ac:dyDescent="0.2"/>
  <cols>
    <col min="1" max="1" width="9" customWidth="1"/>
    <col min="2" max="2" width="68.5" customWidth="1"/>
    <col min="3" max="3" width="6" customWidth="1"/>
  </cols>
  <sheetData>
    <row r="1" spans="1:4" ht="33.049999999999997" customHeight="1" x14ac:dyDescent="0.2">
      <c r="A1" s="3" t="s">
        <v>1</v>
      </c>
      <c r="B1" s="3"/>
      <c r="C1" s="4" t="s">
        <v>11</v>
      </c>
    </row>
    <row r="2" spans="1:4" ht="14.3" x14ac:dyDescent="0.2">
      <c r="C2" s="5" t="s">
        <v>31</v>
      </c>
    </row>
    <row r="4" spans="1:4" ht="15.05" x14ac:dyDescent="0.25">
      <c r="A4" s="7" t="s">
        <v>2</v>
      </c>
      <c r="B4" s="6"/>
      <c r="D4" s="6"/>
    </row>
    <row r="5" spans="1:4" ht="71.3" x14ac:dyDescent="0.2">
      <c r="B5" s="8" t="s">
        <v>27</v>
      </c>
      <c r="D5" s="6"/>
    </row>
    <row r="6" spans="1:4" ht="14.3" x14ac:dyDescent="0.2">
      <c r="B6" s="16"/>
      <c r="D6" s="6"/>
    </row>
    <row r="7" spans="1:4" ht="15.05" x14ac:dyDescent="0.2">
      <c r="B7" s="18" t="s">
        <v>34</v>
      </c>
      <c r="D7" s="6"/>
    </row>
    <row r="8" spans="1:4" ht="15.05" x14ac:dyDescent="0.2">
      <c r="B8" s="17" t="s">
        <v>33</v>
      </c>
      <c r="D8" s="6"/>
    </row>
    <row r="9" spans="1:4" ht="14.3" x14ac:dyDescent="0.2">
      <c r="B9" s="16"/>
      <c r="D9" s="6"/>
    </row>
    <row r="10" spans="1:4" ht="14.3" x14ac:dyDescent="0.2">
      <c r="B10" s="8"/>
      <c r="D10" s="6"/>
    </row>
    <row r="11" spans="1:4" ht="15.05" x14ac:dyDescent="0.25">
      <c r="A11" s="7" t="s">
        <v>26</v>
      </c>
      <c r="B11" s="8"/>
      <c r="D11" s="6"/>
    </row>
    <row r="12" spans="1:4" ht="42.7" x14ac:dyDescent="0.2">
      <c r="B12" s="8" t="s">
        <v>25</v>
      </c>
      <c r="D12" s="6"/>
    </row>
    <row r="13" spans="1:4" ht="14.3" x14ac:dyDescent="0.2">
      <c r="B13" s="8"/>
      <c r="D13" s="6"/>
    </row>
    <row r="14" spans="1:4" ht="15.05" x14ac:dyDescent="0.25">
      <c r="A14" s="7" t="s">
        <v>28</v>
      </c>
      <c r="B14" s="8"/>
      <c r="D14" s="6"/>
    </row>
    <row r="15" spans="1:4" ht="28.6" x14ac:dyDescent="0.2">
      <c r="B15" s="8" t="s">
        <v>29</v>
      </c>
      <c r="D15" s="6"/>
    </row>
    <row r="16" spans="1:4" ht="14.3" x14ac:dyDescent="0.2">
      <c r="B16" s="8"/>
      <c r="D16" s="6"/>
    </row>
    <row r="17" spans="1:4" ht="15.05" x14ac:dyDescent="0.25">
      <c r="A17" s="7" t="s">
        <v>7</v>
      </c>
      <c r="B17" s="8"/>
      <c r="D17" s="6"/>
    </row>
    <row r="18" spans="1:4" ht="42.7" x14ac:dyDescent="0.2">
      <c r="B18" s="8" t="s">
        <v>30</v>
      </c>
    </row>
    <row r="19" spans="1:4" ht="14.3" x14ac:dyDescent="0.2">
      <c r="B19" s="8"/>
    </row>
    <row r="20" spans="1:4" ht="28.6" x14ac:dyDescent="0.2">
      <c r="B20" s="8" t="s">
        <v>8</v>
      </c>
    </row>
    <row r="22" spans="1:4" ht="15.05" x14ac:dyDescent="0.25">
      <c r="A22" s="7" t="s">
        <v>3</v>
      </c>
      <c r="B22" s="6"/>
    </row>
    <row r="23" spans="1:4" ht="28.6" x14ac:dyDescent="0.2">
      <c r="B23" s="8" t="s">
        <v>5</v>
      </c>
    </row>
    <row r="24" spans="1:4" ht="14.3" x14ac:dyDescent="0.2">
      <c r="B24" s="6"/>
    </row>
    <row r="25" spans="1:4" ht="42.7" x14ac:dyDescent="0.2">
      <c r="B25" s="9" t="s">
        <v>4</v>
      </c>
    </row>
    <row r="26" spans="1:4" ht="14.3" x14ac:dyDescent="0.2">
      <c r="B26" s="6"/>
    </row>
    <row r="27" spans="1:4" x14ac:dyDescent="0.2">
      <c r="B27" s="10" t="s">
        <v>6</v>
      </c>
    </row>
    <row r="28" spans="1:4" x14ac:dyDescent="0.2">
      <c r="B28" s="6"/>
    </row>
    <row r="29" spans="1:4" ht="14.85" x14ac:dyDescent="0.25">
      <c r="A29" s="7" t="s">
        <v>9</v>
      </c>
      <c r="B29" s="8"/>
    </row>
    <row r="30" spans="1:4" ht="28.2" x14ac:dyDescent="0.2">
      <c r="B30" s="8" t="s">
        <v>10</v>
      </c>
    </row>
  </sheetData>
  <hyperlinks>
    <hyperlink ref="C2" r:id="rId1" xr:uid="{00000000-0004-0000-0100-000000000000}"/>
    <hyperlink ref="B27" r:id="rId2" xr:uid="{00000000-0004-0000-0100-000001000000}"/>
    <hyperlink ref="B8" r:id="rId3"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9D45B-B513-477A-8DEF-0DC764FAFD77}">
  <dimension ref="A1:G26"/>
  <sheetViews>
    <sheetView zoomScale="70" zoomScaleNormal="70" workbookViewId="0">
      <selection activeCell="C39" sqref="C39"/>
    </sheetView>
  </sheetViews>
  <sheetFormatPr defaultRowHeight="14.1" x14ac:dyDescent="0.2"/>
  <cols>
    <col min="1" max="1" width="47.375" bestFit="1" customWidth="1"/>
    <col min="2" max="2" width="55.75" bestFit="1" customWidth="1"/>
    <col min="3" max="4" width="12.375" bestFit="1" customWidth="1"/>
    <col min="5" max="5" width="31.25" bestFit="1" customWidth="1"/>
    <col min="6" max="6" width="32.625" bestFit="1" customWidth="1"/>
    <col min="7" max="7" width="42.125" bestFit="1" customWidth="1"/>
    <col min="8" max="8" width="55.625" customWidth="1"/>
  </cols>
  <sheetData>
    <row r="1" spans="1:7" ht="14.85" x14ac:dyDescent="0.2">
      <c r="A1" s="21" t="s">
        <v>39</v>
      </c>
      <c r="B1" s="21" t="s">
        <v>40</v>
      </c>
      <c r="C1" s="21" t="s">
        <v>41</v>
      </c>
      <c r="D1" s="21" t="s">
        <v>42</v>
      </c>
      <c r="E1" s="21" t="s">
        <v>43</v>
      </c>
      <c r="F1" s="21" t="s">
        <v>129</v>
      </c>
      <c r="G1" s="21" t="s">
        <v>44</v>
      </c>
    </row>
    <row r="2" spans="1:7" ht="14.85" x14ac:dyDescent="0.2">
      <c r="A2" s="23" t="s">
        <v>45</v>
      </c>
      <c r="B2" s="22" t="s">
        <v>46</v>
      </c>
      <c r="C2" s="22" t="s">
        <v>47</v>
      </c>
      <c r="D2" s="22" t="s">
        <v>48</v>
      </c>
      <c r="E2" s="22">
        <v>2</v>
      </c>
      <c r="F2" s="22">
        <f xml:space="preserve"> ROUNDUP(E2*7,0)</f>
        <v>14</v>
      </c>
      <c r="G2" s="22" t="s">
        <v>49</v>
      </c>
    </row>
    <row r="3" spans="1:7" ht="28.2" x14ac:dyDescent="0.2">
      <c r="A3" s="22"/>
      <c r="B3" s="22" t="s">
        <v>50</v>
      </c>
      <c r="C3" s="22" t="s">
        <v>51</v>
      </c>
      <c r="D3" s="22" t="s">
        <v>52</v>
      </c>
      <c r="E3" s="22">
        <v>3</v>
      </c>
      <c r="F3" s="22">
        <f t="shared" ref="F3:F23" si="0" xml:space="preserve"> ROUNDUP(E3*7,0)</f>
        <v>21</v>
      </c>
      <c r="G3" s="22" t="s">
        <v>53</v>
      </c>
    </row>
    <row r="4" spans="1:7" x14ac:dyDescent="0.2">
      <c r="A4" s="22"/>
      <c r="B4" s="22" t="s">
        <v>54</v>
      </c>
      <c r="C4" s="22" t="s">
        <v>55</v>
      </c>
      <c r="D4" s="22" t="s">
        <v>56</v>
      </c>
      <c r="E4" s="22">
        <v>1.5</v>
      </c>
      <c r="F4" s="22">
        <f t="shared" si="0"/>
        <v>11</v>
      </c>
      <c r="G4" s="22" t="s">
        <v>57</v>
      </c>
    </row>
    <row r="5" spans="1:7" ht="14.85" x14ac:dyDescent="0.2">
      <c r="A5" s="23" t="s">
        <v>58</v>
      </c>
      <c r="B5" s="22" t="s">
        <v>59</v>
      </c>
      <c r="C5" s="22" t="s">
        <v>60</v>
      </c>
      <c r="D5" s="22" t="s">
        <v>61</v>
      </c>
      <c r="E5" s="22">
        <v>1.5</v>
      </c>
      <c r="F5" s="22">
        <f t="shared" si="0"/>
        <v>11</v>
      </c>
      <c r="G5" s="22" t="s">
        <v>62</v>
      </c>
    </row>
    <row r="6" spans="1:7" x14ac:dyDescent="0.2">
      <c r="A6" s="22"/>
      <c r="B6" s="22" t="s">
        <v>63</v>
      </c>
      <c r="C6" s="22" t="s">
        <v>61</v>
      </c>
      <c r="D6" s="22" t="s">
        <v>64</v>
      </c>
      <c r="E6" s="22">
        <v>4</v>
      </c>
      <c r="F6" s="22">
        <f t="shared" si="0"/>
        <v>28</v>
      </c>
      <c r="G6" s="22" t="s">
        <v>65</v>
      </c>
    </row>
    <row r="7" spans="1:7" x14ac:dyDescent="0.2">
      <c r="A7" s="22"/>
      <c r="B7" s="22" t="s">
        <v>66</v>
      </c>
      <c r="C7" s="22" t="s">
        <v>67</v>
      </c>
      <c r="D7" s="22" t="s">
        <v>68</v>
      </c>
      <c r="E7" s="22">
        <v>2</v>
      </c>
      <c r="F7" s="22">
        <f t="shared" si="0"/>
        <v>14</v>
      </c>
      <c r="G7" s="22" t="s">
        <v>69</v>
      </c>
    </row>
    <row r="8" spans="1:7" x14ac:dyDescent="0.2">
      <c r="A8" s="22"/>
      <c r="B8" s="22" t="s">
        <v>70</v>
      </c>
      <c r="C8" s="22" t="s">
        <v>68</v>
      </c>
      <c r="D8" s="22" t="s">
        <v>71</v>
      </c>
      <c r="E8" s="22">
        <v>3</v>
      </c>
      <c r="F8" s="22">
        <f t="shared" si="0"/>
        <v>21</v>
      </c>
      <c r="G8" s="22" t="s">
        <v>72</v>
      </c>
    </row>
    <row r="9" spans="1:7" ht="14.85" x14ac:dyDescent="0.2">
      <c r="A9" s="23" t="s">
        <v>73</v>
      </c>
      <c r="B9" s="22" t="s">
        <v>74</v>
      </c>
      <c r="C9" s="22" t="s">
        <v>75</v>
      </c>
      <c r="D9" s="22" t="s">
        <v>76</v>
      </c>
      <c r="E9" s="22">
        <v>1.5</v>
      </c>
      <c r="F9" s="22">
        <f t="shared" si="0"/>
        <v>11</v>
      </c>
      <c r="G9" s="22" t="s">
        <v>77</v>
      </c>
    </row>
    <row r="10" spans="1:7" x14ac:dyDescent="0.2">
      <c r="A10" s="22"/>
      <c r="B10" s="22" t="s">
        <v>78</v>
      </c>
      <c r="C10" s="22" t="s">
        <v>76</v>
      </c>
      <c r="D10" s="22" t="s">
        <v>79</v>
      </c>
      <c r="E10" s="22">
        <v>1.5</v>
      </c>
      <c r="F10" s="22">
        <f t="shared" si="0"/>
        <v>11</v>
      </c>
      <c r="G10" s="22" t="s">
        <v>80</v>
      </c>
    </row>
    <row r="11" spans="1:7" x14ac:dyDescent="0.2">
      <c r="A11" s="22"/>
      <c r="B11" s="22" t="s">
        <v>81</v>
      </c>
      <c r="C11" s="22" t="s">
        <v>82</v>
      </c>
      <c r="D11" s="22" t="s">
        <v>83</v>
      </c>
      <c r="E11" s="22">
        <v>3</v>
      </c>
      <c r="F11" s="22">
        <f t="shared" si="0"/>
        <v>21</v>
      </c>
      <c r="G11" s="22" t="s">
        <v>84</v>
      </c>
    </row>
    <row r="12" spans="1:7" ht="14.85" x14ac:dyDescent="0.2">
      <c r="A12" s="23" t="s">
        <v>85</v>
      </c>
      <c r="B12" s="22" t="s">
        <v>86</v>
      </c>
      <c r="C12" s="22" t="s">
        <v>83</v>
      </c>
      <c r="D12" s="22" t="s">
        <v>87</v>
      </c>
      <c r="E12" s="22">
        <v>2</v>
      </c>
      <c r="F12" s="22">
        <f t="shared" si="0"/>
        <v>14</v>
      </c>
      <c r="G12" s="22" t="s">
        <v>88</v>
      </c>
    </row>
    <row r="13" spans="1:7" x14ac:dyDescent="0.2">
      <c r="A13" s="22"/>
      <c r="B13" s="22" t="s">
        <v>89</v>
      </c>
      <c r="C13" s="22" t="s">
        <v>87</v>
      </c>
      <c r="D13" s="22" t="s">
        <v>90</v>
      </c>
      <c r="E13" s="22">
        <v>2</v>
      </c>
      <c r="F13" s="22">
        <f t="shared" si="0"/>
        <v>14</v>
      </c>
      <c r="G13" s="22" t="s">
        <v>91</v>
      </c>
    </row>
    <row r="14" spans="1:7" x14ac:dyDescent="0.2">
      <c r="A14" s="22"/>
      <c r="B14" s="22" t="s">
        <v>92</v>
      </c>
      <c r="C14" s="22" t="s">
        <v>90</v>
      </c>
      <c r="D14" s="22" t="s">
        <v>93</v>
      </c>
      <c r="E14" s="22">
        <v>3</v>
      </c>
      <c r="F14" s="22">
        <f t="shared" si="0"/>
        <v>21</v>
      </c>
      <c r="G14" s="22" t="s">
        <v>94</v>
      </c>
    </row>
    <row r="15" spans="1:7" x14ac:dyDescent="0.2">
      <c r="A15" s="22"/>
      <c r="B15" s="22" t="s">
        <v>95</v>
      </c>
      <c r="C15" s="22" t="s">
        <v>96</v>
      </c>
      <c r="D15" s="22" t="s">
        <v>97</v>
      </c>
      <c r="E15" s="22">
        <v>1.5</v>
      </c>
      <c r="F15" s="22">
        <f t="shared" si="0"/>
        <v>11</v>
      </c>
      <c r="G15" s="22" t="s">
        <v>98</v>
      </c>
    </row>
    <row r="16" spans="1:7" ht="28.2" x14ac:dyDescent="0.2">
      <c r="A16" s="23" t="s">
        <v>99</v>
      </c>
      <c r="B16" s="22" t="s">
        <v>100</v>
      </c>
      <c r="C16" s="22" t="s">
        <v>101</v>
      </c>
      <c r="D16" s="22" t="s">
        <v>102</v>
      </c>
      <c r="E16" s="22">
        <v>1.5</v>
      </c>
      <c r="F16" s="22">
        <f t="shared" si="0"/>
        <v>11</v>
      </c>
      <c r="G16" s="22" t="s">
        <v>103</v>
      </c>
    </row>
    <row r="17" spans="1:7" ht="28.2" x14ac:dyDescent="0.2">
      <c r="A17" s="22"/>
      <c r="B17" s="22" t="s">
        <v>104</v>
      </c>
      <c r="C17" s="22" t="s">
        <v>105</v>
      </c>
      <c r="D17" s="22" t="s">
        <v>106</v>
      </c>
      <c r="E17" s="22">
        <v>3</v>
      </c>
      <c r="F17" s="22">
        <f t="shared" si="0"/>
        <v>21</v>
      </c>
      <c r="G17" s="22" t="s">
        <v>107</v>
      </c>
    </row>
    <row r="18" spans="1:7" x14ac:dyDescent="0.2">
      <c r="A18" s="22"/>
      <c r="B18" s="22" t="s">
        <v>108</v>
      </c>
      <c r="C18" s="22" t="s">
        <v>102</v>
      </c>
      <c r="D18" s="22" t="s">
        <v>109</v>
      </c>
      <c r="E18" s="22">
        <v>3</v>
      </c>
      <c r="F18" s="22">
        <f t="shared" si="0"/>
        <v>21</v>
      </c>
      <c r="G18" s="22" t="s">
        <v>110</v>
      </c>
    </row>
    <row r="19" spans="1:7" ht="14.85" x14ac:dyDescent="0.2">
      <c r="A19" s="23" t="s">
        <v>111</v>
      </c>
      <c r="B19" s="22" t="s">
        <v>112</v>
      </c>
      <c r="C19" s="22" t="s">
        <v>106</v>
      </c>
      <c r="D19" s="22" t="s">
        <v>113</v>
      </c>
      <c r="E19" s="22">
        <v>1.5</v>
      </c>
      <c r="F19" s="22">
        <f t="shared" si="0"/>
        <v>11</v>
      </c>
      <c r="G19" s="22" t="s">
        <v>114</v>
      </c>
    </row>
    <row r="20" spans="1:7" x14ac:dyDescent="0.2">
      <c r="A20" s="22"/>
      <c r="B20" s="22" t="s">
        <v>115</v>
      </c>
      <c r="C20" s="22" t="s">
        <v>116</v>
      </c>
      <c r="D20" s="22" t="s">
        <v>117</v>
      </c>
      <c r="E20" s="22">
        <v>1.5</v>
      </c>
      <c r="F20" s="22">
        <f t="shared" si="0"/>
        <v>11</v>
      </c>
      <c r="G20" s="22" t="s">
        <v>118</v>
      </c>
    </row>
    <row r="21" spans="1:7" ht="14.85" x14ac:dyDescent="0.2">
      <c r="A21" s="23" t="s">
        <v>119</v>
      </c>
      <c r="B21" s="22" t="s">
        <v>120</v>
      </c>
      <c r="C21" s="22" t="s">
        <v>121</v>
      </c>
      <c r="D21" s="22" t="s">
        <v>117</v>
      </c>
      <c r="E21" s="22">
        <v>3.5</v>
      </c>
      <c r="F21" s="22">
        <f t="shared" si="0"/>
        <v>25</v>
      </c>
      <c r="G21" s="22" t="s">
        <v>122</v>
      </c>
    </row>
    <row r="22" spans="1:7" x14ac:dyDescent="0.2">
      <c r="A22" s="22"/>
      <c r="B22" s="22" t="s">
        <v>123</v>
      </c>
      <c r="C22" s="22" t="s">
        <v>106</v>
      </c>
      <c r="D22" s="22" t="s">
        <v>124</v>
      </c>
      <c r="E22" s="22">
        <v>3</v>
      </c>
      <c r="F22" s="22">
        <f t="shared" si="0"/>
        <v>21</v>
      </c>
      <c r="G22" s="22" t="s">
        <v>125</v>
      </c>
    </row>
    <row r="23" spans="1:7" x14ac:dyDescent="0.2">
      <c r="A23" s="22"/>
      <c r="B23" s="22" t="s">
        <v>126</v>
      </c>
      <c r="C23" s="22" t="s">
        <v>117</v>
      </c>
      <c r="D23" s="22" t="s">
        <v>127</v>
      </c>
      <c r="E23" s="22">
        <v>3</v>
      </c>
      <c r="F23" s="22">
        <f t="shared" si="0"/>
        <v>21</v>
      </c>
      <c r="G23" s="22" t="s">
        <v>128</v>
      </c>
    </row>
    <row r="24" spans="1:7" x14ac:dyDescent="0.2">
      <c r="C24" s="22"/>
    </row>
    <row r="25" spans="1:7" x14ac:dyDescent="0.2">
      <c r="C25" s="22"/>
    </row>
    <row r="26" spans="1:7" x14ac:dyDescent="0.2">
      <c r="C26"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8D428-2E07-4B47-B7F1-2A23B7D60F40}">
  <dimension ref="A1:H23"/>
  <sheetViews>
    <sheetView topLeftCell="B1" zoomScale="70" zoomScaleNormal="70" workbookViewId="0">
      <selection activeCell="G2" sqref="G2:H23"/>
    </sheetView>
  </sheetViews>
  <sheetFormatPr defaultColWidth="38.25" defaultRowHeight="14.1" x14ac:dyDescent="0.2"/>
  <sheetData>
    <row r="1" spans="1:8" ht="14.85" x14ac:dyDescent="0.2">
      <c r="A1" s="21" t="s">
        <v>39</v>
      </c>
      <c r="B1" s="21" t="s">
        <v>40</v>
      </c>
      <c r="C1" s="21" t="s">
        <v>41</v>
      </c>
      <c r="D1" s="21" t="s">
        <v>42</v>
      </c>
      <c r="E1" s="21" t="s">
        <v>130</v>
      </c>
      <c r="F1" s="21" t="s">
        <v>44</v>
      </c>
    </row>
    <row r="2" spans="1:8" ht="29.7" x14ac:dyDescent="0.2">
      <c r="A2" s="23" t="s">
        <v>45</v>
      </c>
      <c r="B2" s="22" t="s">
        <v>46</v>
      </c>
      <c r="C2" s="24">
        <v>45902</v>
      </c>
      <c r="D2" s="24">
        <v>45915</v>
      </c>
      <c r="E2" s="22">
        <v>14</v>
      </c>
      <c r="F2" s="22" t="s">
        <v>49</v>
      </c>
      <c r="G2" s="20">
        <f xml:space="preserve"> C2+19</f>
        <v>45921</v>
      </c>
      <c r="H2" s="20">
        <f>D2+19</f>
        <v>45934</v>
      </c>
    </row>
    <row r="3" spans="1:8" ht="28.2" x14ac:dyDescent="0.2">
      <c r="A3" s="22"/>
      <c r="B3" s="22" t="s">
        <v>50</v>
      </c>
      <c r="C3" s="24">
        <v>45909</v>
      </c>
      <c r="D3" s="24">
        <v>45930</v>
      </c>
      <c r="E3" s="22">
        <v>21</v>
      </c>
      <c r="F3" s="22" t="s">
        <v>53</v>
      </c>
      <c r="G3" s="20">
        <f t="shared" ref="G3:G23" si="0" xml:space="preserve"> C3+19</f>
        <v>45928</v>
      </c>
      <c r="H3" s="20">
        <f t="shared" ref="H3:H23" si="1">D3+19</f>
        <v>45949</v>
      </c>
    </row>
    <row r="4" spans="1:8" ht="28.2" x14ac:dyDescent="0.2">
      <c r="A4" s="22"/>
      <c r="B4" s="22" t="s">
        <v>54</v>
      </c>
      <c r="C4" s="24">
        <v>45925</v>
      </c>
      <c r="D4" s="24">
        <v>45935</v>
      </c>
      <c r="E4" s="22">
        <v>10</v>
      </c>
      <c r="F4" s="22" t="s">
        <v>57</v>
      </c>
      <c r="G4" s="20">
        <f t="shared" si="0"/>
        <v>45944</v>
      </c>
      <c r="H4" s="20">
        <f t="shared" si="1"/>
        <v>45954</v>
      </c>
    </row>
    <row r="5" spans="1:8" ht="28.2" x14ac:dyDescent="0.2">
      <c r="A5" s="23" t="s">
        <v>58</v>
      </c>
      <c r="B5" s="22" t="s">
        <v>59</v>
      </c>
      <c r="C5" s="24">
        <v>45931</v>
      </c>
      <c r="D5" s="24">
        <v>45940</v>
      </c>
      <c r="E5" s="22">
        <v>10</v>
      </c>
      <c r="F5" s="22" t="s">
        <v>62</v>
      </c>
      <c r="G5" s="20">
        <f t="shared" si="0"/>
        <v>45950</v>
      </c>
      <c r="H5" s="20">
        <f t="shared" si="1"/>
        <v>45959</v>
      </c>
    </row>
    <row r="6" spans="1:8" ht="28.2" x14ac:dyDescent="0.2">
      <c r="A6" s="22"/>
      <c r="B6" s="22" t="s">
        <v>63</v>
      </c>
      <c r="C6" s="24">
        <v>45940</v>
      </c>
      <c r="D6" s="24">
        <v>45971</v>
      </c>
      <c r="E6" s="22">
        <v>32</v>
      </c>
      <c r="F6" s="22" t="s">
        <v>65</v>
      </c>
      <c r="G6" s="20">
        <f t="shared" si="0"/>
        <v>45959</v>
      </c>
      <c r="H6" s="20">
        <f t="shared" si="1"/>
        <v>45990</v>
      </c>
    </row>
    <row r="7" spans="1:8" ht="28.2" x14ac:dyDescent="0.2">
      <c r="A7" s="22"/>
      <c r="B7" s="22" t="s">
        <v>66</v>
      </c>
      <c r="C7" s="24">
        <v>45950</v>
      </c>
      <c r="D7" s="24">
        <v>45966</v>
      </c>
      <c r="E7" s="22">
        <v>17</v>
      </c>
      <c r="F7" s="22" t="s">
        <v>69</v>
      </c>
      <c r="G7" s="20">
        <f t="shared" si="0"/>
        <v>45969</v>
      </c>
      <c r="H7" s="20">
        <f t="shared" si="1"/>
        <v>45985</v>
      </c>
    </row>
    <row r="8" spans="1:8" x14ac:dyDescent="0.2">
      <c r="A8" s="22"/>
      <c r="B8" s="22" t="s">
        <v>70</v>
      </c>
      <c r="C8" s="24">
        <v>45966</v>
      </c>
      <c r="D8" s="24">
        <v>45986</v>
      </c>
      <c r="E8" s="22">
        <v>20</v>
      </c>
      <c r="F8" s="22" t="s">
        <v>72</v>
      </c>
      <c r="G8" s="20">
        <f t="shared" si="0"/>
        <v>45985</v>
      </c>
      <c r="H8" s="20">
        <f t="shared" si="1"/>
        <v>46005</v>
      </c>
    </row>
    <row r="9" spans="1:8" ht="28.2" x14ac:dyDescent="0.2">
      <c r="A9" s="23" t="s">
        <v>73</v>
      </c>
      <c r="B9" s="22" t="s">
        <v>74</v>
      </c>
      <c r="C9" s="24">
        <v>45992</v>
      </c>
      <c r="D9" s="24">
        <v>46001</v>
      </c>
      <c r="E9" s="22">
        <v>10</v>
      </c>
      <c r="F9" s="22" t="s">
        <v>77</v>
      </c>
      <c r="G9" s="20">
        <f t="shared" si="0"/>
        <v>46011</v>
      </c>
      <c r="H9" s="20">
        <f t="shared" si="1"/>
        <v>46020</v>
      </c>
    </row>
    <row r="10" spans="1:8" ht="28.2" x14ac:dyDescent="0.2">
      <c r="A10" s="22"/>
      <c r="B10" s="22" t="s">
        <v>78</v>
      </c>
      <c r="C10" s="24">
        <v>46001</v>
      </c>
      <c r="D10" s="24">
        <v>46011</v>
      </c>
      <c r="E10" s="22">
        <v>10</v>
      </c>
      <c r="F10" s="22" t="s">
        <v>80</v>
      </c>
      <c r="G10" s="20">
        <f t="shared" si="0"/>
        <v>46020</v>
      </c>
      <c r="H10" s="20">
        <f t="shared" si="1"/>
        <v>46030</v>
      </c>
    </row>
    <row r="11" spans="1:8" ht="28.2" x14ac:dyDescent="0.2">
      <c r="A11" s="22"/>
      <c r="B11" s="22" t="s">
        <v>81</v>
      </c>
      <c r="C11" s="24">
        <v>46006</v>
      </c>
      <c r="D11" s="24">
        <v>46027</v>
      </c>
      <c r="E11" s="22">
        <v>22</v>
      </c>
      <c r="F11" s="22" t="s">
        <v>84</v>
      </c>
      <c r="G11" s="20">
        <f t="shared" si="0"/>
        <v>46025</v>
      </c>
      <c r="H11" s="20">
        <f t="shared" si="1"/>
        <v>46046</v>
      </c>
    </row>
    <row r="12" spans="1:8" ht="14.85" x14ac:dyDescent="0.2">
      <c r="A12" s="23" t="s">
        <v>85</v>
      </c>
      <c r="B12" s="22" t="s">
        <v>86</v>
      </c>
      <c r="C12" s="24">
        <v>46027</v>
      </c>
      <c r="D12" s="24">
        <v>46042</v>
      </c>
      <c r="E12" s="22">
        <v>15</v>
      </c>
      <c r="F12" s="22" t="s">
        <v>88</v>
      </c>
      <c r="G12" s="20">
        <f t="shared" si="0"/>
        <v>46046</v>
      </c>
      <c r="H12" s="20">
        <f t="shared" si="1"/>
        <v>46061</v>
      </c>
    </row>
    <row r="13" spans="1:8" x14ac:dyDescent="0.2">
      <c r="A13" s="22"/>
      <c r="B13" s="22" t="s">
        <v>89</v>
      </c>
      <c r="C13" s="24">
        <v>46042</v>
      </c>
      <c r="D13" s="24">
        <v>46058</v>
      </c>
      <c r="E13" s="22">
        <v>17</v>
      </c>
      <c r="F13" s="22" t="s">
        <v>91</v>
      </c>
      <c r="G13" s="20">
        <f t="shared" si="0"/>
        <v>46061</v>
      </c>
      <c r="H13" s="20">
        <f t="shared" si="1"/>
        <v>46077</v>
      </c>
    </row>
    <row r="14" spans="1:8" x14ac:dyDescent="0.2">
      <c r="A14" s="22"/>
      <c r="B14" s="22" t="s">
        <v>92</v>
      </c>
      <c r="C14" s="24">
        <v>46058</v>
      </c>
      <c r="D14" s="24">
        <v>46078</v>
      </c>
      <c r="E14" s="22">
        <v>21</v>
      </c>
      <c r="F14" s="22" t="s">
        <v>94</v>
      </c>
      <c r="G14" s="20">
        <f t="shared" si="0"/>
        <v>46077</v>
      </c>
      <c r="H14" s="20">
        <f t="shared" si="1"/>
        <v>46097</v>
      </c>
    </row>
    <row r="15" spans="1:8" x14ac:dyDescent="0.2">
      <c r="A15" s="22"/>
      <c r="B15" s="22" t="s">
        <v>95</v>
      </c>
      <c r="C15" s="24">
        <v>46073</v>
      </c>
      <c r="D15" s="24">
        <v>46082</v>
      </c>
      <c r="E15" s="22">
        <v>10</v>
      </c>
      <c r="F15" s="22" t="s">
        <v>98</v>
      </c>
      <c r="G15" s="20">
        <f t="shared" si="0"/>
        <v>46092</v>
      </c>
      <c r="H15" s="20">
        <f>D15+19</f>
        <v>46101</v>
      </c>
    </row>
    <row r="16" spans="1:8" ht="28.2" x14ac:dyDescent="0.2">
      <c r="A16" s="23" t="s">
        <v>99</v>
      </c>
      <c r="B16" s="22" t="s">
        <v>100</v>
      </c>
      <c r="C16" s="24">
        <v>46082</v>
      </c>
      <c r="D16" s="24">
        <v>46082</v>
      </c>
      <c r="E16" s="22">
        <v>10</v>
      </c>
      <c r="F16" s="22" t="s">
        <v>103</v>
      </c>
      <c r="G16" s="20">
        <f t="shared" si="0"/>
        <v>46101</v>
      </c>
      <c r="H16" s="20">
        <f t="shared" si="1"/>
        <v>46101</v>
      </c>
    </row>
    <row r="17" spans="1:8" ht="28.2" x14ac:dyDescent="0.2">
      <c r="A17" s="22"/>
      <c r="B17" s="22" t="s">
        <v>104</v>
      </c>
      <c r="C17" s="24">
        <v>46086</v>
      </c>
      <c r="D17" s="24">
        <v>46106</v>
      </c>
      <c r="E17" s="22">
        <v>21</v>
      </c>
      <c r="F17" s="22" t="s">
        <v>107</v>
      </c>
      <c r="G17" s="20">
        <f t="shared" si="0"/>
        <v>46105</v>
      </c>
      <c r="H17" s="20">
        <f t="shared" si="1"/>
        <v>46125</v>
      </c>
    </row>
    <row r="18" spans="1:8" x14ac:dyDescent="0.2">
      <c r="A18" s="22"/>
      <c r="B18" s="22" t="s">
        <v>108</v>
      </c>
      <c r="C18" s="24">
        <v>46091</v>
      </c>
      <c r="D18" s="24">
        <v>46111</v>
      </c>
      <c r="E18" s="22">
        <v>21</v>
      </c>
      <c r="F18" s="22" t="s">
        <v>110</v>
      </c>
      <c r="G18" s="20">
        <f t="shared" si="0"/>
        <v>46110</v>
      </c>
      <c r="H18" s="20">
        <f t="shared" si="1"/>
        <v>46130</v>
      </c>
    </row>
    <row r="19" spans="1:8" ht="28.2" x14ac:dyDescent="0.2">
      <c r="A19" s="23" t="s">
        <v>111</v>
      </c>
      <c r="B19" s="22" t="s">
        <v>112</v>
      </c>
      <c r="C19" s="24">
        <v>46106</v>
      </c>
      <c r="D19" s="24">
        <v>46117</v>
      </c>
      <c r="E19" s="22">
        <v>12</v>
      </c>
      <c r="F19" s="22" t="s">
        <v>114</v>
      </c>
      <c r="G19" s="20">
        <f t="shared" si="0"/>
        <v>46125</v>
      </c>
      <c r="H19" s="20">
        <f t="shared" si="1"/>
        <v>46136</v>
      </c>
    </row>
    <row r="20" spans="1:8" x14ac:dyDescent="0.2">
      <c r="A20" s="22"/>
      <c r="B20" s="22" t="s">
        <v>115</v>
      </c>
      <c r="C20" s="24">
        <v>46113</v>
      </c>
      <c r="D20" s="24">
        <v>46122</v>
      </c>
      <c r="E20" s="22">
        <v>10</v>
      </c>
      <c r="F20" s="22" t="s">
        <v>118</v>
      </c>
      <c r="G20" s="20">
        <f t="shared" si="0"/>
        <v>46132</v>
      </c>
      <c r="H20" s="20">
        <f t="shared" si="1"/>
        <v>46141</v>
      </c>
    </row>
    <row r="21" spans="1:8" ht="14.85" x14ac:dyDescent="0.2">
      <c r="A21" s="23" t="s">
        <v>119</v>
      </c>
      <c r="B21" s="22" t="s">
        <v>120</v>
      </c>
      <c r="C21" s="24">
        <v>46096</v>
      </c>
      <c r="D21" s="24">
        <v>46122</v>
      </c>
      <c r="E21" s="22">
        <v>27</v>
      </c>
      <c r="F21" s="22" t="s">
        <v>122</v>
      </c>
      <c r="G21" s="20">
        <f t="shared" si="0"/>
        <v>46115</v>
      </c>
      <c r="H21" s="20">
        <f t="shared" si="1"/>
        <v>46141</v>
      </c>
    </row>
    <row r="22" spans="1:8" ht="28.2" x14ac:dyDescent="0.2">
      <c r="A22" s="22"/>
      <c r="B22" s="22" t="s">
        <v>123</v>
      </c>
      <c r="C22" s="24">
        <v>46106</v>
      </c>
      <c r="D22" s="24">
        <v>46127</v>
      </c>
      <c r="E22" s="22">
        <v>22</v>
      </c>
      <c r="F22" s="22" t="s">
        <v>125</v>
      </c>
      <c r="G22" s="20">
        <f t="shared" si="0"/>
        <v>46125</v>
      </c>
      <c r="H22" s="20">
        <f t="shared" si="1"/>
        <v>46146</v>
      </c>
    </row>
    <row r="23" spans="1:8" x14ac:dyDescent="0.2">
      <c r="A23" s="22"/>
      <c r="B23" s="22" t="s">
        <v>126</v>
      </c>
      <c r="C23" s="24">
        <v>46122</v>
      </c>
      <c r="D23" s="24">
        <v>46142</v>
      </c>
      <c r="E23" s="22">
        <v>21</v>
      </c>
      <c r="F23" s="22" t="s">
        <v>128</v>
      </c>
      <c r="G23" s="20">
        <f t="shared" si="0"/>
        <v>46141</v>
      </c>
      <c r="H23" s="20">
        <f t="shared" si="1"/>
        <v>46161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98D5-3C14-43B6-86CE-21D1C31B9BA9}">
  <dimension ref="A1:C394"/>
  <sheetViews>
    <sheetView workbookViewId="0">
      <selection activeCell="F19" sqref="F19"/>
    </sheetView>
  </sheetViews>
  <sheetFormatPr defaultRowHeight="14.1" x14ac:dyDescent="0.2"/>
  <cols>
    <col min="1" max="3" width="9.875" bestFit="1" customWidth="1"/>
  </cols>
  <sheetData>
    <row r="1" spans="1:3" x14ac:dyDescent="0.2">
      <c r="A1" s="87" t="s">
        <v>131</v>
      </c>
      <c r="B1" s="87" t="s">
        <v>132</v>
      </c>
      <c r="C1" s="87" t="s">
        <v>133</v>
      </c>
    </row>
    <row r="2" spans="1:3" x14ac:dyDescent="0.2">
      <c r="A2" s="20">
        <v>45921</v>
      </c>
      <c r="B2" s="20">
        <v>45921</v>
      </c>
      <c r="C2" s="20">
        <v>45921</v>
      </c>
    </row>
    <row r="3" spans="1:3" x14ac:dyDescent="0.2">
      <c r="A3" s="20">
        <v>45922</v>
      </c>
      <c r="B3" s="20">
        <v>45928</v>
      </c>
      <c r="C3" s="20">
        <v>45951</v>
      </c>
    </row>
    <row r="4" spans="1:3" x14ac:dyDescent="0.2">
      <c r="A4" s="20">
        <v>45923</v>
      </c>
      <c r="B4" s="20">
        <v>45935</v>
      </c>
      <c r="C4" s="20">
        <v>45982</v>
      </c>
    </row>
    <row r="5" spans="1:3" x14ac:dyDescent="0.2">
      <c r="A5" s="20">
        <v>45924</v>
      </c>
      <c r="B5" s="20">
        <v>45942</v>
      </c>
      <c r="C5" s="20">
        <v>46012</v>
      </c>
    </row>
    <row r="6" spans="1:3" x14ac:dyDescent="0.2">
      <c r="A6" s="20">
        <v>45925</v>
      </c>
      <c r="B6" s="20">
        <v>45949</v>
      </c>
      <c r="C6" s="20">
        <v>46043</v>
      </c>
    </row>
    <row r="7" spans="1:3" x14ac:dyDescent="0.2">
      <c r="A7" s="20">
        <v>45926</v>
      </c>
      <c r="B7" s="20">
        <v>45956</v>
      </c>
      <c r="C7" s="20">
        <v>46074</v>
      </c>
    </row>
    <row r="8" spans="1:3" x14ac:dyDescent="0.2">
      <c r="A8" s="20">
        <v>45927</v>
      </c>
      <c r="B8" s="20">
        <v>45963</v>
      </c>
      <c r="C8" s="20">
        <v>46102</v>
      </c>
    </row>
    <row r="9" spans="1:3" x14ac:dyDescent="0.2">
      <c r="A9" s="20">
        <v>45928</v>
      </c>
      <c r="B9" s="20">
        <v>45970</v>
      </c>
      <c r="C9" s="20">
        <v>46133</v>
      </c>
    </row>
    <row r="10" spans="1:3" x14ac:dyDescent="0.2">
      <c r="A10" s="20">
        <v>45929</v>
      </c>
      <c r="B10" s="20">
        <v>45977</v>
      </c>
      <c r="C10" s="20">
        <v>46163</v>
      </c>
    </row>
    <row r="11" spans="1:3" x14ac:dyDescent="0.2">
      <c r="A11" s="20">
        <v>45930</v>
      </c>
      <c r="B11" s="20">
        <v>45984</v>
      </c>
      <c r="C11" s="20">
        <v>46194</v>
      </c>
    </row>
    <row r="12" spans="1:3" x14ac:dyDescent="0.2">
      <c r="A12" s="20">
        <v>45931</v>
      </c>
      <c r="B12" s="20">
        <v>45991</v>
      </c>
      <c r="C12" s="20">
        <v>46224</v>
      </c>
    </row>
    <row r="13" spans="1:3" x14ac:dyDescent="0.2">
      <c r="A13" s="20">
        <v>45932</v>
      </c>
      <c r="B13" s="20">
        <v>45998</v>
      </c>
      <c r="C13" s="20">
        <v>46255</v>
      </c>
    </row>
    <row r="14" spans="1:3" x14ac:dyDescent="0.2">
      <c r="A14" s="20">
        <v>45933</v>
      </c>
      <c r="B14" s="20">
        <v>46005</v>
      </c>
    </row>
    <row r="15" spans="1:3" x14ac:dyDescent="0.2">
      <c r="A15" s="20">
        <v>45934</v>
      </c>
      <c r="B15" s="20">
        <v>46012</v>
      </c>
    </row>
    <row r="16" spans="1:3" x14ac:dyDescent="0.2">
      <c r="A16" s="20">
        <v>45935</v>
      </c>
      <c r="B16" s="20">
        <v>46019</v>
      </c>
    </row>
    <row r="17" spans="1:2" x14ac:dyDescent="0.2">
      <c r="A17" s="20">
        <v>45936</v>
      </c>
      <c r="B17" s="20">
        <v>46026</v>
      </c>
    </row>
    <row r="18" spans="1:2" x14ac:dyDescent="0.2">
      <c r="A18" s="20">
        <v>45937</v>
      </c>
      <c r="B18" s="20">
        <v>46033</v>
      </c>
    </row>
    <row r="19" spans="1:2" x14ac:dyDescent="0.2">
      <c r="A19" s="20">
        <v>45938</v>
      </c>
      <c r="B19" s="20">
        <v>46040</v>
      </c>
    </row>
    <row r="20" spans="1:2" x14ac:dyDescent="0.2">
      <c r="A20" s="20">
        <v>45939</v>
      </c>
      <c r="B20" s="20">
        <v>46047</v>
      </c>
    </row>
    <row r="21" spans="1:2" x14ac:dyDescent="0.2">
      <c r="A21" s="20">
        <v>45940</v>
      </c>
      <c r="B21" s="20">
        <v>46054</v>
      </c>
    </row>
    <row r="22" spans="1:2" x14ac:dyDescent="0.2">
      <c r="A22" s="20">
        <v>45941</v>
      </c>
      <c r="B22" s="20">
        <v>46061</v>
      </c>
    </row>
    <row r="23" spans="1:2" x14ac:dyDescent="0.2">
      <c r="A23" s="20">
        <v>45942</v>
      </c>
      <c r="B23" s="20">
        <v>46068</v>
      </c>
    </row>
    <row r="24" spans="1:2" x14ac:dyDescent="0.2">
      <c r="A24" s="20">
        <v>45943</v>
      </c>
      <c r="B24" s="20">
        <v>46075</v>
      </c>
    </row>
    <row r="25" spans="1:2" x14ac:dyDescent="0.2">
      <c r="A25" s="20">
        <v>45944</v>
      </c>
      <c r="B25" s="20">
        <v>46082</v>
      </c>
    </row>
    <row r="26" spans="1:2" x14ac:dyDescent="0.2">
      <c r="A26" s="20">
        <v>45945</v>
      </c>
      <c r="B26" s="20">
        <v>46089</v>
      </c>
    </row>
    <row r="27" spans="1:2" x14ac:dyDescent="0.2">
      <c r="A27" s="20">
        <v>45946</v>
      </c>
      <c r="B27" s="20">
        <v>46096</v>
      </c>
    </row>
    <row r="28" spans="1:2" x14ac:dyDescent="0.2">
      <c r="A28" s="20">
        <v>45947</v>
      </c>
      <c r="B28" s="20">
        <v>46103</v>
      </c>
    </row>
    <row r="29" spans="1:2" x14ac:dyDescent="0.2">
      <c r="A29" s="20">
        <v>45948</v>
      </c>
      <c r="B29" s="20">
        <v>46110</v>
      </c>
    </row>
    <row r="30" spans="1:2" x14ac:dyDescent="0.2">
      <c r="A30" s="20">
        <v>45949</v>
      </c>
      <c r="B30" s="20">
        <v>46117</v>
      </c>
    </row>
    <row r="31" spans="1:2" x14ac:dyDescent="0.2">
      <c r="A31" s="20">
        <v>45950</v>
      </c>
      <c r="B31" s="20">
        <v>46124</v>
      </c>
    </row>
    <row r="32" spans="1:2" x14ac:dyDescent="0.2">
      <c r="A32" s="20">
        <v>45951</v>
      </c>
      <c r="B32" s="20">
        <v>46131</v>
      </c>
    </row>
    <row r="33" spans="1:2" x14ac:dyDescent="0.2">
      <c r="A33" s="20">
        <v>45952</v>
      </c>
      <c r="B33" s="20">
        <v>46138</v>
      </c>
    </row>
    <row r="34" spans="1:2" x14ac:dyDescent="0.2">
      <c r="A34" s="20">
        <v>45953</v>
      </c>
      <c r="B34" s="20">
        <v>46145</v>
      </c>
    </row>
    <row r="35" spans="1:2" x14ac:dyDescent="0.2">
      <c r="A35" s="20">
        <v>45954</v>
      </c>
      <c r="B35" s="20">
        <v>46152</v>
      </c>
    </row>
    <row r="36" spans="1:2" x14ac:dyDescent="0.2">
      <c r="A36" s="20">
        <v>45955</v>
      </c>
      <c r="B36" s="20">
        <v>46159</v>
      </c>
    </row>
    <row r="37" spans="1:2" x14ac:dyDescent="0.2">
      <c r="A37" s="20">
        <v>45956</v>
      </c>
      <c r="B37" s="20">
        <v>46166</v>
      </c>
    </row>
    <row r="38" spans="1:2" x14ac:dyDescent="0.2">
      <c r="A38" s="20">
        <v>45957</v>
      </c>
      <c r="B38" s="20">
        <v>46173</v>
      </c>
    </row>
    <row r="39" spans="1:2" x14ac:dyDescent="0.2">
      <c r="A39" s="20">
        <v>45958</v>
      </c>
      <c r="B39" s="20">
        <v>46180</v>
      </c>
    </row>
    <row r="40" spans="1:2" x14ac:dyDescent="0.2">
      <c r="A40" s="20">
        <v>45959</v>
      </c>
      <c r="B40" s="20">
        <v>46187</v>
      </c>
    </row>
    <row r="41" spans="1:2" x14ac:dyDescent="0.2">
      <c r="A41" s="20">
        <v>45960</v>
      </c>
      <c r="B41" s="20">
        <v>46194</v>
      </c>
    </row>
    <row r="42" spans="1:2" x14ac:dyDescent="0.2">
      <c r="A42" s="20">
        <v>45961</v>
      </c>
      <c r="B42" s="20">
        <v>46201</v>
      </c>
    </row>
    <row r="43" spans="1:2" x14ac:dyDescent="0.2">
      <c r="A43" s="20">
        <v>45962</v>
      </c>
      <c r="B43" s="20">
        <v>46208</v>
      </c>
    </row>
    <row r="44" spans="1:2" x14ac:dyDescent="0.2">
      <c r="A44" s="20">
        <v>45963</v>
      </c>
      <c r="B44" s="20">
        <v>46215</v>
      </c>
    </row>
    <row r="45" spans="1:2" x14ac:dyDescent="0.2">
      <c r="A45" s="20">
        <v>45964</v>
      </c>
    </row>
    <row r="46" spans="1:2" x14ac:dyDescent="0.2">
      <c r="A46" s="20">
        <v>45965</v>
      </c>
    </row>
    <row r="47" spans="1:2" x14ac:dyDescent="0.2">
      <c r="A47" s="20">
        <v>45966</v>
      </c>
    </row>
    <row r="48" spans="1:2" x14ac:dyDescent="0.2">
      <c r="A48" s="20">
        <v>45967</v>
      </c>
    </row>
    <row r="49" spans="1:1" x14ac:dyDescent="0.2">
      <c r="A49" s="20">
        <v>45968</v>
      </c>
    </row>
    <row r="50" spans="1:1" x14ac:dyDescent="0.2">
      <c r="A50" s="20">
        <v>45969</v>
      </c>
    </row>
    <row r="51" spans="1:1" x14ac:dyDescent="0.2">
      <c r="A51" s="20">
        <v>45970</v>
      </c>
    </row>
    <row r="52" spans="1:1" x14ac:dyDescent="0.2">
      <c r="A52" s="20">
        <v>45971</v>
      </c>
    </row>
    <row r="53" spans="1:1" x14ac:dyDescent="0.2">
      <c r="A53" s="20">
        <v>45972</v>
      </c>
    </row>
    <row r="54" spans="1:1" x14ac:dyDescent="0.2">
      <c r="A54" s="20">
        <v>45973</v>
      </c>
    </row>
    <row r="55" spans="1:1" x14ac:dyDescent="0.2">
      <c r="A55" s="20">
        <v>45974</v>
      </c>
    </row>
    <row r="56" spans="1:1" x14ac:dyDescent="0.2">
      <c r="A56" s="20">
        <v>45975</v>
      </c>
    </row>
    <row r="57" spans="1:1" x14ac:dyDescent="0.2">
      <c r="A57" s="20">
        <v>45976</v>
      </c>
    </row>
    <row r="58" spans="1:1" x14ac:dyDescent="0.2">
      <c r="A58" s="20">
        <v>45977</v>
      </c>
    </row>
    <row r="59" spans="1:1" x14ac:dyDescent="0.2">
      <c r="A59" s="20">
        <v>45978</v>
      </c>
    </row>
    <row r="60" spans="1:1" x14ac:dyDescent="0.2">
      <c r="A60" s="20">
        <v>45979</v>
      </c>
    </row>
    <row r="61" spans="1:1" x14ac:dyDescent="0.2">
      <c r="A61" s="20">
        <v>45980</v>
      </c>
    </row>
    <row r="62" spans="1:1" x14ac:dyDescent="0.2">
      <c r="A62" s="20">
        <v>45981</v>
      </c>
    </row>
    <row r="63" spans="1:1" x14ac:dyDescent="0.2">
      <c r="A63" s="20">
        <v>45982</v>
      </c>
    </row>
    <row r="64" spans="1:1" x14ac:dyDescent="0.2">
      <c r="A64" s="20">
        <v>45983</v>
      </c>
    </row>
    <row r="65" spans="1:1" x14ac:dyDescent="0.2">
      <c r="A65" s="20">
        <v>45984</v>
      </c>
    </row>
    <row r="66" spans="1:1" x14ac:dyDescent="0.2">
      <c r="A66" s="20">
        <v>45985</v>
      </c>
    </row>
    <row r="67" spans="1:1" x14ac:dyDescent="0.2">
      <c r="A67" s="20">
        <v>45986</v>
      </c>
    </row>
    <row r="68" spans="1:1" x14ac:dyDescent="0.2">
      <c r="A68" s="20">
        <v>45987</v>
      </c>
    </row>
    <row r="69" spans="1:1" x14ac:dyDescent="0.2">
      <c r="A69" s="20">
        <v>45988</v>
      </c>
    </row>
    <row r="70" spans="1:1" x14ac:dyDescent="0.2">
      <c r="A70" s="20">
        <v>45989</v>
      </c>
    </row>
    <row r="71" spans="1:1" x14ac:dyDescent="0.2">
      <c r="A71" s="20">
        <v>45990</v>
      </c>
    </row>
    <row r="72" spans="1:1" x14ac:dyDescent="0.2">
      <c r="A72" s="20">
        <v>45991</v>
      </c>
    </row>
    <row r="73" spans="1:1" x14ac:dyDescent="0.2">
      <c r="A73" s="20">
        <v>45992</v>
      </c>
    </row>
    <row r="74" spans="1:1" x14ac:dyDescent="0.2">
      <c r="A74" s="20">
        <v>45993</v>
      </c>
    </row>
    <row r="75" spans="1:1" x14ac:dyDescent="0.2">
      <c r="A75" s="20">
        <v>45994</v>
      </c>
    </row>
    <row r="76" spans="1:1" x14ac:dyDescent="0.2">
      <c r="A76" s="20">
        <v>45995</v>
      </c>
    </row>
    <row r="77" spans="1:1" x14ac:dyDescent="0.2">
      <c r="A77" s="20">
        <v>45996</v>
      </c>
    </row>
    <row r="78" spans="1:1" x14ac:dyDescent="0.2">
      <c r="A78" s="20">
        <v>45997</v>
      </c>
    </row>
    <row r="79" spans="1:1" x14ac:dyDescent="0.2">
      <c r="A79" s="20">
        <v>45998</v>
      </c>
    </row>
    <row r="80" spans="1:1" x14ac:dyDescent="0.2">
      <c r="A80" s="20">
        <v>45999</v>
      </c>
    </row>
    <row r="81" spans="1:1" x14ac:dyDescent="0.2">
      <c r="A81" s="20">
        <v>46000</v>
      </c>
    </row>
    <row r="82" spans="1:1" x14ac:dyDescent="0.2">
      <c r="A82" s="20">
        <v>46001</v>
      </c>
    </row>
    <row r="83" spans="1:1" x14ac:dyDescent="0.2">
      <c r="A83" s="20">
        <v>46002</v>
      </c>
    </row>
    <row r="84" spans="1:1" x14ac:dyDescent="0.2">
      <c r="A84" s="20">
        <v>46003</v>
      </c>
    </row>
    <row r="85" spans="1:1" x14ac:dyDescent="0.2">
      <c r="A85" s="20">
        <v>46004</v>
      </c>
    </row>
    <row r="86" spans="1:1" x14ac:dyDescent="0.2">
      <c r="A86" s="20">
        <v>46005</v>
      </c>
    </row>
    <row r="87" spans="1:1" x14ac:dyDescent="0.2">
      <c r="A87" s="20">
        <v>46006</v>
      </c>
    </row>
    <row r="88" spans="1:1" x14ac:dyDescent="0.2">
      <c r="A88" s="20">
        <v>46007</v>
      </c>
    </row>
    <row r="89" spans="1:1" x14ac:dyDescent="0.2">
      <c r="A89" s="20">
        <v>46008</v>
      </c>
    </row>
    <row r="90" spans="1:1" x14ac:dyDescent="0.2">
      <c r="A90" s="20">
        <v>46009</v>
      </c>
    </row>
    <row r="91" spans="1:1" x14ac:dyDescent="0.2">
      <c r="A91" s="20">
        <v>46010</v>
      </c>
    </row>
    <row r="92" spans="1:1" x14ac:dyDescent="0.2">
      <c r="A92" s="20">
        <v>46011</v>
      </c>
    </row>
    <row r="93" spans="1:1" x14ac:dyDescent="0.2">
      <c r="A93" s="20">
        <v>46012</v>
      </c>
    </row>
    <row r="94" spans="1:1" x14ac:dyDescent="0.2">
      <c r="A94" s="20">
        <v>46013</v>
      </c>
    </row>
    <row r="95" spans="1:1" x14ac:dyDescent="0.2">
      <c r="A95" s="20">
        <v>46014</v>
      </c>
    </row>
    <row r="96" spans="1:1" x14ac:dyDescent="0.2">
      <c r="A96" s="20">
        <v>46015</v>
      </c>
    </row>
    <row r="97" spans="1:1" x14ac:dyDescent="0.2">
      <c r="A97" s="20">
        <v>46016</v>
      </c>
    </row>
    <row r="98" spans="1:1" x14ac:dyDescent="0.2">
      <c r="A98" s="20">
        <v>46017</v>
      </c>
    </row>
    <row r="99" spans="1:1" x14ac:dyDescent="0.2">
      <c r="A99" s="20">
        <v>46018</v>
      </c>
    </row>
    <row r="100" spans="1:1" x14ac:dyDescent="0.2">
      <c r="A100" s="20">
        <v>46019</v>
      </c>
    </row>
    <row r="101" spans="1:1" x14ac:dyDescent="0.2">
      <c r="A101" s="20">
        <v>46020</v>
      </c>
    </row>
    <row r="102" spans="1:1" x14ac:dyDescent="0.2">
      <c r="A102" s="20">
        <v>46021</v>
      </c>
    </row>
    <row r="103" spans="1:1" x14ac:dyDescent="0.2">
      <c r="A103" s="20">
        <v>46022</v>
      </c>
    </row>
    <row r="104" spans="1:1" x14ac:dyDescent="0.2">
      <c r="A104" s="20">
        <v>46023</v>
      </c>
    </row>
    <row r="105" spans="1:1" x14ac:dyDescent="0.2">
      <c r="A105" s="20">
        <v>46024</v>
      </c>
    </row>
    <row r="106" spans="1:1" x14ac:dyDescent="0.2">
      <c r="A106" s="20">
        <v>46025</v>
      </c>
    </row>
    <row r="107" spans="1:1" x14ac:dyDescent="0.2">
      <c r="A107" s="20">
        <v>46026</v>
      </c>
    </row>
    <row r="108" spans="1:1" x14ac:dyDescent="0.2">
      <c r="A108" s="20">
        <v>46027</v>
      </c>
    </row>
    <row r="109" spans="1:1" x14ac:dyDescent="0.2">
      <c r="A109" s="20">
        <v>46028</v>
      </c>
    </row>
    <row r="110" spans="1:1" x14ac:dyDescent="0.2">
      <c r="A110" s="20">
        <v>46029</v>
      </c>
    </row>
    <row r="111" spans="1:1" x14ac:dyDescent="0.2">
      <c r="A111" s="20">
        <v>46030</v>
      </c>
    </row>
    <row r="112" spans="1:1" x14ac:dyDescent="0.2">
      <c r="A112" s="20">
        <v>46031</v>
      </c>
    </row>
    <row r="113" spans="1:1" x14ac:dyDescent="0.2">
      <c r="A113" s="20">
        <v>46032</v>
      </c>
    </row>
    <row r="114" spans="1:1" x14ac:dyDescent="0.2">
      <c r="A114" s="20">
        <v>46033</v>
      </c>
    </row>
    <row r="115" spans="1:1" x14ac:dyDescent="0.2">
      <c r="A115" s="20">
        <v>46034</v>
      </c>
    </row>
    <row r="116" spans="1:1" x14ac:dyDescent="0.2">
      <c r="A116" s="20">
        <v>46035</v>
      </c>
    </row>
    <row r="117" spans="1:1" x14ac:dyDescent="0.2">
      <c r="A117" s="20">
        <v>46036</v>
      </c>
    </row>
    <row r="118" spans="1:1" x14ac:dyDescent="0.2">
      <c r="A118" s="20">
        <v>46037</v>
      </c>
    </row>
    <row r="119" spans="1:1" x14ac:dyDescent="0.2">
      <c r="A119" s="20">
        <v>46038</v>
      </c>
    </row>
    <row r="120" spans="1:1" x14ac:dyDescent="0.2">
      <c r="A120" s="20">
        <v>46039</v>
      </c>
    </row>
    <row r="121" spans="1:1" x14ac:dyDescent="0.2">
      <c r="A121" s="20">
        <v>46040</v>
      </c>
    </row>
    <row r="122" spans="1:1" x14ac:dyDescent="0.2">
      <c r="A122" s="20">
        <v>46041</v>
      </c>
    </row>
    <row r="123" spans="1:1" x14ac:dyDescent="0.2">
      <c r="A123" s="20">
        <v>46042</v>
      </c>
    </row>
    <row r="124" spans="1:1" x14ac:dyDescent="0.2">
      <c r="A124" s="20">
        <v>46043</v>
      </c>
    </row>
    <row r="125" spans="1:1" x14ac:dyDescent="0.2">
      <c r="A125" s="20">
        <v>46044</v>
      </c>
    </row>
    <row r="126" spans="1:1" x14ac:dyDescent="0.2">
      <c r="A126" s="20">
        <v>46045</v>
      </c>
    </row>
    <row r="127" spans="1:1" x14ac:dyDescent="0.2">
      <c r="A127" s="20">
        <v>46046</v>
      </c>
    </row>
    <row r="128" spans="1:1" x14ac:dyDescent="0.2">
      <c r="A128" s="20">
        <v>46047</v>
      </c>
    </row>
    <row r="129" spans="1:1" x14ac:dyDescent="0.2">
      <c r="A129" s="20">
        <v>46048</v>
      </c>
    </row>
    <row r="130" spans="1:1" x14ac:dyDescent="0.2">
      <c r="A130" s="20">
        <v>46049</v>
      </c>
    </row>
    <row r="131" spans="1:1" x14ac:dyDescent="0.2">
      <c r="A131" s="20">
        <v>46050</v>
      </c>
    </row>
    <row r="132" spans="1:1" x14ac:dyDescent="0.2">
      <c r="A132" s="20">
        <v>46051</v>
      </c>
    </row>
    <row r="133" spans="1:1" x14ac:dyDescent="0.2">
      <c r="A133" s="20">
        <v>46052</v>
      </c>
    </row>
    <row r="134" spans="1:1" x14ac:dyDescent="0.2">
      <c r="A134" s="20">
        <v>46053</v>
      </c>
    </row>
    <row r="135" spans="1:1" x14ac:dyDescent="0.2">
      <c r="A135" s="20">
        <v>46054</v>
      </c>
    </row>
    <row r="136" spans="1:1" x14ac:dyDescent="0.2">
      <c r="A136" s="20">
        <v>46055</v>
      </c>
    </row>
    <row r="137" spans="1:1" x14ac:dyDescent="0.2">
      <c r="A137" s="20">
        <v>46056</v>
      </c>
    </row>
    <row r="138" spans="1:1" x14ac:dyDescent="0.2">
      <c r="A138" s="20">
        <v>46057</v>
      </c>
    </row>
    <row r="139" spans="1:1" x14ac:dyDescent="0.2">
      <c r="A139" s="20">
        <v>46058</v>
      </c>
    </row>
    <row r="140" spans="1:1" x14ac:dyDescent="0.2">
      <c r="A140" s="20">
        <v>46059</v>
      </c>
    </row>
    <row r="141" spans="1:1" x14ac:dyDescent="0.2">
      <c r="A141" s="20">
        <v>46060</v>
      </c>
    </row>
    <row r="142" spans="1:1" x14ac:dyDescent="0.2">
      <c r="A142" s="20">
        <v>46061</v>
      </c>
    </row>
    <row r="143" spans="1:1" x14ac:dyDescent="0.2">
      <c r="A143" s="20">
        <v>46062</v>
      </c>
    </row>
    <row r="144" spans="1:1" x14ac:dyDescent="0.2">
      <c r="A144" s="20">
        <v>46063</v>
      </c>
    </row>
    <row r="145" spans="1:1" x14ac:dyDescent="0.2">
      <c r="A145" s="20">
        <v>46064</v>
      </c>
    </row>
    <row r="146" spans="1:1" x14ac:dyDescent="0.2">
      <c r="A146" s="20">
        <v>46065</v>
      </c>
    </row>
    <row r="147" spans="1:1" x14ac:dyDescent="0.2">
      <c r="A147" s="20">
        <v>46066</v>
      </c>
    </row>
    <row r="148" spans="1:1" x14ac:dyDescent="0.2">
      <c r="A148" s="20">
        <v>46067</v>
      </c>
    </row>
    <row r="149" spans="1:1" x14ac:dyDescent="0.2">
      <c r="A149" s="20">
        <v>46068</v>
      </c>
    </row>
    <row r="150" spans="1:1" x14ac:dyDescent="0.2">
      <c r="A150" s="20">
        <v>46069</v>
      </c>
    </row>
    <row r="151" spans="1:1" x14ac:dyDescent="0.2">
      <c r="A151" s="20">
        <v>46070</v>
      </c>
    </row>
    <row r="152" spans="1:1" x14ac:dyDescent="0.2">
      <c r="A152" s="20">
        <v>46071</v>
      </c>
    </row>
    <row r="153" spans="1:1" x14ac:dyDescent="0.2">
      <c r="A153" s="20">
        <v>46072</v>
      </c>
    </row>
    <row r="154" spans="1:1" x14ac:dyDescent="0.2">
      <c r="A154" s="20">
        <v>46073</v>
      </c>
    </row>
    <row r="155" spans="1:1" x14ac:dyDescent="0.2">
      <c r="A155" s="20">
        <v>46074</v>
      </c>
    </row>
    <row r="156" spans="1:1" x14ac:dyDescent="0.2">
      <c r="A156" s="20">
        <v>46075</v>
      </c>
    </row>
    <row r="157" spans="1:1" x14ac:dyDescent="0.2">
      <c r="A157" s="20">
        <v>46076</v>
      </c>
    </row>
    <row r="158" spans="1:1" x14ac:dyDescent="0.2">
      <c r="A158" s="20">
        <v>46077</v>
      </c>
    </row>
    <row r="159" spans="1:1" x14ac:dyDescent="0.2">
      <c r="A159" s="20">
        <v>46078</v>
      </c>
    </row>
    <row r="160" spans="1:1" x14ac:dyDescent="0.2">
      <c r="A160" s="20">
        <v>46079</v>
      </c>
    </row>
    <row r="161" spans="1:1" x14ac:dyDescent="0.2">
      <c r="A161" s="20">
        <v>46080</v>
      </c>
    </row>
    <row r="162" spans="1:1" x14ac:dyDescent="0.2">
      <c r="A162" s="20">
        <v>46081</v>
      </c>
    </row>
    <row r="163" spans="1:1" x14ac:dyDescent="0.2">
      <c r="A163" s="20">
        <v>46082</v>
      </c>
    </row>
    <row r="164" spans="1:1" x14ac:dyDescent="0.2">
      <c r="A164" s="20">
        <v>46083</v>
      </c>
    </row>
    <row r="165" spans="1:1" x14ac:dyDescent="0.2">
      <c r="A165" s="20">
        <v>46084</v>
      </c>
    </row>
    <row r="166" spans="1:1" x14ac:dyDescent="0.2">
      <c r="A166" s="20">
        <v>46085</v>
      </c>
    </row>
    <row r="167" spans="1:1" x14ac:dyDescent="0.2">
      <c r="A167" s="20">
        <v>46086</v>
      </c>
    </row>
    <row r="168" spans="1:1" x14ac:dyDescent="0.2">
      <c r="A168" s="20">
        <v>46087</v>
      </c>
    </row>
    <row r="169" spans="1:1" x14ac:dyDescent="0.2">
      <c r="A169" s="20">
        <v>46088</v>
      </c>
    </row>
    <row r="170" spans="1:1" x14ac:dyDescent="0.2">
      <c r="A170" s="20">
        <v>46089</v>
      </c>
    </row>
    <row r="171" spans="1:1" x14ac:dyDescent="0.2">
      <c r="A171" s="20">
        <v>46090</v>
      </c>
    </row>
    <row r="172" spans="1:1" x14ac:dyDescent="0.2">
      <c r="A172" s="20">
        <v>46091</v>
      </c>
    </row>
    <row r="173" spans="1:1" x14ac:dyDescent="0.2">
      <c r="A173" s="20">
        <v>46092</v>
      </c>
    </row>
    <row r="174" spans="1:1" x14ac:dyDescent="0.2">
      <c r="A174" s="20">
        <v>46093</v>
      </c>
    </row>
    <row r="175" spans="1:1" x14ac:dyDescent="0.2">
      <c r="A175" s="20">
        <v>46094</v>
      </c>
    </row>
    <row r="176" spans="1:1" x14ac:dyDescent="0.2">
      <c r="A176" s="20">
        <v>46095</v>
      </c>
    </row>
    <row r="177" spans="1:1" x14ac:dyDescent="0.2">
      <c r="A177" s="20">
        <v>46096</v>
      </c>
    </row>
    <row r="178" spans="1:1" x14ac:dyDescent="0.2">
      <c r="A178" s="20">
        <v>46097</v>
      </c>
    </row>
    <row r="179" spans="1:1" x14ac:dyDescent="0.2">
      <c r="A179" s="20">
        <v>46098</v>
      </c>
    </row>
    <row r="180" spans="1:1" x14ac:dyDescent="0.2">
      <c r="A180" s="20">
        <v>46099</v>
      </c>
    </row>
    <row r="181" spans="1:1" x14ac:dyDescent="0.2">
      <c r="A181" s="20">
        <v>46100</v>
      </c>
    </row>
    <row r="182" spans="1:1" x14ac:dyDescent="0.2">
      <c r="A182" s="20">
        <v>46101</v>
      </c>
    </row>
    <row r="183" spans="1:1" x14ac:dyDescent="0.2">
      <c r="A183" s="20">
        <v>46102</v>
      </c>
    </row>
    <row r="184" spans="1:1" x14ac:dyDescent="0.2">
      <c r="A184" s="20">
        <v>46103</v>
      </c>
    </row>
    <row r="185" spans="1:1" x14ac:dyDescent="0.2">
      <c r="A185" s="20">
        <v>46104</v>
      </c>
    </row>
    <row r="186" spans="1:1" x14ac:dyDescent="0.2">
      <c r="A186" s="20">
        <v>46105</v>
      </c>
    </row>
    <row r="187" spans="1:1" x14ac:dyDescent="0.2">
      <c r="A187" s="20">
        <v>46106</v>
      </c>
    </row>
    <row r="188" spans="1:1" x14ac:dyDescent="0.2">
      <c r="A188" s="20">
        <v>46107</v>
      </c>
    </row>
    <row r="189" spans="1:1" x14ac:dyDescent="0.2">
      <c r="A189" s="20">
        <v>46108</v>
      </c>
    </row>
    <row r="190" spans="1:1" x14ac:dyDescent="0.2">
      <c r="A190" s="20">
        <v>46109</v>
      </c>
    </row>
    <row r="191" spans="1:1" x14ac:dyDescent="0.2">
      <c r="A191" s="20">
        <v>46110</v>
      </c>
    </row>
    <row r="192" spans="1:1" x14ac:dyDescent="0.2">
      <c r="A192" s="20">
        <v>46111</v>
      </c>
    </row>
    <row r="193" spans="1:1" x14ac:dyDescent="0.2">
      <c r="A193" s="20">
        <v>46112</v>
      </c>
    </row>
    <row r="194" spans="1:1" x14ac:dyDescent="0.2">
      <c r="A194" s="20">
        <v>46113</v>
      </c>
    </row>
    <row r="195" spans="1:1" x14ac:dyDescent="0.2">
      <c r="A195" s="20">
        <v>46114</v>
      </c>
    </row>
    <row r="196" spans="1:1" x14ac:dyDescent="0.2">
      <c r="A196" s="20">
        <v>46115</v>
      </c>
    </row>
    <row r="197" spans="1:1" x14ac:dyDescent="0.2">
      <c r="A197" s="20">
        <v>46116</v>
      </c>
    </row>
    <row r="198" spans="1:1" x14ac:dyDescent="0.2">
      <c r="A198" s="20">
        <v>46117</v>
      </c>
    </row>
    <row r="199" spans="1:1" x14ac:dyDescent="0.2">
      <c r="A199" s="20">
        <v>46118</v>
      </c>
    </row>
    <row r="200" spans="1:1" x14ac:dyDescent="0.2">
      <c r="A200" s="20">
        <v>46119</v>
      </c>
    </row>
    <row r="201" spans="1:1" x14ac:dyDescent="0.2">
      <c r="A201" s="20">
        <v>46120</v>
      </c>
    </row>
    <row r="202" spans="1:1" x14ac:dyDescent="0.2">
      <c r="A202" s="20">
        <v>46121</v>
      </c>
    </row>
    <row r="203" spans="1:1" x14ac:dyDescent="0.2">
      <c r="A203" s="20">
        <v>46122</v>
      </c>
    </row>
    <row r="204" spans="1:1" x14ac:dyDescent="0.2">
      <c r="A204" s="20">
        <v>46123</v>
      </c>
    </row>
    <row r="205" spans="1:1" x14ac:dyDescent="0.2">
      <c r="A205" s="20">
        <v>46124</v>
      </c>
    </row>
    <row r="206" spans="1:1" x14ac:dyDescent="0.2">
      <c r="A206" s="20">
        <v>46125</v>
      </c>
    </row>
    <row r="207" spans="1:1" x14ac:dyDescent="0.2">
      <c r="A207" s="20">
        <v>46126</v>
      </c>
    </row>
    <row r="208" spans="1:1" x14ac:dyDescent="0.2">
      <c r="A208" s="20">
        <v>46127</v>
      </c>
    </row>
    <row r="209" spans="1:1" x14ac:dyDescent="0.2">
      <c r="A209" s="20">
        <v>46128</v>
      </c>
    </row>
    <row r="210" spans="1:1" x14ac:dyDescent="0.2">
      <c r="A210" s="20">
        <v>46129</v>
      </c>
    </row>
    <row r="211" spans="1:1" x14ac:dyDescent="0.2">
      <c r="A211" s="20">
        <v>46130</v>
      </c>
    </row>
    <row r="212" spans="1:1" x14ac:dyDescent="0.2">
      <c r="A212" s="20">
        <v>46131</v>
      </c>
    </row>
    <row r="213" spans="1:1" x14ac:dyDescent="0.2">
      <c r="A213" s="20">
        <v>46132</v>
      </c>
    </row>
    <row r="214" spans="1:1" x14ac:dyDescent="0.2">
      <c r="A214" s="20">
        <v>46133</v>
      </c>
    </row>
    <row r="215" spans="1:1" x14ac:dyDescent="0.2">
      <c r="A215" s="20">
        <v>46134</v>
      </c>
    </row>
    <row r="216" spans="1:1" x14ac:dyDescent="0.2">
      <c r="A216" s="20">
        <v>46135</v>
      </c>
    </row>
    <row r="217" spans="1:1" x14ac:dyDescent="0.2">
      <c r="A217" s="20">
        <v>46136</v>
      </c>
    </row>
    <row r="218" spans="1:1" x14ac:dyDescent="0.2">
      <c r="A218" s="20">
        <v>46137</v>
      </c>
    </row>
    <row r="219" spans="1:1" x14ac:dyDescent="0.2">
      <c r="A219" s="20">
        <v>46138</v>
      </c>
    </row>
    <row r="220" spans="1:1" x14ac:dyDescent="0.2">
      <c r="A220" s="20">
        <v>46139</v>
      </c>
    </row>
    <row r="221" spans="1:1" x14ac:dyDescent="0.2">
      <c r="A221" s="20">
        <v>46140</v>
      </c>
    </row>
    <row r="222" spans="1:1" x14ac:dyDescent="0.2">
      <c r="A222" s="20">
        <v>46141</v>
      </c>
    </row>
    <row r="223" spans="1:1" x14ac:dyDescent="0.2">
      <c r="A223" s="20">
        <v>46142</v>
      </c>
    </row>
    <row r="224" spans="1:1" x14ac:dyDescent="0.2">
      <c r="A224" s="20">
        <v>46143</v>
      </c>
    </row>
    <row r="225" spans="1:1" x14ac:dyDescent="0.2">
      <c r="A225" s="20">
        <v>46144</v>
      </c>
    </row>
    <row r="226" spans="1:1" x14ac:dyDescent="0.2">
      <c r="A226" s="20">
        <v>46145</v>
      </c>
    </row>
    <row r="227" spans="1:1" x14ac:dyDescent="0.2">
      <c r="A227" s="20">
        <v>46146</v>
      </c>
    </row>
    <row r="228" spans="1:1" x14ac:dyDescent="0.2">
      <c r="A228" s="20">
        <v>46147</v>
      </c>
    </row>
    <row r="229" spans="1:1" x14ac:dyDescent="0.2">
      <c r="A229" s="20">
        <v>46148</v>
      </c>
    </row>
    <row r="230" spans="1:1" x14ac:dyDescent="0.2">
      <c r="A230" s="20">
        <v>46149</v>
      </c>
    </row>
    <row r="231" spans="1:1" x14ac:dyDescent="0.2">
      <c r="A231" s="20">
        <v>46150</v>
      </c>
    </row>
    <row r="232" spans="1:1" x14ac:dyDescent="0.2">
      <c r="A232" s="20">
        <v>46151</v>
      </c>
    </row>
    <row r="233" spans="1:1" x14ac:dyDescent="0.2">
      <c r="A233" s="20">
        <v>46152</v>
      </c>
    </row>
    <row r="234" spans="1:1" x14ac:dyDescent="0.2">
      <c r="A234" s="20">
        <v>46153</v>
      </c>
    </row>
    <row r="235" spans="1:1" x14ac:dyDescent="0.2">
      <c r="A235" s="20">
        <v>46154</v>
      </c>
    </row>
    <row r="236" spans="1:1" x14ac:dyDescent="0.2">
      <c r="A236" s="20">
        <v>46155</v>
      </c>
    </row>
    <row r="237" spans="1:1" x14ac:dyDescent="0.2">
      <c r="A237" s="20">
        <v>46156</v>
      </c>
    </row>
    <row r="238" spans="1:1" x14ac:dyDescent="0.2">
      <c r="A238" s="20">
        <v>46157</v>
      </c>
    </row>
    <row r="239" spans="1:1" x14ac:dyDescent="0.2">
      <c r="A239" s="20">
        <v>46158</v>
      </c>
    </row>
    <row r="240" spans="1:1" x14ac:dyDescent="0.2">
      <c r="A240" s="20">
        <v>46159</v>
      </c>
    </row>
    <row r="241" spans="1:1" x14ac:dyDescent="0.2">
      <c r="A241" s="20">
        <v>46160</v>
      </c>
    </row>
    <row r="242" spans="1:1" x14ac:dyDescent="0.2">
      <c r="A242" s="20">
        <v>46161</v>
      </c>
    </row>
    <row r="243" spans="1:1" x14ac:dyDescent="0.2">
      <c r="A243" s="20">
        <v>46162</v>
      </c>
    </row>
    <row r="244" spans="1:1" x14ac:dyDescent="0.2">
      <c r="A244" s="20">
        <v>46163</v>
      </c>
    </row>
    <row r="245" spans="1:1" x14ac:dyDescent="0.2">
      <c r="A245" s="20">
        <v>46164</v>
      </c>
    </row>
    <row r="246" spans="1:1" x14ac:dyDescent="0.2">
      <c r="A246" s="20">
        <v>46165</v>
      </c>
    </row>
    <row r="247" spans="1:1" x14ac:dyDescent="0.2">
      <c r="A247" s="20">
        <v>46166</v>
      </c>
    </row>
    <row r="248" spans="1:1" x14ac:dyDescent="0.2">
      <c r="A248" s="20">
        <v>46167</v>
      </c>
    </row>
    <row r="249" spans="1:1" x14ac:dyDescent="0.2">
      <c r="A249" s="20">
        <v>46168</v>
      </c>
    </row>
    <row r="250" spans="1:1" x14ac:dyDescent="0.2">
      <c r="A250" s="20">
        <v>46169</v>
      </c>
    </row>
    <row r="251" spans="1:1" x14ac:dyDescent="0.2">
      <c r="A251" s="20">
        <v>46170</v>
      </c>
    </row>
    <row r="252" spans="1:1" x14ac:dyDescent="0.2">
      <c r="A252" s="20">
        <v>46171</v>
      </c>
    </row>
    <row r="253" spans="1:1" x14ac:dyDescent="0.2">
      <c r="A253" s="20">
        <v>46172</v>
      </c>
    </row>
    <row r="254" spans="1:1" x14ac:dyDescent="0.2">
      <c r="A254" s="20">
        <v>46173</v>
      </c>
    </row>
    <row r="255" spans="1:1" x14ac:dyDescent="0.2">
      <c r="A255" s="20">
        <v>46174</v>
      </c>
    </row>
    <row r="256" spans="1:1" x14ac:dyDescent="0.2">
      <c r="A256" s="20">
        <v>46175</v>
      </c>
    </row>
    <row r="257" spans="1:1" x14ac:dyDescent="0.2">
      <c r="A257" s="20">
        <v>46176</v>
      </c>
    </row>
    <row r="258" spans="1:1" x14ac:dyDescent="0.2">
      <c r="A258" s="20">
        <v>46177</v>
      </c>
    </row>
    <row r="259" spans="1:1" x14ac:dyDescent="0.2">
      <c r="A259" s="20">
        <v>46178</v>
      </c>
    </row>
    <row r="260" spans="1:1" x14ac:dyDescent="0.2">
      <c r="A260" s="20">
        <v>46179</v>
      </c>
    </row>
    <row r="261" spans="1:1" x14ac:dyDescent="0.2">
      <c r="A261" s="20">
        <v>46180</v>
      </c>
    </row>
    <row r="262" spans="1:1" x14ac:dyDescent="0.2">
      <c r="A262" s="20">
        <v>46181</v>
      </c>
    </row>
    <row r="263" spans="1:1" x14ac:dyDescent="0.2">
      <c r="A263" s="20">
        <v>46182</v>
      </c>
    </row>
    <row r="264" spans="1:1" x14ac:dyDescent="0.2">
      <c r="A264" s="20">
        <v>46183</v>
      </c>
    </row>
    <row r="265" spans="1:1" x14ac:dyDescent="0.2">
      <c r="A265" s="20">
        <v>46184</v>
      </c>
    </row>
    <row r="266" spans="1:1" x14ac:dyDescent="0.2">
      <c r="A266" s="20">
        <v>46185</v>
      </c>
    </row>
    <row r="267" spans="1:1" x14ac:dyDescent="0.2">
      <c r="A267" s="20">
        <v>46186</v>
      </c>
    </row>
    <row r="268" spans="1:1" x14ac:dyDescent="0.2">
      <c r="A268" s="20">
        <v>46187</v>
      </c>
    </row>
    <row r="269" spans="1:1" x14ac:dyDescent="0.2">
      <c r="A269" s="20">
        <v>46188</v>
      </c>
    </row>
    <row r="270" spans="1:1" x14ac:dyDescent="0.2">
      <c r="A270" s="20">
        <v>46189</v>
      </c>
    </row>
    <row r="271" spans="1:1" x14ac:dyDescent="0.2">
      <c r="A271" s="20">
        <v>46190</v>
      </c>
    </row>
    <row r="272" spans="1:1" x14ac:dyDescent="0.2">
      <c r="A272" s="20">
        <v>46191</v>
      </c>
    </row>
    <row r="273" spans="1:1" x14ac:dyDescent="0.2">
      <c r="A273" s="20">
        <v>46192</v>
      </c>
    </row>
    <row r="274" spans="1:1" x14ac:dyDescent="0.2">
      <c r="A274" s="20">
        <v>46193</v>
      </c>
    </row>
    <row r="275" spans="1:1" x14ac:dyDescent="0.2">
      <c r="A275" s="20">
        <v>46194</v>
      </c>
    </row>
    <row r="276" spans="1:1" x14ac:dyDescent="0.2">
      <c r="A276" s="20">
        <v>46195</v>
      </c>
    </row>
    <row r="277" spans="1:1" x14ac:dyDescent="0.2">
      <c r="A277" s="20">
        <v>46196</v>
      </c>
    </row>
    <row r="278" spans="1:1" x14ac:dyDescent="0.2">
      <c r="A278" s="20">
        <v>46197</v>
      </c>
    </row>
    <row r="279" spans="1:1" x14ac:dyDescent="0.2">
      <c r="A279" s="20">
        <v>46198</v>
      </c>
    </row>
    <row r="280" spans="1:1" x14ac:dyDescent="0.2">
      <c r="A280" s="20">
        <v>46199</v>
      </c>
    </row>
    <row r="281" spans="1:1" x14ac:dyDescent="0.2">
      <c r="A281" s="20">
        <v>46200</v>
      </c>
    </row>
    <row r="282" spans="1:1" x14ac:dyDescent="0.2">
      <c r="A282" s="20">
        <v>46201</v>
      </c>
    </row>
    <row r="283" spans="1:1" x14ac:dyDescent="0.2">
      <c r="A283" s="20">
        <v>46202</v>
      </c>
    </row>
    <row r="284" spans="1:1" x14ac:dyDescent="0.2">
      <c r="A284" s="20">
        <v>46203</v>
      </c>
    </row>
    <row r="285" spans="1:1" x14ac:dyDescent="0.2">
      <c r="A285" s="20">
        <v>46204</v>
      </c>
    </row>
    <row r="286" spans="1:1" x14ac:dyDescent="0.2">
      <c r="A286" s="20">
        <v>46205</v>
      </c>
    </row>
    <row r="287" spans="1:1" x14ac:dyDescent="0.2">
      <c r="A287" s="20">
        <v>46206</v>
      </c>
    </row>
    <row r="288" spans="1:1" x14ac:dyDescent="0.2">
      <c r="A288" s="20">
        <v>46207</v>
      </c>
    </row>
    <row r="289" spans="1:1" x14ac:dyDescent="0.2">
      <c r="A289" s="20">
        <v>46208</v>
      </c>
    </row>
    <row r="290" spans="1:1" x14ac:dyDescent="0.2">
      <c r="A290" s="20">
        <v>46209</v>
      </c>
    </row>
    <row r="291" spans="1:1" x14ac:dyDescent="0.2">
      <c r="A291" s="20">
        <v>46210</v>
      </c>
    </row>
    <row r="292" spans="1:1" x14ac:dyDescent="0.2">
      <c r="A292" s="20">
        <v>46211</v>
      </c>
    </row>
    <row r="293" spans="1:1" x14ac:dyDescent="0.2">
      <c r="A293" s="20">
        <v>46212</v>
      </c>
    </row>
    <row r="294" spans="1:1" x14ac:dyDescent="0.2">
      <c r="A294" s="20">
        <v>46213</v>
      </c>
    </row>
    <row r="295" spans="1:1" x14ac:dyDescent="0.2">
      <c r="A295" s="20">
        <v>46214</v>
      </c>
    </row>
    <row r="296" spans="1:1" x14ac:dyDescent="0.2">
      <c r="A296" s="20">
        <v>46215</v>
      </c>
    </row>
    <row r="297" spans="1:1" x14ac:dyDescent="0.2">
      <c r="A297" s="20">
        <v>46216</v>
      </c>
    </row>
    <row r="298" spans="1:1" x14ac:dyDescent="0.2">
      <c r="A298" s="20">
        <v>46217</v>
      </c>
    </row>
    <row r="299" spans="1:1" x14ac:dyDescent="0.2">
      <c r="A299" s="20">
        <v>46218</v>
      </c>
    </row>
    <row r="300" spans="1:1" x14ac:dyDescent="0.2">
      <c r="A300" s="20">
        <v>46219</v>
      </c>
    </row>
    <row r="301" spans="1:1" x14ac:dyDescent="0.2">
      <c r="A301" s="20">
        <v>46220</v>
      </c>
    </row>
    <row r="302" spans="1:1" x14ac:dyDescent="0.2">
      <c r="A302" s="20">
        <v>46221</v>
      </c>
    </row>
    <row r="303" spans="1:1" x14ac:dyDescent="0.2">
      <c r="A303" s="20">
        <v>46222</v>
      </c>
    </row>
    <row r="304" spans="1:1" x14ac:dyDescent="0.2">
      <c r="A304" s="20">
        <v>46223</v>
      </c>
    </row>
    <row r="305" spans="1:1" x14ac:dyDescent="0.2">
      <c r="A305" s="20">
        <v>46224</v>
      </c>
    </row>
    <row r="306" spans="1:1" x14ac:dyDescent="0.2">
      <c r="A306" s="20">
        <v>46225</v>
      </c>
    </row>
    <row r="307" spans="1:1" x14ac:dyDescent="0.2">
      <c r="A307" s="20">
        <v>46226</v>
      </c>
    </row>
    <row r="308" spans="1:1" x14ac:dyDescent="0.2">
      <c r="A308" s="20">
        <v>46227</v>
      </c>
    </row>
    <row r="309" spans="1:1" x14ac:dyDescent="0.2">
      <c r="A309" s="20">
        <v>46228</v>
      </c>
    </row>
    <row r="310" spans="1:1" x14ac:dyDescent="0.2">
      <c r="A310" s="20">
        <v>46229</v>
      </c>
    </row>
    <row r="311" spans="1:1" x14ac:dyDescent="0.2">
      <c r="A311" s="20">
        <v>46230</v>
      </c>
    </row>
    <row r="312" spans="1:1" x14ac:dyDescent="0.2">
      <c r="A312" s="20">
        <v>46231</v>
      </c>
    </row>
    <row r="313" spans="1:1" x14ac:dyDescent="0.2">
      <c r="A313" s="20">
        <v>46232</v>
      </c>
    </row>
    <row r="314" spans="1:1" x14ac:dyDescent="0.2">
      <c r="A314" s="20">
        <v>46233</v>
      </c>
    </row>
    <row r="315" spans="1:1" x14ac:dyDescent="0.2">
      <c r="A315" s="20">
        <v>46234</v>
      </c>
    </row>
    <row r="316" spans="1:1" x14ac:dyDescent="0.2">
      <c r="A316" s="20"/>
    </row>
    <row r="317" spans="1:1" x14ac:dyDescent="0.2">
      <c r="A317" s="20"/>
    </row>
    <row r="318" spans="1:1" x14ac:dyDescent="0.2">
      <c r="A318" s="20"/>
    </row>
    <row r="319" spans="1:1" x14ac:dyDescent="0.2">
      <c r="A319" s="20"/>
    </row>
    <row r="320" spans="1:1" x14ac:dyDescent="0.2">
      <c r="A320" s="20"/>
    </row>
    <row r="321" spans="1:1" x14ac:dyDescent="0.2">
      <c r="A321" s="20"/>
    </row>
    <row r="322" spans="1:1" x14ac:dyDescent="0.2">
      <c r="A322" s="20"/>
    </row>
    <row r="323" spans="1:1" x14ac:dyDescent="0.2">
      <c r="A323" s="20"/>
    </row>
    <row r="324" spans="1:1" x14ac:dyDescent="0.2">
      <c r="A324" s="20"/>
    </row>
    <row r="325" spans="1:1" x14ac:dyDescent="0.2">
      <c r="A325" s="20"/>
    </row>
    <row r="326" spans="1:1" x14ac:dyDescent="0.2">
      <c r="A326" s="20"/>
    </row>
    <row r="327" spans="1:1" x14ac:dyDescent="0.2">
      <c r="A327" s="20"/>
    </row>
    <row r="328" spans="1:1" x14ac:dyDescent="0.2">
      <c r="A328" s="20"/>
    </row>
    <row r="329" spans="1:1" x14ac:dyDescent="0.2">
      <c r="A329" s="20"/>
    </row>
    <row r="330" spans="1:1" x14ac:dyDescent="0.2">
      <c r="A330" s="20"/>
    </row>
    <row r="331" spans="1:1" x14ac:dyDescent="0.2">
      <c r="A331" s="20"/>
    </row>
    <row r="332" spans="1:1" x14ac:dyDescent="0.2">
      <c r="A332" s="20"/>
    </row>
    <row r="333" spans="1:1" x14ac:dyDescent="0.2">
      <c r="A333" s="20"/>
    </row>
    <row r="334" spans="1:1" x14ac:dyDescent="0.2">
      <c r="A334" s="20"/>
    </row>
    <row r="335" spans="1:1" x14ac:dyDescent="0.2">
      <c r="A335" s="20"/>
    </row>
    <row r="336" spans="1:1" x14ac:dyDescent="0.2">
      <c r="A336" s="20"/>
    </row>
    <row r="337" spans="1:1" x14ac:dyDescent="0.2">
      <c r="A337" s="20"/>
    </row>
    <row r="338" spans="1:1" x14ac:dyDescent="0.2">
      <c r="A338" s="20"/>
    </row>
    <row r="339" spans="1:1" x14ac:dyDescent="0.2">
      <c r="A339" s="20"/>
    </row>
    <row r="340" spans="1:1" x14ac:dyDescent="0.2">
      <c r="A340" s="20"/>
    </row>
    <row r="341" spans="1:1" x14ac:dyDescent="0.2">
      <c r="A341" s="20"/>
    </row>
    <row r="342" spans="1:1" x14ac:dyDescent="0.2">
      <c r="A342" s="20"/>
    </row>
    <row r="343" spans="1:1" x14ac:dyDescent="0.2">
      <c r="A343" s="20"/>
    </row>
    <row r="344" spans="1:1" x14ac:dyDescent="0.2">
      <c r="A344" s="20"/>
    </row>
    <row r="345" spans="1:1" x14ac:dyDescent="0.2">
      <c r="A345" s="20"/>
    </row>
    <row r="346" spans="1:1" x14ac:dyDescent="0.2">
      <c r="A346" s="20"/>
    </row>
    <row r="347" spans="1:1" x14ac:dyDescent="0.2">
      <c r="A347" s="20"/>
    </row>
    <row r="348" spans="1:1" x14ac:dyDescent="0.2">
      <c r="A348" s="20"/>
    </row>
    <row r="349" spans="1:1" x14ac:dyDescent="0.2">
      <c r="A349" s="20"/>
    </row>
    <row r="350" spans="1:1" x14ac:dyDescent="0.2">
      <c r="A350" s="20"/>
    </row>
    <row r="351" spans="1:1" x14ac:dyDescent="0.2">
      <c r="A351" s="20"/>
    </row>
    <row r="352" spans="1:1" x14ac:dyDescent="0.2">
      <c r="A352" s="20"/>
    </row>
    <row r="353" spans="1:1" x14ac:dyDescent="0.2">
      <c r="A353" s="20"/>
    </row>
    <row r="354" spans="1:1" x14ac:dyDescent="0.2">
      <c r="A354" s="20"/>
    </row>
    <row r="355" spans="1:1" x14ac:dyDescent="0.2">
      <c r="A355" s="20"/>
    </row>
    <row r="356" spans="1:1" x14ac:dyDescent="0.2">
      <c r="A356" s="20"/>
    </row>
    <row r="357" spans="1:1" x14ac:dyDescent="0.2">
      <c r="A357" s="20"/>
    </row>
    <row r="358" spans="1:1" x14ac:dyDescent="0.2">
      <c r="A358" s="20"/>
    </row>
    <row r="359" spans="1:1" x14ac:dyDescent="0.2">
      <c r="A359" s="20"/>
    </row>
    <row r="360" spans="1:1" x14ac:dyDescent="0.2">
      <c r="A360" s="20"/>
    </row>
    <row r="361" spans="1:1" x14ac:dyDescent="0.2">
      <c r="A361" s="20"/>
    </row>
    <row r="362" spans="1:1" x14ac:dyDescent="0.2">
      <c r="A362" s="20"/>
    </row>
    <row r="363" spans="1:1" x14ac:dyDescent="0.2">
      <c r="A363" s="20"/>
    </row>
    <row r="364" spans="1:1" x14ac:dyDescent="0.2">
      <c r="A364" s="20"/>
    </row>
    <row r="365" spans="1:1" x14ac:dyDescent="0.2">
      <c r="A365" s="20"/>
    </row>
    <row r="366" spans="1:1" x14ac:dyDescent="0.2">
      <c r="A366" s="20"/>
    </row>
    <row r="367" spans="1:1" x14ac:dyDescent="0.2">
      <c r="A367" s="20"/>
    </row>
    <row r="368" spans="1:1" x14ac:dyDescent="0.2">
      <c r="A368" s="20"/>
    </row>
    <row r="369" spans="1:1" x14ac:dyDescent="0.2">
      <c r="A369" s="20"/>
    </row>
    <row r="370" spans="1:1" x14ac:dyDescent="0.2">
      <c r="A370" s="20"/>
    </row>
    <row r="371" spans="1:1" x14ac:dyDescent="0.2">
      <c r="A371" s="20"/>
    </row>
    <row r="372" spans="1:1" x14ac:dyDescent="0.2">
      <c r="A372" s="20"/>
    </row>
    <row r="373" spans="1:1" x14ac:dyDescent="0.2">
      <c r="A373" s="20"/>
    </row>
    <row r="374" spans="1:1" x14ac:dyDescent="0.2">
      <c r="A374" s="20"/>
    </row>
    <row r="375" spans="1:1" x14ac:dyDescent="0.2">
      <c r="A375" s="20"/>
    </row>
    <row r="376" spans="1:1" x14ac:dyDescent="0.2">
      <c r="A376" s="20"/>
    </row>
    <row r="377" spans="1:1" x14ac:dyDescent="0.2">
      <c r="A377" s="20"/>
    </row>
    <row r="378" spans="1:1" x14ac:dyDescent="0.2">
      <c r="A378" s="20"/>
    </row>
    <row r="379" spans="1:1" x14ac:dyDescent="0.2">
      <c r="A379" s="20"/>
    </row>
    <row r="380" spans="1:1" x14ac:dyDescent="0.2">
      <c r="A380" s="20"/>
    </row>
    <row r="381" spans="1:1" x14ac:dyDescent="0.2">
      <c r="A381" s="20"/>
    </row>
    <row r="382" spans="1:1" x14ac:dyDescent="0.2">
      <c r="A382" s="20"/>
    </row>
    <row r="383" spans="1:1" x14ac:dyDescent="0.2">
      <c r="A383" s="20"/>
    </row>
    <row r="384" spans="1:1" x14ac:dyDescent="0.2">
      <c r="A384" s="20"/>
    </row>
    <row r="385" spans="1:1" x14ac:dyDescent="0.2">
      <c r="A385" s="20"/>
    </row>
    <row r="386" spans="1:1" x14ac:dyDescent="0.2">
      <c r="A386" s="20"/>
    </row>
    <row r="387" spans="1:1" x14ac:dyDescent="0.2">
      <c r="A387" s="20"/>
    </row>
    <row r="388" spans="1:1" x14ac:dyDescent="0.2">
      <c r="A388" s="20"/>
    </row>
    <row r="389" spans="1:1" x14ac:dyDescent="0.2">
      <c r="A389" s="20"/>
    </row>
    <row r="390" spans="1:1" x14ac:dyDescent="0.2">
      <c r="A390" s="20"/>
    </row>
    <row r="391" spans="1:1" x14ac:dyDescent="0.2">
      <c r="A391" s="20"/>
    </row>
    <row r="392" spans="1:1" x14ac:dyDescent="0.2">
      <c r="A392" s="20"/>
    </row>
    <row r="393" spans="1:1" x14ac:dyDescent="0.2">
      <c r="A393" s="20"/>
    </row>
    <row r="394" spans="1:1" x14ac:dyDescent="0.2">
      <c r="A394"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Gantt Chart (daily view)</vt:lpstr>
      <vt:lpstr>Gantt Chart (weekly view)</vt:lpstr>
      <vt:lpstr>Gantt Chart (monthly view)</vt:lpstr>
      <vt:lpstr>ProjectTaskList</vt:lpstr>
      <vt:lpstr>Help</vt:lpstr>
      <vt:lpstr>Sheet2</vt:lpstr>
      <vt:lpstr>Sheet3</vt:lpstr>
      <vt:lpstr>Sheet4</vt:lpstr>
      <vt:lpstr>ProjectTaskList!Print_Area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Task List with Gantt Chart</dc:title>
  <dc:creator>Vertex42.com</dc:creator>
  <dc:description>(c) 2017 Vertex42 LLC. All Rights Reserved.</dc:description>
  <cp:lastModifiedBy>ling jun lee</cp:lastModifiedBy>
  <cp:lastPrinted>2017-01-10T22:42:33Z</cp:lastPrinted>
  <dcterms:created xsi:type="dcterms:W3CDTF">2017-01-09T18:01:51Z</dcterms:created>
  <dcterms:modified xsi:type="dcterms:W3CDTF">2025-10-04T09:00:08Z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1.0.1</vt:lpwstr>
  </property>
</Properties>
</file>