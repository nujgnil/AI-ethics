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ing Jun\Desktop\PSB\AI-ethics\admin\Project management\"/>
    </mc:Choice>
  </mc:AlternateContent>
  <xr:revisionPtr revIDLastSave="0" documentId="8_{7C860EB2-B84A-433B-A195-729B1599E747}" xr6:coauthVersionLast="47" xr6:coauthVersionMax="47" xr10:uidLastSave="{00000000-0000-0000-0000-000000000000}"/>
  <bookViews>
    <workbookView xWindow="-119" yWindow="-119" windowWidth="28741" windowHeight="15543" activeTab="1" xr2:uid="{00000000-000D-0000-FFFF-FFFF00000000}"/>
  </bookViews>
  <sheets>
    <sheet name="ProjectTaskList" sheetId="8" r:id="rId1"/>
    <sheet name="Gantt Chart (monthly view)" sheetId="12" r:id="rId2"/>
    <sheet name="Gantt Chart (daily view)" sheetId="13" r:id="rId3"/>
    <sheet name="Gantt Chart (weekly view)" sheetId="9" r:id="rId4"/>
    <sheet name="Gantt Chart (monthly) fo report" sheetId="15" r:id="rId5"/>
    <sheet name="Sheet6" sheetId="18" r:id="rId6"/>
    <sheet name="Sheet5" sheetId="16" r:id="rId7"/>
    <sheet name="Help" sheetId="2" r:id="rId8"/>
    <sheet name="Sheet2" sheetId="10" r:id="rId9"/>
    <sheet name="Sheet3" sheetId="11" r:id="rId10"/>
    <sheet name="Sheet4" sheetId="14" r:id="rId11"/>
    <sheet name="Sheet1" sheetId="17" r:id="rId12"/>
  </sheets>
  <definedNames>
    <definedName name="_xlnm.Print_Area" localSheetId="0">ProjectTaskList!$A$1:$P$54</definedName>
    <definedName name="valuevx">42.314159</definedName>
    <definedName name="vertex42_copyright" hidden="1">"© 2017 Vertex42 LLC"</definedName>
    <definedName name="vertex42_id" hidden="1">"project-task-list-with-gantt-chart.xlsx"</definedName>
    <definedName name="vertex42_title" hidden="1">"Project Task List with Gantt Chart"</definedName>
  </definedName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6" i="14" l="1"/>
  <c r="N26" i="14"/>
  <c r="M26" i="14"/>
  <c r="L26" i="14"/>
  <c r="I26" i="14"/>
  <c r="H26" i="14"/>
  <c r="C26" i="14"/>
  <c r="O25" i="14"/>
  <c r="N25" i="14"/>
  <c r="M25" i="14"/>
  <c r="L25" i="14"/>
  <c r="I25" i="14"/>
  <c r="H25" i="14"/>
  <c r="C25" i="14"/>
  <c r="O24" i="14"/>
  <c r="N24" i="14"/>
  <c r="M24" i="14"/>
  <c r="L24" i="14"/>
  <c r="I24" i="14"/>
  <c r="H24" i="14"/>
  <c r="C24" i="14"/>
  <c r="O23" i="14"/>
  <c r="N23" i="14"/>
  <c r="M23" i="14"/>
  <c r="L23" i="14"/>
  <c r="I23" i="14"/>
  <c r="H23" i="14"/>
  <c r="C23" i="14"/>
  <c r="O22" i="14"/>
  <c r="N22" i="14"/>
  <c r="M22" i="14"/>
  <c r="L22" i="14"/>
  <c r="I22" i="14"/>
  <c r="H22" i="14"/>
  <c r="C22" i="14"/>
  <c r="O21" i="14"/>
  <c r="N21" i="14"/>
  <c r="M21" i="14"/>
  <c r="L21" i="14"/>
  <c r="I21" i="14"/>
  <c r="H21" i="14"/>
  <c r="C21" i="14"/>
  <c r="O20" i="14"/>
  <c r="N20" i="14"/>
  <c r="M20" i="14"/>
  <c r="L20" i="14"/>
  <c r="I20" i="14"/>
  <c r="H20" i="14"/>
  <c r="C20" i="14"/>
  <c r="O19" i="14"/>
  <c r="N19" i="14"/>
  <c r="M19" i="14"/>
  <c r="L19" i="14"/>
  <c r="I19" i="14"/>
  <c r="H19" i="14"/>
  <c r="C19" i="14"/>
  <c r="O18" i="14"/>
  <c r="N18" i="14"/>
  <c r="M18" i="14"/>
  <c r="L18" i="14"/>
  <c r="I18" i="14"/>
  <c r="H18" i="14"/>
  <c r="C18" i="14"/>
  <c r="O17" i="14"/>
  <c r="N17" i="14"/>
  <c r="M17" i="14"/>
  <c r="L17" i="14"/>
  <c r="I17" i="14"/>
  <c r="H17" i="14"/>
  <c r="C17" i="14"/>
  <c r="O16" i="14"/>
  <c r="N16" i="14"/>
  <c r="M16" i="14"/>
  <c r="L16" i="14"/>
  <c r="I16" i="14"/>
  <c r="H16" i="14"/>
  <c r="C16" i="14"/>
  <c r="O15" i="14"/>
  <c r="N15" i="14"/>
  <c r="M15" i="14"/>
  <c r="L15" i="14"/>
  <c r="I15" i="14"/>
  <c r="H15" i="14"/>
  <c r="C15" i="14"/>
  <c r="O14" i="14"/>
  <c r="N14" i="14"/>
  <c r="M14" i="14"/>
  <c r="L14" i="14"/>
  <c r="I14" i="14"/>
  <c r="H14" i="14"/>
  <c r="C14" i="14"/>
  <c r="O13" i="14"/>
  <c r="N13" i="14"/>
  <c r="M13" i="14"/>
  <c r="L13" i="14"/>
  <c r="I13" i="14"/>
  <c r="H13" i="14"/>
  <c r="C13" i="14"/>
  <c r="O12" i="14"/>
  <c r="N12" i="14"/>
  <c r="M12" i="14"/>
  <c r="L12" i="14"/>
  <c r="I12" i="14"/>
  <c r="H12" i="14"/>
  <c r="C12" i="14"/>
  <c r="O11" i="14"/>
  <c r="N11" i="14"/>
  <c r="M11" i="14"/>
  <c r="L11" i="14"/>
  <c r="I11" i="14"/>
  <c r="H11" i="14"/>
  <c r="C11" i="14"/>
  <c r="O10" i="14"/>
  <c r="N10" i="14"/>
  <c r="M10" i="14"/>
  <c r="L10" i="14"/>
  <c r="I10" i="14"/>
  <c r="H10" i="14"/>
  <c r="C10" i="14"/>
  <c r="O9" i="14"/>
  <c r="N9" i="14"/>
  <c r="M9" i="14"/>
  <c r="L9" i="14"/>
  <c r="I9" i="14"/>
  <c r="H9" i="14"/>
  <c r="C9" i="14"/>
  <c r="O8" i="14"/>
  <c r="N8" i="14"/>
  <c r="M8" i="14"/>
  <c r="L8" i="14"/>
  <c r="I8" i="14"/>
  <c r="H8" i="14"/>
  <c r="C8" i="14"/>
  <c r="O7" i="14"/>
  <c r="N7" i="14"/>
  <c r="M7" i="14"/>
  <c r="L7" i="14"/>
  <c r="I7" i="14"/>
  <c r="H7" i="14"/>
  <c r="C7" i="14"/>
  <c r="O6" i="14"/>
  <c r="N6" i="14"/>
  <c r="M6" i="14"/>
  <c r="L6" i="14"/>
  <c r="I6" i="14"/>
  <c r="H6" i="14"/>
  <c r="C6" i="14"/>
  <c r="O5" i="14"/>
  <c r="N5" i="14"/>
  <c r="M5" i="14"/>
  <c r="L5" i="14"/>
  <c r="I5" i="14"/>
  <c r="H5" i="14"/>
  <c r="C5" i="14"/>
  <c r="O4" i="14"/>
  <c r="N4" i="14"/>
  <c r="M4" i="14"/>
  <c r="L4" i="14"/>
  <c r="I4" i="14"/>
  <c r="H4" i="14"/>
  <c r="C4" i="14"/>
  <c r="O3" i="14"/>
  <c r="N3" i="14"/>
  <c r="M3" i="14"/>
  <c r="L3" i="14"/>
  <c r="I3" i="14"/>
  <c r="H3" i="14"/>
  <c r="C3" i="14"/>
  <c r="O2" i="14"/>
  <c r="N2" i="14"/>
  <c r="M2" i="14"/>
  <c r="L2" i="14"/>
  <c r="I2" i="14"/>
  <c r="H2" i="14"/>
  <c r="C2" i="14"/>
  <c r="H23" i="11"/>
  <c r="G23" i="11"/>
  <c r="H22" i="11"/>
  <c r="G22" i="11"/>
  <c r="H21" i="11"/>
  <c r="G21" i="11"/>
  <c r="H20" i="11"/>
  <c r="G20" i="11"/>
  <c r="H19" i="11"/>
  <c r="G19" i="11"/>
  <c r="H18" i="11"/>
  <c r="G18" i="11"/>
  <c r="H17" i="11"/>
  <c r="G17" i="11"/>
  <c r="H16" i="11"/>
  <c r="G16" i="11"/>
  <c r="H15" i="11"/>
  <c r="G15" i="11"/>
  <c r="H14" i="11"/>
  <c r="G14" i="11"/>
  <c r="H13" i="11"/>
  <c r="G13" i="11"/>
  <c r="H12" i="11"/>
  <c r="G12" i="11"/>
  <c r="H11" i="11"/>
  <c r="G11" i="11"/>
  <c r="H10" i="11"/>
  <c r="G10" i="11"/>
  <c r="H9" i="11"/>
  <c r="G9" i="11"/>
  <c r="H8" i="11"/>
  <c r="G8" i="11"/>
  <c r="H7" i="11"/>
  <c r="G7" i="11"/>
  <c r="H6" i="11"/>
  <c r="G6" i="11"/>
  <c r="H5" i="11"/>
  <c r="G5" i="11"/>
  <c r="H4" i="11"/>
  <c r="G4" i="11"/>
  <c r="H3" i="11"/>
  <c r="G3" i="11"/>
  <c r="H2" i="11"/>
  <c r="G2" i="11"/>
  <c r="F23" i="10"/>
  <c r="F22" i="10"/>
  <c r="F21" i="10"/>
  <c r="F20" i="10"/>
  <c r="F19" i="10"/>
  <c r="F18" i="10"/>
  <c r="F17" i="10"/>
  <c r="F16" i="10"/>
  <c r="F15" i="10"/>
  <c r="F14" i="10"/>
  <c r="F13" i="10"/>
  <c r="F12" i="10"/>
  <c r="F11" i="10"/>
  <c r="F10" i="10"/>
  <c r="F9" i="10"/>
  <c r="F8" i="10"/>
  <c r="F7" i="10"/>
  <c r="F6" i="10"/>
  <c r="F5" i="10"/>
  <c r="F4" i="10"/>
  <c r="F3" i="10"/>
  <c r="F2" i="10"/>
  <c r="A4" i="18"/>
  <c r="A3" i="18"/>
  <c r="A2" i="18"/>
  <c r="A1" i="18"/>
  <c r="F23" i="15"/>
  <c r="F22" i="15"/>
  <c r="F21" i="15"/>
  <c r="F20" i="15"/>
  <c r="F19" i="15"/>
  <c r="F18" i="15"/>
  <c r="F17" i="15"/>
  <c r="F16" i="15"/>
  <c r="F15" i="15"/>
  <c r="F14" i="15"/>
  <c r="F13" i="15"/>
  <c r="F12" i="15"/>
  <c r="F11" i="15"/>
  <c r="F10" i="15"/>
  <c r="F9" i="15"/>
  <c r="F8" i="15"/>
  <c r="F7" i="15"/>
  <c r="F6" i="15"/>
  <c r="F5" i="15"/>
  <c r="F4" i="15"/>
  <c r="F3" i="15"/>
  <c r="F2" i="15"/>
  <c r="F23" i="9"/>
  <c r="F22" i="9"/>
  <c r="F21" i="9"/>
  <c r="F20" i="9"/>
  <c r="F19" i="9"/>
  <c r="F18" i="9"/>
  <c r="F17" i="9"/>
  <c r="F16" i="9"/>
  <c r="F15" i="9"/>
  <c r="F14" i="9"/>
  <c r="F13" i="9"/>
  <c r="F12" i="9"/>
  <c r="F11" i="9"/>
  <c r="F10" i="9"/>
  <c r="F9" i="9"/>
  <c r="F8" i="9"/>
  <c r="F7" i="9"/>
  <c r="F6" i="9"/>
  <c r="F5" i="9"/>
  <c r="F4" i="9"/>
  <c r="F3" i="9"/>
  <c r="F2" i="9"/>
  <c r="F23" i="13"/>
  <c r="F22" i="13"/>
  <c r="F21" i="13"/>
  <c r="F20" i="13"/>
  <c r="F19" i="13"/>
  <c r="F18" i="13"/>
  <c r="F17" i="13"/>
  <c r="F16" i="13"/>
  <c r="F15" i="13"/>
  <c r="F14" i="13"/>
  <c r="F13" i="13"/>
  <c r="F12" i="13"/>
  <c r="F11" i="13"/>
  <c r="F10" i="13"/>
  <c r="F9" i="13"/>
  <c r="F8" i="13"/>
  <c r="F7" i="13"/>
  <c r="F6" i="13"/>
  <c r="F5" i="13"/>
  <c r="F4" i="13"/>
  <c r="F3" i="13"/>
  <c r="F2" i="13"/>
  <c r="F23" i="12"/>
  <c r="F22" i="12"/>
  <c r="F21" i="12"/>
  <c r="F20" i="12"/>
  <c r="F19" i="12"/>
  <c r="F18" i="12"/>
  <c r="F17" i="12"/>
  <c r="F16" i="12"/>
  <c r="F15" i="12"/>
  <c r="F14" i="12"/>
  <c r="F13" i="12"/>
  <c r="F12" i="12"/>
  <c r="F11" i="12"/>
  <c r="F10" i="12"/>
  <c r="F9" i="12"/>
  <c r="F8" i="12"/>
  <c r="F7" i="12"/>
  <c r="F6" i="12"/>
  <c r="F5" i="12"/>
  <c r="F4" i="12"/>
  <c r="F3" i="12"/>
  <c r="F2" i="12"/>
  <c r="P28" i="8"/>
  <c r="O28" i="8"/>
  <c r="N28" i="8"/>
  <c r="M28" i="8"/>
  <c r="L28" i="8"/>
  <c r="K28" i="8"/>
  <c r="J28" i="8"/>
  <c r="I28" i="8"/>
  <c r="H28" i="8"/>
  <c r="C28" i="8"/>
  <c r="P27" i="8"/>
  <c r="O27" i="8"/>
  <c r="N27" i="8"/>
  <c r="M27" i="8"/>
  <c r="L27" i="8"/>
  <c r="K27" i="8"/>
  <c r="J27" i="8"/>
  <c r="I27" i="8"/>
  <c r="H27" i="8"/>
  <c r="C27" i="8"/>
  <c r="P26" i="8"/>
  <c r="O26" i="8"/>
  <c r="N26" i="8"/>
  <c r="M26" i="8"/>
  <c r="L26" i="8"/>
  <c r="K26" i="8"/>
  <c r="J26" i="8"/>
  <c r="I26" i="8"/>
  <c r="H26" i="8"/>
  <c r="C26" i="8"/>
  <c r="P25" i="8"/>
  <c r="O25" i="8"/>
  <c r="N25" i="8"/>
  <c r="M25" i="8"/>
  <c r="L25" i="8"/>
  <c r="K25" i="8"/>
  <c r="J25" i="8"/>
  <c r="I25" i="8"/>
  <c r="H25" i="8"/>
  <c r="C25" i="8"/>
  <c r="P24" i="8"/>
  <c r="O24" i="8"/>
  <c r="N24" i="8"/>
  <c r="M24" i="8"/>
  <c r="L24" i="8"/>
  <c r="K24" i="8"/>
  <c r="J24" i="8"/>
  <c r="I24" i="8"/>
  <c r="H24" i="8"/>
  <c r="C24" i="8"/>
  <c r="P23" i="8"/>
  <c r="O23" i="8"/>
  <c r="N23" i="8"/>
  <c r="M23" i="8"/>
  <c r="L23" i="8"/>
  <c r="K23" i="8"/>
  <c r="J23" i="8"/>
  <c r="I23" i="8"/>
  <c r="H23" i="8"/>
  <c r="C23" i="8"/>
  <c r="P22" i="8"/>
  <c r="O22" i="8"/>
  <c r="N22" i="8"/>
  <c r="M22" i="8"/>
  <c r="L22" i="8"/>
  <c r="K22" i="8"/>
  <c r="J22" i="8"/>
  <c r="I22" i="8"/>
  <c r="H22" i="8"/>
  <c r="C22" i="8"/>
  <c r="P21" i="8"/>
  <c r="O21" i="8"/>
  <c r="N21" i="8"/>
  <c r="M21" i="8"/>
  <c r="L21" i="8"/>
  <c r="K21" i="8"/>
  <c r="J21" i="8"/>
  <c r="I21" i="8"/>
  <c r="H21" i="8"/>
  <c r="C21" i="8"/>
  <c r="P20" i="8"/>
  <c r="O20" i="8"/>
  <c r="N20" i="8"/>
  <c r="M20" i="8"/>
  <c r="L20" i="8"/>
  <c r="K20" i="8"/>
  <c r="J20" i="8"/>
  <c r="I20" i="8"/>
  <c r="H20" i="8"/>
  <c r="C20" i="8"/>
  <c r="P19" i="8"/>
  <c r="O19" i="8"/>
  <c r="N19" i="8"/>
  <c r="M19" i="8"/>
  <c r="L19" i="8"/>
  <c r="K19" i="8"/>
  <c r="J19" i="8"/>
  <c r="I19" i="8"/>
  <c r="H19" i="8"/>
  <c r="C19" i="8"/>
  <c r="P18" i="8"/>
  <c r="O18" i="8"/>
  <c r="N18" i="8"/>
  <c r="M18" i="8"/>
  <c r="L18" i="8"/>
  <c r="K18" i="8"/>
  <c r="J18" i="8"/>
  <c r="I18" i="8"/>
  <c r="H18" i="8"/>
  <c r="C18" i="8"/>
  <c r="P17" i="8"/>
  <c r="O17" i="8"/>
  <c r="N17" i="8"/>
  <c r="M17" i="8"/>
  <c r="L17" i="8"/>
  <c r="K17" i="8"/>
  <c r="J17" i="8"/>
  <c r="I17" i="8"/>
  <c r="H17" i="8"/>
  <c r="C17" i="8"/>
  <c r="P16" i="8"/>
  <c r="O16" i="8"/>
  <c r="N16" i="8"/>
  <c r="M16" i="8"/>
  <c r="L16" i="8"/>
  <c r="K16" i="8"/>
  <c r="J16" i="8"/>
  <c r="I16" i="8"/>
  <c r="H16" i="8"/>
  <c r="C16" i="8"/>
  <c r="P15" i="8"/>
  <c r="O15" i="8"/>
  <c r="N15" i="8"/>
  <c r="M15" i="8"/>
  <c r="L15" i="8"/>
  <c r="K15" i="8"/>
  <c r="J15" i="8"/>
  <c r="I15" i="8"/>
  <c r="H15" i="8"/>
  <c r="C15" i="8"/>
  <c r="P14" i="8"/>
  <c r="O14" i="8"/>
  <c r="N14" i="8"/>
  <c r="M14" i="8"/>
  <c r="L14" i="8"/>
  <c r="K14" i="8"/>
  <c r="J14" i="8"/>
  <c r="I14" i="8"/>
  <c r="H14" i="8"/>
  <c r="C14" i="8"/>
  <c r="P13" i="8"/>
  <c r="O13" i="8"/>
  <c r="N13" i="8"/>
  <c r="M13" i="8"/>
  <c r="L13" i="8"/>
  <c r="K13" i="8"/>
  <c r="J13" i="8"/>
  <c r="I13" i="8"/>
  <c r="H13" i="8"/>
  <c r="C13" i="8"/>
  <c r="P12" i="8"/>
  <c r="O12" i="8"/>
  <c r="N12" i="8"/>
  <c r="M12" i="8"/>
  <c r="L12" i="8"/>
  <c r="K12" i="8"/>
  <c r="J12" i="8"/>
  <c r="I12" i="8"/>
  <c r="H12" i="8"/>
  <c r="C12" i="8"/>
  <c r="P11" i="8"/>
  <c r="O11" i="8"/>
  <c r="N11" i="8"/>
  <c r="M11" i="8"/>
  <c r="L11" i="8"/>
  <c r="K11" i="8"/>
  <c r="J11" i="8"/>
  <c r="I11" i="8"/>
  <c r="H11" i="8"/>
  <c r="C11" i="8"/>
  <c r="P10" i="8"/>
  <c r="O10" i="8"/>
  <c r="N10" i="8"/>
  <c r="M10" i="8"/>
  <c r="L10" i="8"/>
  <c r="K10" i="8"/>
  <c r="J10" i="8"/>
  <c r="I10" i="8"/>
  <c r="H10" i="8"/>
  <c r="C10" i="8"/>
  <c r="P9" i="8"/>
  <c r="O9" i="8"/>
  <c r="N9" i="8"/>
  <c r="M9" i="8"/>
  <c r="L9" i="8"/>
  <c r="K9" i="8"/>
  <c r="J9" i="8"/>
  <c r="I9" i="8"/>
  <c r="H9" i="8"/>
  <c r="C9" i="8"/>
  <c r="P8" i="8"/>
  <c r="O8" i="8"/>
  <c r="N8" i="8"/>
  <c r="M8" i="8"/>
  <c r="L8" i="8"/>
  <c r="K8" i="8"/>
  <c r="J8" i="8"/>
  <c r="I8" i="8"/>
  <c r="H8" i="8"/>
  <c r="C8" i="8"/>
  <c r="P7" i="8"/>
  <c r="O7" i="8"/>
  <c r="N7" i="8"/>
  <c r="M7" i="8"/>
  <c r="L7" i="8"/>
  <c r="K7" i="8"/>
  <c r="J7" i="8"/>
  <c r="I7" i="8"/>
  <c r="H7" i="8"/>
  <c r="C7" i="8"/>
  <c r="P6" i="8"/>
  <c r="O6" i="8"/>
  <c r="N6" i="8"/>
  <c r="M6" i="8"/>
  <c r="L6" i="8"/>
  <c r="K6" i="8"/>
  <c r="J6" i="8"/>
  <c r="I6" i="8"/>
  <c r="H6" i="8"/>
  <c r="C6" i="8"/>
  <c r="P5" i="8"/>
  <c r="O5" i="8"/>
  <c r="N5" i="8"/>
  <c r="M5" i="8"/>
  <c r="L5" i="8"/>
  <c r="K5" i="8"/>
  <c r="J5" i="8"/>
  <c r="I5" i="8"/>
  <c r="H5" i="8"/>
  <c r="C5" i="8"/>
  <c r="K11" i="14"/>
  <c r="J11" i="14"/>
  <c r="K21" i="14"/>
  <c r="J21" i="14"/>
  <c r="K8" i="14"/>
  <c r="J8" i="14"/>
  <c r="K2" i="14"/>
  <c r="J2" i="14"/>
  <c r="K9" i="14"/>
  <c r="J9" i="14"/>
  <c r="K22" i="14"/>
  <c r="J22" i="14"/>
  <c r="K20" i="14"/>
  <c r="J20" i="14"/>
  <c r="K18" i="14"/>
  <c r="J18" i="14"/>
  <c r="K15" i="14"/>
  <c r="J15" i="14"/>
  <c r="K13" i="14"/>
  <c r="J13" i="14"/>
  <c r="K10" i="14"/>
  <c r="J10" i="14"/>
  <c r="K12" i="14"/>
  <c r="J12" i="14"/>
  <c r="K4" i="14"/>
  <c r="J4" i="14"/>
  <c r="K5" i="14"/>
  <c r="J5" i="14"/>
  <c r="K26" i="14"/>
  <c r="J26" i="14"/>
  <c r="K14" i="14"/>
  <c r="J14" i="14"/>
  <c r="K16" i="14"/>
  <c r="J16" i="14"/>
  <c r="K24" i="14"/>
  <c r="J24" i="14"/>
  <c r="K25" i="14"/>
  <c r="J25" i="14"/>
  <c r="K17" i="14"/>
  <c r="J17" i="14"/>
  <c r="K7" i="14"/>
  <c r="J7" i="14"/>
  <c r="K23" i="14"/>
  <c r="J23" i="14"/>
  <c r="K3" i="14"/>
  <c r="J19" i="14"/>
  <c r="K19" i="14"/>
  <c r="J3" i="14"/>
  <c r="J6" i="14"/>
  <c r="K6" i="14"/>
</calcChain>
</file>

<file path=xl/sharedStrings.xml><?xml version="1.0" encoding="utf-8"?>
<sst xmlns="http://schemas.openxmlformats.org/spreadsheetml/2006/main" count="304" uniqueCount="167">
  <si>
    <t>HELP</t>
  </si>
  <si>
    <t>About</t>
  </si>
  <si>
    <t>Terms of Use</t>
  </si>
  <si>
    <t>Do not submit copies or modifications of this template to any website or online template gallery. Please review the following license agreement to learn how you may or may not use this template. Thank you.</t>
  </si>
  <si>
    <t>This spreadsheet, including all worksheets and associated content is a copyrighted work under the United States and other copyright laws.</t>
  </si>
  <si>
    <t>https://www.vertex42.com/licensing/EULA_privateuse.html</t>
  </si>
  <si>
    <t>Conditional Formatting</t>
  </si>
  <si>
    <t>To edit conditional formatting rules, go to Conditional Formatting &gt; Manage Rules and select "This Worksheet" to see and edit all the rules.</t>
  </si>
  <si>
    <t>Additional Help</t>
  </si>
  <si>
    <t>The link at the top of this worksheet will take you to the web page on vertex42.com that talks about this template.</t>
  </si>
  <si>
    <t>© 2017 Vertex42.com</t>
  </si>
  <si>
    <t>TASK</t>
  </si>
  <si>
    <t>Project Start</t>
  </si>
  <si>
    <t>START</t>
  </si>
  <si>
    <t>PROJECT</t>
  </si>
  <si>
    <t>ACTUAL END</t>
  </si>
  <si>
    <t>PLAN END</t>
  </si>
  <si>
    <t>Complete</t>
  </si>
  <si>
    <t>Incomplete</t>
  </si>
  <si>
    <t>Slippage</t>
  </si>
  <si>
    <t>Days to Start</t>
  </si>
  <si>
    <t>When you change the Project Start date, you will need to also update the Minimum bound for the X-axis in the gantt chart. Right-click on the x-axis labels in the chart and go to Format Axis.</t>
  </si>
  <si>
    <t>Adjust the Minimum Bound for the X-axis</t>
  </si>
  <si>
    <t>This task list template shows how you can create a gantt chart as a stacked bar chart in Excel. The Project Start date is the first series in the chart, but it is shown as a hidden bar by changing the fill color to None. The Minimum bound for the x-axis should be set to the Project Start date (and that is a manual process - see below).</t>
  </si>
  <si>
    <t>Adding More Rows</t>
  </si>
  <si>
    <t>When you insert new rows, you should insert a blank row, then copy formulas down in the columns with the gray background.</t>
  </si>
  <si>
    <t>The Priority column uses conditional formatting to highlight cells differently based on their text value. If you change the list of items in the Priority drop-down list, then you may need to edit the conditional formatting rule(s) as well.</t>
  </si>
  <si>
    <t>https://www.vertex42.com/ExcelTemplates/task-list-template.html</t>
  </si>
  <si>
    <t>Get Gantt Chart Template Pro for Excel</t>
  </si>
  <si>
    <t>Try a better approach to creating Gantt charts in Excel</t>
  </si>
  <si>
    <t>[42]</t>
  </si>
  <si>
    <t>{42}</t>
  </si>
  <si>
    <t>Training a Model on Moral Dilemmas: How AI ‘Thinks’ About Ethics.</t>
  </si>
  <si>
    <t>Lee Ling Jun</t>
  </si>
  <si>
    <t>Phase</t>
  </si>
  <si>
    <t>Task</t>
  </si>
  <si>
    <t>Start Date</t>
  </si>
  <si>
    <t>End Date</t>
  </si>
  <si>
    <t>Estimated Duration (weeks)</t>
  </si>
  <si>
    <t>Notes / Deliverables</t>
  </si>
  <si>
    <t>1. Project Scoping &amp; Background Research</t>
  </si>
  <si>
    <t>Finalize research questions, scope, and hypotheses</t>
  </si>
  <si>
    <t>Sep 2, 2025</t>
  </si>
  <si>
    <t>Sep 15, 2025</t>
  </si>
  <si>
    <t>Define central problem and framing (AI &amp; ethics).</t>
  </si>
  <si>
    <t>Conduct literature review on AI + morality, datasets, interpretability, Chinese Room</t>
  </si>
  <si>
    <t>Sep 9, 2025</t>
  </si>
  <si>
    <t>Sep 30, 2025</t>
  </si>
  <si>
    <t>Build annotated bibliography.</t>
  </si>
  <si>
    <t>Define evaluation metrics and success criteria</t>
  </si>
  <si>
    <t>Sep 25, 2025</t>
  </si>
  <si>
    <t>Oct 5, 2025</t>
  </si>
  <si>
    <t>Draft methodology outline.</t>
  </si>
  <si>
    <t>2. Dataset Design &amp; Collection</t>
  </si>
  <si>
    <t>Choose dataset focus (cross-cultural, uncertainty, etc.)</t>
  </si>
  <si>
    <t>Oct 1, 2025</t>
  </si>
  <si>
    <t>Oct 10, 2025</t>
  </si>
  <si>
    <t>Finalize dataset concept.</t>
  </si>
  <si>
    <t>Collect ethical dilemmas (texts, surveys, cultural sources)</t>
  </si>
  <si>
    <t>Nov 10, 2025</t>
  </si>
  <si>
    <t>Gather raw moral dilemmas.</t>
  </si>
  <si>
    <t>Design annotation schema and label guidelines</t>
  </si>
  <si>
    <t>Oct 20, 2025</t>
  </si>
  <si>
    <t>Nov 5, 2025</t>
  </si>
  <si>
    <t>Define moral categories (fairness, duty, harm).</t>
  </si>
  <si>
    <t>Begin initial annotations / pilot study</t>
  </si>
  <si>
    <t>Nov 25, 2025</t>
  </si>
  <si>
    <t>Test consistency and reliability.</t>
  </si>
  <si>
    <t>3. Model Selection &amp; Setup</t>
  </si>
  <si>
    <t>Choose baseline models (rule-based, shallow)</t>
  </si>
  <si>
    <t>Dec 1, 2025</t>
  </si>
  <si>
    <t>Dec 10, 2025</t>
  </si>
  <si>
    <t>Implement simple baselines.</t>
  </si>
  <si>
    <t>Choose transformer models (LLaMA, GPT, Mistral, etc.)</t>
  </si>
  <si>
    <t>Dec 20, 2025</t>
  </si>
  <si>
    <t>Secure access / compute.</t>
  </si>
  <si>
    <t>Set up training environment (Python, GPUs, libraries)</t>
  </si>
  <si>
    <t>Dec 15, 2025</t>
  </si>
  <si>
    <t>Jan 5, 2026</t>
  </si>
  <si>
    <t>Verify reproducibility setup.</t>
  </si>
  <si>
    <t>4. Training &amp; Fine-tuning</t>
  </si>
  <si>
    <t>Preprocess dataset and tokenization</t>
  </si>
  <si>
    <t>Jan 20, 2026</t>
  </si>
  <si>
    <t>Clean, split, and validate data.</t>
  </si>
  <si>
    <t>Fine-tune baseline models on ETHICS</t>
  </si>
  <si>
    <t>Feb 5, 2026</t>
  </si>
  <si>
    <t>Establish baseline performance.</t>
  </si>
  <si>
    <t>Fine-tune models on your custom dataset</t>
  </si>
  <si>
    <t>Feb 25, 2026</t>
  </si>
  <si>
    <t>Train, log, and verify convergence.</t>
  </si>
  <si>
    <t>Sanity-check and validate model outputs</t>
  </si>
  <si>
    <t>Feb 20, 2026</t>
  </si>
  <si>
    <t>Feb 29, 2026</t>
  </si>
  <si>
    <t>Qualitative inspection of reasoning.</t>
  </si>
  <si>
    <t>5. Evaluation</t>
  </si>
  <si>
    <t>Define and calculate evaluation metrics (accuracy, robustness, bias)</t>
  </si>
  <si>
    <t>Mar 1, 2026</t>
  </si>
  <si>
    <t>Mar 10, 2026</t>
  </si>
  <si>
    <t>Build evaluation scripts.</t>
  </si>
  <si>
    <t>Conduct interpretability analysis (attention, embeddings, interventions)</t>
  </si>
  <si>
    <t>Mar 5, 2026</t>
  </si>
  <si>
    <t>Mar 25, 2026</t>
  </si>
  <si>
    <t>Visualize model reasoning patterns.</t>
  </si>
  <si>
    <t>Cross-cultural or moral uncertainty tests</t>
  </si>
  <si>
    <t>Mar 30, 2026</t>
  </si>
  <si>
    <t>Compare across groups or dilemmas.</t>
  </si>
  <si>
    <t>6. Analysis &amp; Reflection</t>
  </si>
  <si>
    <t>Relate findings to philosophical framing (Chinese Room, etc.)</t>
  </si>
  <si>
    <t>Apr 5, 2026</t>
  </si>
  <si>
    <t>Integrate technical + ethical insights.</t>
  </si>
  <si>
    <t>Identify limitations, biases, implications</t>
  </si>
  <si>
    <t>Apr 1, 2026</t>
  </si>
  <si>
    <t>Apr 10, 2026</t>
  </si>
  <si>
    <t>Draft discussion section.</t>
  </si>
  <si>
    <t>7. Write-up &amp; Presentation</t>
  </si>
  <si>
    <t>Draft report/paper (intro, method, results)</t>
  </si>
  <si>
    <t>Mar 15, 2026</t>
  </si>
  <si>
    <t>Prepare initial manuscript.</t>
  </si>
  <si>
    <t>Create figures, charts (attention maps, embeddings, Gantt chart)</t>
  </si>
  <si>
    <t>Apr 15, 2026</t>
  </si>
  <si>
    <t>Include in appendix or slides.</t>
  </si>
  <si>
    <t>Revise, finalize, and prepare presentation</t>
  </si>
  <si>
    <t>Apr 30, 2026</t>
  </si>
  <si>
    <t>Final thesis/presentation submission.</t>
  </si>
  <si>
    <t>Estimated Duration (days roudup)</t>
  </si>
  <si>
    <t>Estimated Duration (days)</t>
  </si>
  <si>
    <t>Project and Data Management</t>
  </si>
  <si>
    <t>8. Deadlines</t>
  </si>
  <si>
    <t>Combining Dataset</t>
  </si>
  <si>
    <t xml:space="preserve">Cleaning up Data set </t>
  </si>
  <si>
    <t>Preliminary data set exploration</t>
  </si>
  <si>
    <t>Literature review on model selection</t>
  </si>
  <si>
    <t>ViVa</t>
  </si>
  <si>
    <t>Completion status(%)</t>
  </si>
  <si>
    <t>Priority</t>
  </si>
  <si>
    <t>Working days</t>
  </si>
  <si>
    <t>Conduct literature review on AI + morality, datasets</t>
  </si>
  <si>
    <t>Criterion</t>
  </si>
  <si>
    <t>ETHICS (Hendrycks et al., 2021)</t>
  </si>
  <si>
    <t>CMoralEval (Zhang et al., 2024)</t>
  </si>
  <si>
    <t>MoralBench (Ji et al., 2024)</t>
  </si>
  <si>
    <t>Moral Integrity Corpus (MIC, Ziems et al., 2022)</t>
  </si>
  <si>
    <t>GDPR Compliance</t>
  </si>
  <si>
    <t>Text-only dataset with no personally identifiable information (PII). Dataset card explicitly notes “no personal or sensitive data”. 🔗 ETHICS HuggingFace Dataset Card</t>
  </si>
  <si>
    <t>Data derived from Chinese media and public examples, manually paraphrased and anonymised. Paper confirms “no individual information or personal identifiers included.” 🔗 ACL Findings 2024 Paper (PDF)</t>
  </si>
  <si>
    <t>All data synthetically generated by large language models; authors state “no personally identifiable information is included in any sample.” 🔗 arXiv 2406.04428v2 – MoralBench</t>
  </si>
  <si>
    <t>Derived from open-domain chatbot prompts (e.g. BlenderBot, GPT-2) and crowd annotations, all anonymised. No human participant data or PII. Dataset statement confirms “contains no personally identifiable or sensitive data.” 🔗 MIC GitHub Repository</t>
  </si>
  <si>
    <t>UH Ethical Policies</t>
  </si>
  <si>
    <t>Secondary, anonymised data under MIT licence, publicly released for academic research—fits UH policy for secondary use of anonymised text.</t>
  </si>
  <si>
    <t>Secondary text dataset (anonymised, non-human participant data). Openly available and derived from media content, aligns with UH research-ethics guidelines for secondary data.</t>
  </si>
  <si>
    <t>Fully synthetic text, publicly available; no human participants. Aligns with UH’s definition of exempt anonymised secondary data.</t>
  </si>
  <si>
    <t>Research-only dataset containing anonymised conversational text. Fits UH guidelines for secondary, publicly available data without human subject involvement.</t>
  </si>
  <si>
    <t>Permission to Use</t>
  </si>
  <si>
    <t>Released under the MIT License. Open for research and non-commercial use. 🔗 GitHub License File</t>
  </si>
  <si>
    <t>Licensed under CC BY-SA 4.0. Attribution required, free for research and educational use. 🔗 GitHub – CMoralEval License</t>
  </si>
  <si>
    <t>Licensed under CC BY 5.0 according to repository and paper. Publicly available via GitHub and arXiv. 🔗 MoralBench GitHub</t>
  </si>
  <si>
    <t>Licensed under CC BY-SA 4.0. Clearly stated in the repository README and license file. 🔗 MIC GitHub License</t>
  </si>
  <si>
    <t>Original Data Ethics</t>
  </si>
  <si>
    <t>Created by researchers from UC Berkeley, Google Research, and UC San Diego. Paper documents ethical use of data and adherence to institutional standards. 🔗 ICLR 2021 Paper</t>
  </si>
  <si>
    <t>Authored by Tianjin University NLP Lab; ACL publication peer-reviewed, includes ethical considerations section confirming responsible data use. 🔗 ACL 2024 Findings Paper</t>
  </si>
  <si>
    <t>Developed by AGI Research Group; dataset is fully synthetic and does not use human-sourced private data. Paper provides ethics statement affirming no sensitive or personal data were included. 🔗 arXiv 2406.04428v2</t>
  </si>
  <si>
    <t>Developed by Georgia Institute of Technology and University of Washington. ACL 2022 peer-reviewed publication includes “Ethical Considerations” section confirming non-sensitive, anonymised data and ethical oversight. 🔗 ACL 2022 Paper</t>
  </si>
  <si>
    <t xml:space="preserve">Choose dataset focus </t>
  </si>
  <si>
    <t xml:space="preserve">Choose baseline models </t>
  </si>
  <si>
    <t xml:space="preserve">Choose transformer models </t>
  </si>
  <si>
    <t>Model Training</t>
  </si>
  <si>
    <t>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</si>
</sst>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
  </numFmts>
  <fonts count="33" x14ac:knownFonts="1">
    <font>
      <sz val="11"/>
      <color theme="1"/>
      <name val="Arial"/>
      <family val="2"/>
      <scheme val="minor"/>
    </font>
    <font>
      <b/>
      <sz val="20"/>
      <color theme="4" tint="-0.249977111117893"/>
      <name val="Arial"/>
      <family val="2"/>
      <scheme val="major"/>
    </font>
    <font>
      <sz val="10"/>
      <name val="Arial"/>
      <family val="2"/>
      <scheme val="minor"/>
    </font>
    <font>
      <sz val="18"/>
      <name val="Arial"/>
      <family val="2"/>
    </font>
    <font>
      <sz val="10"/>
      <name val="Arial"/>
      <family val="2"/>
    </font>
    <font>
      <b/>
      <sz val="11"/>
      <name val="Arial"/>
      <family val="2"/>
      <scheme val="minor"/>
    </font>
    <font>
      <sz val="11"/>
      <name val="Arial"/>
      <family val="2"/>
    </font>
    <font>
      <u/>
      <sz val="11"/>
      <color indexed="12"/>
      <name val="Arial"/>
      <family val="2"/>
    </font>
    <font>
      <sz val="10"/>
      <color theme="1" tint="0.499984740745262"/>
      <name val="Arial"/>
      <family val="2"/>
      <scheme val="minor"/>
    </font>
    <font>
      <sz val="11"/>
      <color theme="1"/>
      <name val="Arial"/>
      <family val="2"/>
      <scheme val="minor"/>
    </font>
    <font>
      <b/>
      <sz val="11"/>
      <color theme="1"/>
      <name val="Arial"/>
      <family val="2"/>
      <scheme val="minor"/>
    </font>
    <font>
      <b/>
      <u/>
      <sz val="11"/>
      <color rgb="FF0070C0"/>
      <name val="Arial"/>
      <family val="2"/>
    </font>
    <font>
      <sz val="12"/>
      <color theme="1"/>
      <name val="Arial"/>
      <family val="2"/>
      <scheme val="minor"/>
    </font>
    <font>
      <sz val="1"/>
      <color theme="0"/>
      <name val="Arial"/>
      <family val="2"/>
      <scheme val="minor"/>
    </font>
    <font>
      <sz val="18"/>
      <color theme="1"/>
      <name val="Arial"/>
      <family val="2"/>
      <scheme val="minor"/>
    </font>
    <font>
      <b/>
      <sz val="72"/>
      <name val="Arial"/>
      <family val="2"/>
      <scheme val="major"/>
    </font>
    <font>
      <b/>
      <sz val="72"/>
      <color theme="1"/>
      <name val="Arial"/>
      <family val="2"/>
      <scheme val="minor"/>
    </font>
    <font>
      <sz val="36"/>
      <color theme="1"/>
      <name val="Arial"/>
      <family val="2"/>
      <scheme val="minor"/>
    </font>
    <font>
      <b/>
      <sz val="36"/>
      <color theme="0"/>
      <name val="Arial"/>
      <family val="2"/>
      <scheme val="minor"/>
    </font>
    <font>
      <sz val="36"/>
      <color theme="0"/>
      <name val="Arial"/>
      <family val="2"/>
      <scheme val="minor"/>
    </font>
    <font>
      <sz val="36"/>
      <name val="Arial"/>
      <family val="2"/>
      <scheme val="minor"/>
    </font>
    <font>
      <b/>
      <sz val="45"/>
      <color theme="1"/>
      <name val="Arial"/>
      <family val="2"/>
      <scheme val="minor"/>
    </font>
    <font>
      <b/>
      <sz val="45"/>
      <color theme="0"/>
      <name val="Arial"/>
      <family val="2"/>
      <scheme val="minor"/>
    </font>
    <font>
      <b/>
      <u/>
      <sz val="36"/>
      <color theme="0"/>
      <name val="Arial"/>
      <family val="2"/>
      <scheme val="minor"/>
    </font>
    <font>
      <sz val="28"/>
      <color theme="1"/>
      <name val="Arial"/>
      <family val="2"/>
      <scheme val="minor"/>
    </font>
    <font>
      <sz val="10"/>
      <color theme="1"/>
      <name val="Arial"/>
      <family val="2"/>
      <scheme val="minor"/>
    </font>
    <font>
      <b/>
      <sz val="10"/>
      <color theme="0"/>
      <name val="Arial"/>
      <family val="2"/>
      <scheme val="minor"/>
    </font>
    <font>
      <sz val="10"/>
      <color theme="0"/>
      <name val="Arial"/>
      <family val="2"/>
      <scheme val="minor"/>
    </font>
    <font>
      <b/>
      <u/>
      <sz val="10"/>
      <color theme="0"/>
      <name val="Arial"/>
      <family val="2"/>
      <scheme val="minor"/>
    </font>
    <font>
      <b/>
      <sz val="10"/>
      <color theme="1"/>
      <name val="Arial"/>
      <family val="2"/>
      <scheme val="minor"/>
    </font>
    <font>
      <sz val="34"/>
      <name val="Times New Roman"/>
      <family val="1"/>
    </font>
    <font>
      <sz val="34"/>
      <color theme="1"/>
      <name val="Times New Roman"/>
      <family val="1"/>
    </font>
    <font>
      <b/>
      <sz val="34"/>
      <color theme="0"/>
      <name val="Times New Roman"/>
      <family val="1"/>
    </font>
  </fonts>
  <fills count="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4"/>
        <bgColor theme="4"/>
      </patternFill>
    </fill>
    <fill>
      <patternFill patternType="solid">
        <fgColor theme="4" tint="0.79998168889431442"/>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theme="0" tint="-0.24994659260841701"/>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theme="0" tint="-0.24994659260841701"/>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top/>
      <bottom style="thin">
        <color indexed="64"/>
      </bottom>
      <diagonal/>
    </border>
  </borders>
  <cellStyleXfs count="3">
    <xf numFmtId="0" fontId="0" fillId="0" borderId="0"/>
    <xf numFmtId="0" fontId="7" fillId="0" borderId="0" applyNumberFormat="0" applyFill="0" applyBorder="0" applyAlignment="0" applyProtection="0">
      <alignment vertical="top"/>
      <protection locked="0"/>
    </xf>
    <xf numFmtId="9" fontId="9" fillId="0" borderId="0" applyFont="0" applyFill="0" applyBorder="0" applyAlignment="0" applyProtection="0"/>
  </cellStyleXfs>
  <cellXfs count="122">
    <xf numFmtId="0" fontId="0" fillId="0" borderId="0" xfId="0"/>
    <xf numFmtId="0" fontId="1" fillId="0" borderId="0" xfId="0" applyFont="1" applyAlignment="1">
      <alignment horizontal="left"/>
    </xf>
    <xf numFmtId="0" fontId="2" fillId="0" borderId="0" xfId="0" applyFont="1"/>
    <xf numFmtId="0" fontId="3" fillId="2" borderId="0" xfId="0" applyFont="1" applyFill="1" applyAlignment="1">
      <alignment vertical="center"/>
    </xf>
    <xf numFmtId="0" fontId="4" fillId="2" borderId="0" xfId="0" applyFont="1" applyFill="1" applyAlignment="1">
      <alignment horizontal="right" vertical="center"/>
    </xf>
    <xf numFmtId="0" fontId="7" fillId="0" borderId="0" xfId="1" applyAlignment="1" applyProtection="1">
      <alignment horizontal="right" vertical="top"/>
    </xf>
    <xf numFmtId="0" fontId="0" fillId="0" borderId="0" xfId="0" applyAlignment="1">
      <alignment vertical="top"/>
    </xf>
    <xf numFmtId="0" fontId="5" fillId="0" borderId="0" xfId="0" applyFont="1"/>
    <xf numFmtId="0" fontId="0" fillId="0" borderId="0" xfId="0" applyAlignment="1">
      <alignment vertical="top" wrapText="1"/>
    </xf>
    <xf numFmtId="0" fontId="6" fillId="0" borderId="0" xfId="0" applyFont="1" applyAlignment="1">
      <alignment vertical="top" wrapText="1"/>
    </xf>
    <xf numFmtId="0" fontId="7" fillId="0" borderId="0" xfId="1" applyAlignment="1" applyProtection="1">
      <alignment vertical="top"/>
    </xf>
    <xf numFmtId="0" fontId="0" fillId="0" borderId="0" xfId="0" applyAlignment="1">
      <alignment vertical="center"/>
    </xf>
    <xf numFmtId="0" fontId="7" fillId="0" borderId="0" xfId="1" applyAlignment="1" applyProtection="1">
      <alignment vertical="center"/>
    </xf>
    <xf numFmtId="0" fontId="8" fillId="0" borderId="0" xfId="0" applyFont="1" applyAlignment="1">
      <alignment vertical="top"/>
    </xf>
    <xf numFmtId="0" fontId="0" fillId="6" borderId="0" xfId="0" applyFill="1" applyAlignment="1">
      <alignment vertical="top" wrapText="1"/>
    </xf>
    <xf numFmtId="0" fontId="11" fillId="6" borderId="0" xfId="1" applyFont="1" applyFill="1" applyAlignment="1" applyProtection="1">
      <alignment horizontal="center" vertical="top" wrapText="1"/>
    </xf>
    <xf numFmtId="0" fontId="12" fillId="6" borderId="0" xfId="0" applyFont="1" applyFill="1" applyAlignment="1">
      <alignment horizontal="center" vertical="top" wrapText="1"/>
    </xf>
    <xf numFmtId="0" fontId="13" fillId="0" borderId="0" xfId="0" applyFont="1"/>
    <xf numFmtId="14" fontId="0" fillId="0" borderId="0" xfId="0" applyNumberFormat="1"/>
    <xf numFmtId="0" fontId="10" fillId="0" borderId="0" xfId="0" applyFont="1" applyAlignment="1">
      <alignment horizontal="center" vertical="center" wrapText="1"/>
    </xf>
    <xf numFmtId="0" fontId="0" fillId="0" borderId="0" xfId="0" applyAlignment="1">
      <alignment vertical="center" wrapText="1"/>
    </xf>
    <xf numFmtId="0" fontId="10" fillId="0" borderId="0" xfId="0" applyFont="1" applyAlignment="1">
      <alignment vertical="center" wrapText="1"/>
    </xf>
    <xf numFmtId="14" fontId="0" fillId="0" borderId="0" xfId="0" applyNumberFormat="1" applyAlignment="1">
      <alignment vertical="center" wrapText="1"/>
    </xf>
    <xf numFmtId="0" fontId="0" fillId="3" borderId="6" xfId="0" applyFill="1" applyBorder="1" applyAlignment="1">
      <alignment horizontal="left" vertical="center" wrapText="1" indent="1"/>
    </xf>
    <xf numFmtId="0" fontId="14" fillId="0" borderId="8" xfId="0" applyFont="1" applyBorder="1" applyAlignment="1">
      <alignment vertical="center" wrapText="1"/>
    </xf>
    <xf numFmtId="0" fontId="14" fillId="0" borderId="9" xfId="0" applyFont="1" applyBorder="1" applyAlignment="1">
      <alignment vertical="center" wrapText="1"/>
    </xf>
    <xf numFmtId="0" fontId="15" fillId="0" borderId="0" xfId="0" applyFont="1" applyAlignment="1">
      <alignment horizontal="left"/>
    </xf>
    <xf numFmtId="0" fontId="16" fillId="0" borderId="0" xfId="0" applyFont="1"/>
    <xf numFmtId="0" fontId="17" fillId="0" borderId="0" xfId="0" applyFont="1"/>
    <xf numFmtId="14" fontId="17" fillId="0" borderId="0" xfId="0" applyNumberFormat="1" applyFont="1" applyAlignment="1">
      <alignment vertical="center" wrapText="1"/>
    </xf>
    <xf numFmtId="14" fontId="20" fillId="2" borderId="19" xfId="0" applyNumberFormat="1" applyFont="1" applyFill="1" applyBorder="1" applyAlignment="1">
      <alignment horizontal="center" vertical="center"/>
    </xf>
    <xf numFmtId="0" fontId="20" fillId="2" borderId="19" xfId="0" applyFont="1" applyFill="1" applyBorder="1" applyAlignment="1">
      <alignment horizontal="center" vertical="center"/>
    </xf>
    <xf numFmtId="14" fontId="20" fillId="2" borderId="1" xfId="0" applyNumberFormat="1" applyFont="1" applyFill="1" applyBorder="1" applyAlignment="1">
      <alignment horizontal="center" vertical="center"/>
    </xf>
    <xf numFmtId="0" fontId="20" fillId="2" borderId="1" xfId="0" applyFont="1" applyFill="1" applyBorder="1" applyAlignment="1">
      <alignment horizontal="center" vertical="center"/>
    </xf>
    <xf numFmtId="14" fontId="20" fillId="2" borderId="20" xfId="0" applyNumberFormat="1" applyFont="1" applyFill="1" applyBorder="1" applyAlignment="1">
      <alignment horizontal="center" vertical="center"/>
    </xf>
    <xf numFmtId="0" fontId="20" fillId="2" borderId="20" xfId="0" applyFont="1" applyFill="1" applyBorder="1" applyAlignment="1">
      <alignment horizontal="center" vertical="center"/>
    </xf>
    <xf numFmtId="0" fontId="17" fillId="3" borderId="10" xfId="0" applyFont="1" applyFill="1" applyBorder="1" applyAlignment="1">
      <alignment horizontal="left" vertical="center" indent="1"/>
    </xf>
    <xf numFmtId="14" fontId="17" fillId="3" borderId="10" xfId="0" applyNumberFormat="1" applyFont="1" applyFill="1" applyBorder="1" applyAlignment="1">
      <alignment horizontal="center" vertical="center"/>
    </xf>
    <xf numFmtId="14" fontId="20" fillId="3" borderId="10" xfId="0" applyNumberFormat="1" applyFont="1" applyFill="1" applyBorder="1" applyAlignment="1">
      <alignment horizontal="center" vertical="center"/>
    </xf>
    <xf numFmtId="9" fontId="20" fillId="3" borderId="10" xfId="2" applyFont="1" applyFill="1" applyBorder="1" applyAlignment="1">
      <alignment horizontal="center" vertical="center"/>
    </xf>
    <xf numFmtId="0" fontId="20" fillId="3" borderId="10" xfId="0" applyFont="1" applyFill="1" applyBorder="1" applyAlignment="1">
      <alignment horizontal="center" vertical="center"/>
    </xf>
    <xf numFmtId="0" fontId="20" fillId="3" borderId="17" xfId="0" applyFont="1" applyFill="1" applyBorder="1" applyAlignment="1">
      <alignment horizontal="center" vertical="center"/>
    </xf>
    <xf numFmtId="0" fontId="21" fillId="0" borderId="7" xfId="0" applyFont="1" applyBorder="1" applyAlignment="1">
      <alignment vertical="center" wrapText="1"/>
    </xf>
    <xf numFmtId="0" fontId="22" fillId="5" borderId="7" xfId="0" applyFont="1" applyFill="1" applyBorder="1" applyAlignment="1">
      <alignment horizontal="left" vertical="center" indent="1"/>
    </xf>
    <xf numFmtId="14" fontId="20" fillId="2" borderId="3" xfId="0" applyNumberFormat="1" applyFont="1" applyFill="1" applyBorder="1" applyAlignment="1">
      <alignment horizontal="center" vertical="center"/>
    </xf>
    <xf numFmtId="0" fontId="20" fillId="2" borderId="3" xfId="0" applyFont="1" applyFill="1" applyBorder="1" applyAlignment="1">
      <alignment horizontal="center" vertical="center"/>
    </xf>
    <xf numFmtId="14" fontId="20" fillId="2" borderId="24" xfId="0" applyNumberFormat="1" applyFont="1" applyFill="1" applyBorder="1" applyAlignment="1">
      <alignment horizontal="center" vertical="center"/>
    </xf>
    <xf numFmtId="0" fontId="20" fillId="2" borderId="24" xfId="0" applyFont="1" applyFill="1" applyBorder="1" applyAlignment="1">
      <alignment horizontal="center" vertical="center"/>
    </xf>
    <xf numFmtId="0" fontId="23" fillId="5" borderId="2" xfId="0" applyFont="1" applyFill="1" applyBorder="1" applyAlignment="1">
      <alignment horizontal="center" vertical="center"/>
    </xf>
    <xf numFmtId="0" fontId="19" fillId="5" borderId="26" xfId="0" applyFont="1" applyFill="1" applyBorder="1" applyAlignment="1">
      <alignment horizontal="center" vertical="center" wrapText="1"/>
    </xf>
    <xf numFmtId="0" fontId="19" fillId="5" borderId="27" xfId="0" applyFont="1" applyFill="1" applyBorder="1" applyAlignment="1">
      <alignment horizontal="center" vertical="center" wrapText="1"/>
    </xf>
    <xf numFmtId="0" fontId="18" fillId="4" borderId="28" xfId="0" applyFont="1" applyFill="1" applyBorder="1" applyAlignment="1">
      <alignment horizontal="center" vertical="center" wrapText="1"/>
    </xf>
    <xf numFmtId="9" fontId="20" fillId="0" borderId="4" xfId="2" applyFont="1" applyFill="1" applyBorder="1" applyAlignment="1">
      <alignment horizontal="center" vertical="center"/>
    </xf>
    <xf numFmtId="9" fontId="20" fillId="0" borderId="5" xfId="2" applyFont="1" applyFill="1" applyBorder="1" applyAlignment="1">
      <alignment horizontal="center" vertical="center"/>
    </xf>
    <xf numFmtId="9" fontId="20" fillId="0" borderId="29" xfId="2" applyFont="1" applyFill="1" applyBorder="1" applyAlignment="1">
      <alignment horizontal="center" vertical="center"/>
    </xf>
    <xf numFmtId="9" fontId="20" fillId="0" borderId="30" xfId="2" applyFont="1" applyFill="1" applyBorder="1" applyAlignment="1">
      <alignment horizontal="center" vertical="center"/>
    </xf>
    <xf numFmtId="9" fontId="20" fillId="0" borderId="31" xfId="2" applyFont="1" applyFill="1" applyBorder="1" applyAlignment="1">
      <alignment horizontal="center" vertical="center"/>
    </xf>
    <xf numFmtId="9" fontId="20" fillId="0" borderId="11" xfId="2" applyFont="1" applyFill="1" applyBorder="1" applyAlignment="1">
      <alignment horizontal="center" vertical="center"/>
    </xf>
    <xf numFmtId="9" fontId="20" fillId="0" borderId="14" xfId="2" applyFont="1" applyFill="1" applyBorder="1" applyAlignment="1">
      <alignment horizontal="center" vertical="center"/>
    </xf>
    <xf numFmtId="0" fontId="21" fillId="0" borderId="9" xfId="0" applyFont="1" applyBorder="1" applyAlignment="1">
      <alignment vertical="center" wrapText="1"/>
    </xf>
    <xf numFmtId="0" fontId="17" fillId="0" borderId="0" xfId="0" applyFont="1" applyAlignment="1">
      <alignment horizontal="center" vertical="center"/>
    </xf>
    <xf numFmtId="1" fontId="20" fillId="0" borderId="4" xfId="2" applyNumberFormat="1" applyFont="1" applyFill="1" applyBorder="1" applyAlignment="1">
      <alignment horizontal="center" vertical="center"/>
    </xf>
    <xf numFmtId="0" fontId="17" fillId="0" borderId="32" xfId="0" applyFont="1" applyBorder="1" applyAlignment="1">
      <alignment vertical="center" wrapText="1"/>
    </xf>
    <xf numFmtId="0" fontId="17" fillId="0" borderId="33" xfId="0" applyFont="1" applyBorder="1" applyAlignment="1">
      <alignment vertical="center" wrapText="1"/>
    </xf>
    <xf numFmtId="0" fontId="17" fillId="0" borderId="34" xfId="0" applyFont="1" applyBorder="1" applyAlignment="1">
      <alignment vertical="center" wrapText="1"/>
    </xf>
    <xf numFmtId="0" fontId="17" fillId="0" borderId="35" xfId="0" applyFont="1" applyBorder="1" applyAlignment="1">
      <alignment vertical="center" wrapText="1"/>
    </xf>
    <xf numFmtId="0" fontId="18" fillId="5" borderId="36" xfId="0" applyFont="1" applyFill="1" applyBorder="1" applyAlignment="1">
      <alignment horizontal="center" vertical="center" wrapText="1"/>
    </xf>
    <xf numFmtId="1" fontId="17" fillId="0" borderId="16" xfId="0" applyNumberFormat="1" applyFont="1" applyBorder="1" applyAlignment="1">
      <alignment horizontal="center" vertical="center" wrapText="1"/>
    </xf>
    <xf numFmtId="0" fontId="17" fillId="0" borderId="22" xfId="0" applyFont="1" applyBorder="1" applyAlignment="1">
      <alignment vertical="center" wrapText="1"/>
    </xf>
    <xf numFmtId="0" fontId="17" fillId="0" borderId="23" xfId="0" applyFont="1" applyBorder="1" applyAlignment="1">
      <alignment vertical="center" wrapText="1"/>
    </xf>
    <xf numFmtId="14" fontId="24" fillId="0" borderId="0" xfId="0" applyNumberFormat="1" applyFont="1" applyAlignment="1">
      <alignment vertical="center" wrapText="1"/>
    </xf>
    <xf numFmtId="0" fontId="18" fillId="5" borderId="37" xfId="0" applyFont="1" applyFill="1" applyBorder="1" applyAlignment="1">
      <alignment horizontal="center" vertical="center" wrapText="1"/>
    </xf>
    <xf numFmtId="14" fontId="17" fillId="0" borderId="38" xfId="0" applyNumberFormat="1" applyFont="1" applyBorder="1" applyAlignment="1">
      <alignment vertical="center" wrapText="1"/>
    </xf>
    <xf numFmtId="14" fontId="20" fillId="0" borderId="39" xfId="0" applyNumberFormat="1" applyFont="1" applyBorder="1" applyAlignment="1">
      <alignment horizontal="center" vertical="center"/>
    </xf>
    <xf numFmtId="14" fontId="20" fillId="0" borderId="40" xfId="0" applyNumberFormat="1" applyFont="1" applyBorder="1" applyAlignment="1">
      <alignment horizontal="center" vertical="center"/>
    </xf>
    <xf numFmtId="14" fontId="20" fillId="0" borderId="38" xfId="0" applyNumberFormat="1" applyFont="1" applyBorder="1" applyAlignment="1">
      <alignment horizontal="center" vertical="center"/>
    </xf>
    <xf numFmtId="14" fontId="20" fillId="0" borderId="41" xfId="0" applyNumberFormat="1" applyFont="1" applyBorder="1" applyAlignment="1">
      <alignment horizontal="center" vertical="center"/>
    </xf>
    <xf numFmtId="14" fontId="17" fillId="0" borderId="40" xfId="0" applyNumberFormat="1" applyFont="1" applyBorder="1" applyAlignment="1">
      <alignment vertical="center" wrapText="1"/>
    </xf>
    <xf numFmtId="1" fontId="17" fillId="0" borderId="32" xfId="0" applyNumberFormat="1" applyFont="1" applyBorder="1" applyAlignment="1">
      <alignment horizontal="center" vertical="center" wrapText="1"/>
    </xf>
    <xf numFmtId="0" fontId="20" fillId="2" borderId="44" xfId="0" applyFont="1" applyFill="1" applyBorder="1" applyAlignment="1">
      <alignment horizontal="center" vertical="center"/>
    </xf>
    <xf numFmtId="0" fontId="20" fillId="2" borderId="45" xfId="0" applyFont="1" applyFill="1" applyBorder="1" applyAlignment="1">
      <alignment horizontal="center" vertical="center"/>
    </xf>
    <xf numFmtId="0" fontId="20" fillId="2" borderId="46" xfId="0" applyFont="1" applyFill="1" applyBorder="1" applyAlignment="1">
      <alignment horizontal="center" vertical="center"/>
    </xf>
    <xf numFmtId="0" fontId="20" fillId="2" borderId="16" xfId="0" applyFont="1" applyFill="1" applyBorder="1" applyAlignment="1">
      <alignment horizontal="center" vertical="center"/>
    </xf>
    <xf numFmtId="0" fontId="20" fillId="2" borderId="47" xfId="0" applyFont="1" applyFill="1" applyBorder="1" applyAlignment="1">
      <alignment horizontal="center" vertical="center"/>
    </xf>
    <xf numFmtId="0" fontId="20" fillId="2" borderId="9" xfId="0" applyFont="1" applyFill="1" applyBorder="1" applyAlignment="1">
      <alignment horizontal="center" vertical="center"/>
    </xf>
    <xf numFmtId="0" fontId="20" fillId="2" borderId="48" xfId="0" applyFont="1" applyFill="1" applyBorder="1" applyAlignment="1">
      <alignment horizontal="center" vertical="center"/>
    </xf>
    <xf numFmtId="0" fontId="20" fillId="2" borderId="49" xfId="0" applyFont="1" applyFill="1" applyBorder="1" applyAlignment="1">
      <alignment horizontal="center" vertical="center"/>
    </xf>
    <xf numFmtId="0" fontId="20" fillId="2" borderId="8" xfId="0" applyFont="1" applyFill="1" applyBorder="1" applyAlignment="1">
      <alignment horizontal="center" vertical="center"/>
    </xf>
    <xf numFmtId="0" fontId="26" fillId="5" borderId="0" xfId="0" applyFont="1" applyFill="1" applyAlignment="1">
      <alignment horizontal="left" vertical="center" indent="1"/>
    </xf>
    <xf numFmtId="0" fontId="28" fillId="5" borderId="0" xfId="0" applyFont="1" applyFill="1" applyAlignment="1">
      <alignment horizontal="center" vertical="center"/>
    </xf>
    <xf numFmtId="0" fontId="26" fillId="5" borderId="0" xfId="0" applyFont="1" applyFill="1" applyAlignment="1">
      <alignment horizontal="center" vertical="center" wrapText="1"/>
    </xf>
    <xf numFmtId="0" fontId="26" fillId="4" borderId="0" xfId="0" applyFont="1" applyFill="1" applyAlignment="1">
      <alignment horizontal="center" vertical="center" wrapText="1"/>
    </xf>
    <xf numFmtId="0" fontId="27" fillId="5" borderId="0" xfId="0" applyFont="1" applyFill="1" applyAlignment="1">
      <alignment horizontal="center" vertical="center" wrapText="1"/>
    </xf>
    <xf numFmtId="0" fontId="29" fillId="0" borderId="0" xfId="0" applyFont="1" applyAlignment="1">
      <alignment vertical="center" wrapText="1"/>
    </xf>
    <xf numFmtId="0" fontId="25" fillId="0" borderId="0" xfId="0" applyFont="1" applyAlignment="1">
      <alignment vertical="center" wrapText="1"/>
    </xf>
    <xf numFmtId="1" fontId="25" fillId="0" borderId="0" xfId="0" applyNumberFormat="1" applyFont="1" applyAlignment="1">
      <alignment horizontal="center" vertical="center" wrapText="1"/>
    </xf>
    <xf numFmtId="14" fontId="25" fillId="0" borderId="0" xfId="0" applyNumberFormat="1" applyFont="1" applyAlignment="1">
      <alignment vertical="center" wrapText="1"/>
    </xf>
    <xf numFmtId="9" fontId="2" fillId="0" borderId="0" xfId="2" applyFont="1" applyFill="1" applyBorder="1" applyAlignment="1">
      <alignment horizontal="center" vertical="center"/>
    </xf>
    <xf numFmtId="1" fontId="2" fillId="0" borderId="0" xfId="2" applyNumberFormat="1" applyFont="1" applyFill="1" applyBorder="1" applyAlignment="1">
      <alignment horizontal="center" vertical="center"/>
    </xf>
    <xf numFmtId="14" fontId="2" fillId="2" borderId="0" xfId="0" applyNumberFormat="1" applyFont="1" applyFill="1" applyAlignment="1">
      <alignment horizontal="center" vertical="center"/>
    </xf>
    <xf numFmtId="0" fontId="2" fillId="2" borderId="0" xfId="0" applyFont="1" applyFill="1" applyAlignment="1">
      <alignment horizontal="center" vertical="center"/>
    </xf>
    <xf numFmtId="14" fontId="2" fillId="0" borderId="0" xfId="0" applyNumberFormat="1" applyFont="1" applyAlignment="1">
      <alignment horizontal="center" vertical="center"/>
    </xf>
    <xf numFmtId="0" fontId="7" fillId="0" borderId="0" xfId="1" applyAlignment="1" applyProtection="1">
      <alignment vertical="center" wrapText="1"/>
    </xf>
    <xf numFmtId="164" fontId="30" fillId="0" borderId="0" xfId="0" applyNumberFormat="1" applyFont="1" applyAlignment="1">
      <alignment horizontal="center"/>
    </xf>
    <xf numFmtId="164" fontId="30" fillId="0" borderId="0" xfId="0" applyNumberFormat="1" applyFont="1"/>
    <xf numFmtId="164" fontId="31" fillId="0" borderId="0" xfId="0" applyNumberFormat="1" applyFont="1" applyAlignment="1">
      <alignment horizontal="center"/>
    </xf>
    <xf numFmtId="164" fontId="31" fillId="0" borderId="0" xfId="0" applyNumberFormat="1" applyFont="1"/>
    <xf numFmtId="164" fontId="32" fillId="5" borderId="25" xfId="0" applyNumberFormat="1" applyFont="1" applyFill="1" applyBorder="1" applyAlignment="1">
      <alignment horizontal="center" vertical="center" wrapText="1"/>
    </xf>
    <xf numFmtId="164" fontId="32" fillId="5" borderId="27" xfId="0" applyNumberFormat="1" applyFont="1" applyFill="1" applyBorder="1" applyAlignment="1">
      <alignment horizontal="center" vertical="center" wrapText="1"/>
    </xf>
    <xf numFmtId="164" fontId="31" fillId="0" borderId="11" xfId="0" applyNumberFormat="1" applyFont="1" applyBorder="1" applyAlignment="1">
      <alignment vertical="center" wrapText="1"/>
    </xf>
    <xf numFmtId="164" fontId="31" fillId="0" borderId="12" xfId="0" applyNumberFormat="1" applyFont="1" applyBorder="1" applyAlignment="1">
      <alignment vertical="center" wrapText="1"/>
    </xf>
    <xf numFmtId="164" fontId="31" fillId="0" borderId="42" xfId="0" applyNumberFormat="1" applyFont="1" applyBorder="1" applyAlignment="1">
      <alignment vertical="center" wrapText="1"/>
    </xf>
    <xf numFmtId="164" fontId="31" fillId="0" borderId="13" xfId="0" applyNumberFormat="1" applyFont="1" applyBorder="1" applyAlignment="1">
      <alignment vertical="center" wrapText="1"/>
    </xf>
    <xf numFmtId="164" fontId="31" fillId="0" borderId="14" xfId="0" applyNumberFormat="1" applyFont="1" applyBorder="1" applyAlignment="1">
      <alignment vertical="center" wrapText="1"/>
    </xf>
    <xf numFmtId="164" fontId="31" fillId="0" borderId="15" xfId="0" applyNumberFormat="1" applyFont="1" applyBorder="1" applyAlignment="1">
      <alignment vertical="center" wrapText="1"/>
    </xf>
    <xf numFmtId="164" fontId="31" fillId="0" borderId="43" xfId="0" applyNumberFormat="1" applyFont="1" applyBorder="1" applyAlignment="1">
      <alignment vertical="center" wrapText="1"/>
    </xf>
    <xf numFmtId="164" fontId="31" fillId="0" borderId="18" xfId="0" applyNumberFormat="1" applyFont="1" applyBorder="1" applyAlignment="1">
      <alignment vertical="center" wrapText="1"/>
    </xf>
    <xf numFmtId="164" fontId="31" fillId="0" borderId="21" xfId="0" applyNumberFormat="1" applyFont="1" applyBorder="1" applyAlignment="1">
      <alignment vertical="center" wrapText="1"/>
    </xf>
    <xf numFmtId="164" fontId="31" fillId="3" borderId="10" xfId="0" applyNumberFormat="1" applyFont="1" applyFill="1" applyBorder="1" applyAlignment="1">
      <alignment horizontal="center" vertical="center"/>
    </xf>
    <xf numFmtId="164" fontId="30" fillId="3" borderId="10" xfId="0" applyNumberFormat="1" applyFont="1" applyFill="1" applyBorder="1" applyAlignment="1">
      <alignment horizontal="center" vertical="center"/>
    </xf>
    <xf numFmtId="0" fontId="19" fillId="5" borderId="50" xfId="0" applyFont="1" applyFill="1" applyBorder="1" applyAlignment="1">
      <alignment horizontal="center" vertical="center" wrapText="1"/>
    </xf>
    <xf numFmtId="0" fontId="20" fillId="2" borderId="51" xfId="0" applyFont="1" applyFill="1" applyBorder="1" applyAlignment="1">
      <alignment horizontal="center" vertical="center"/>
    </xf>
  </cellXfs>
  <cellStyles count="3">
    <cellStyle name="Hyperlink" xfId="1" builtinId="8" customBuiltin="1"/>
    <cellStyle name="Normal" xfId="0" builtinId="0"/>
    <cellStyle name="Percent" xfId="2" builtinId="5"/>
  </cellStyles>
  <dxfs count="11">
    <dxf>
      <fill>
        <patternFill>
          <bgColor theme="8"/>
        </patternFill>
      </fill>
    </dxf>
    <dxf>
      <fill>
        <patternFill>
          <bgColor theme="8"/>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2" defaultTableStyle="TableStyleMedium2" defaultPivotStyle="PivotStyleLight16">
    <tableStyle name="Invisible" pivot="0" table="0" count="0" xr9:uid="{2073864A-197E-4405-AEEA-612BC929274A}"/>
    <tableStyle name="ToDoList" pivot="0" count="9" xr9:uid="{00000000-0011-0000-FFFF-FFFF00000000}">
      <tableStyleElement type="wholeTable" dxfId="10"/>
      <tableStyleElement type="headerRow" dxfId="9"/>
      <tableStyleElement type="totalRow" dxfId="8"/>
      <tableStyleElement type="firstColumn" dxfId="7"/>
      <tableStyleElement type="lastColumn" dxfId="6"/>
      <tableStyleElement type="firstRowStripe" dxfId="5"/>
      <tableStyleElement type="secondRowStripe" dxfId="4"/>
      <tableStyleElement type="firstColumnStripe" dxfId="3"/>
      <tableStyleElement type="secondColumnStripe" dxfId="2"/>
    </tableStyle>
  </tableStyles>
  <colors>
    <mruColors>
      <color rgb="FFFF5757"/>
      <color rgb="FF2CC62C"/>
      <color rgb="FFFF3300"/>
      <color rgb="FF99C6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ProjectTaskList!$A$1</c:f>
          <c:strCache>
            <c:ptCount val="1"/>
            <c:pt idx="0">
              <c:v>Training a Model on Moral Dilemmas: How AI ‘Thinks’ About Ethics.</c:v>
            </c:pt>
          </c:strCache>
        </c:strRef>
      </c:tx>
      <c:layout>
        <c:manualLayout>
          <c:xMode val="edge"/>
          <c:yMode val="edge"/>
          <c:x val="1.2009374913080035E-2"/>
          <c:y val="2.8185548439284069E-2"/>
        </c:manualLayout>
      </c:layout>
      <c:overlay val="0"/>
      <c:spPr>
        <a:noFill/>
        <a:ln>
          <a:noFill/>
        </a:ln>
        <a:effectLst/>
      </c:spPr>
      <c:txPr>
        <a:bodyPr rot="0" spcFirstLastPara="1" vertOverflow="ellipsis" vert="horz" wrap="square" anchor="ctr" anchorCtr="1"/>
        <a:lstStyle/>
        <a:p>
          <a:pPr>
            <a:defRPr sz="80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1809505569490248"/>
          <c:y val="0.13193462710619283"/>
          <c:w val="0.7277902181433572"/>
          <c:h val="0.8346074377203373"/>
        </c:manualLayout>
      </c:layout>
      <c:barChart>
        <c:barDir val="bar"/>
        <c:grouping val="stacked"/>
        <c:varyColors val="0"/>
        <c:ser>
          <c:idx val="0"/>
          <c:order val="0"/>
          <c:tx>
            <c:strRef>
              <c:f>ProjectTaskList!$C$4</c:f>
              <c:strCache>
                <c:ptCount val="1"/>
                <c:pt idx="0">
                  <c:v>Priority</c:v>
                </c:pt>
              </c:strCache>
            </c:strRef>
          </c:tx>
          <c:spPr>
            <a:solidFill>
              <a:schemeClr val="accent1"/>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ProjectTaskList!$C$5:$C$29</c:f>
              <c:numCache>
                <c:formatCode>0</c:formatCode>
                <c:ptCount val="25"/>
                <c:pt idx="0">
                  <c:v>0</c:v>
                </c:pt>
                <c:pt idx="1">
                  <c:v>2</c:v>
                </c:pt>
                <c:pt idx="2">
                  <c:v>1</c:v>
                </c:pt>
                <c:pt idx="3">
                  <c:v>0</c:v>
                </c:pt>
                <c:pt idx="4">
                  <c:v>0</c:v>
                </c:pt>
                <c:pt idx="5">
                  <c:v>1</c:v>
                </c:pt>
                <c:pt idx="6">
                  <c:v>4</c:v>
                </c:pt>
                <c:pt idx="7">
                  <c:v>4</c:v>
                </c:pt>
                <c:pt idx="8">
                  <c:v>4</c:v>
                </c:pt>
                <c:pt idx="9">
                  <c:v>5</c:v>
                </c:pt>
                <c:pt idx="10">
                  <c:v>5</c:v>
                </c:pt>
                <c:pt idx="11">
                  <c:v>5</c:v>
                </c:pt>
                <c:pt idx="12">
                  <c:v>5</c:v>
                </c:pt>
                <c:pt idx="13">
                  <c:v>5</c:v>
                </c:pt>
                <c:pt idx="14">
                  <c:v>5</c:v>
                </c:pt>
                <c:pt idx="15">
                  <c:v>5</c:v>
                </c:pt>
                <c:pt idx="16">
                  <c:v>5</c:v>
                </c:pt>
                <c:pt idx="17">
                  <c:v>5</c:v>
                </c:pt>
                <c:pt idx="18">
                  <c:v>5</c:v>
                </c:pt>
                <c:pt idx="19">
                  <c:v>5</c:v>
                </c:pt>
                <c:pt idx="20">
                  <c:v>5</c:v>
                </c:pt>
                <c:pt idx="21">
                  <c:v>5</c:v>
                </c:pt>
                <c:pt idx="22">
                  <c:v>1</c:v>
                </c:pt>
                <c:pt idx="23">
                  <c:v>5</c:v>
                </c:pt>
              </c:numCache>
            </c:numRef>
          </c:val>
          <c:extLst>
            <c:ext xmlns:c16="http://schemas.microsoft.com/office/drawing/2014/chart" uri="{C3380CC4-5D6E-409C-BE32-E72D297353CC}">
              <c16:uniqueId val="{00000000-C64D-4A05-BBDB-E7776361A955}"/>
            </c:ext>
          </c:extLst>
        </c:ser>
        <c:ser>
          <c:idx val="1"/>
          <c:order val="1"/>
          <c:tx>
            <c:strRef>
              <c:f>ProjectTaskList!$J$4</c:f>
              <c:strCache>
                <c:ptCount val="1"/>
                <c:pt idx="0">
                  <c:v>Project Start</c:v>
                </c:pt>
              </c:strCache>
            </c:strRef>
          </c:tx>
          <c:spPr>
            <a:no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ProjectTaskList!$J$5:$J$29</c:f>
              <c:numCache>
                <c:formatCode>m/d/yyyy</c:formatCode>
                <c:ptCount val="25"/>
                <c:pt idx="0">
                  <c:v>45921</c:v>
                </c:pt>
                <c:pt idx="1">
                  <c:v>45921</c:v>
                </c:pt>
                <c:pt idx="2">
                  <c:v>45921</c:v>
                </c:pt>
                <c:pt idx="3">
                  <c:v>45921</c:v>
                </c:pt>
                <c:pt idx="4">
                  <c:v>45921</c:v>
                </c:pt>
                <c:pt idx="5">
                  <c:v>45921</c:v>
                </c:pt>
                <c:pt idx="6">
                  <c:v>45921</c:v>
                </c:pt>
                <c:pt idx="7">
                  <c:v>45921</c:v>
                </c:pt>
                <c:pt idx="8">
                  <c:v>45921</c:v>
                </c:pt>
                <c:pt idx="9">
                  <c:v>45921</c:v>
                </c:pt>
                <c:pt idx="10">
                  <c:v>45921</c:v>
                </c:pt>
                <c:pt idx="11">
                  <c:v>45921</c:v>
                </c:pt>
                <c:pt idx="12">
                  <c:v>45921</c:v>
                </c:pt>
                <c:pt idx="13">
                  <c:v>45921</c:v>
                </c:pt>
                <c:pt idx="14">
                  <c:v>45921</c:v>
                </c:pt>
                <c:pt idx="15">
                  <c:v>45921</c:v>
                </c:pt>
                <c:pt idx="16">
                  <c:v>45921</c:v>
                </c:pt>
                <c:pt idx="17">
                  <c:v>45921</c:v>
                </c:pt>
                <c:pt idx="18">
                  <c:v>45921</c:v>
                </c:pt>
                <c:pt idx="19">
                  <c:v>45921</c:v>
                </c:pt>
                <c:pt idx="20">
                  <c:v>45921</c:v>
                </c:pt>
                <c:pt idx="21">
                  <c:v>45921</c:v>
                </c:pt>
                <c:pt idx="22">
                  <c:v>45921</c:v>
                </c:pt>
                <c:pt idx="23">
                  <c:v>45921</c:v>
                </c:pt>
              </c:numCache>
            </c:numRef>
          </c:val>
          <c:extLst>
            <c:ext xmlns:c16="http://schemas.microsoft.com/office/drawing/2014/chart" uri="{C3380CC4-5D6E-409C-BE32-E72D297353CC}">
              <c16:uniqueId val="{00000001-C64D-4A05-BBDB-E7776361A955}"/>
            </c:ext>
          </c:extLst>
        </c:ser>
        <c:ser>
          <c:idx val="2"/>
          <c:order val="2"/>
          <c:tx>
            <c:strRef>
              <c:f>ProjectTaskList!$K$4</c:f>
              <c:strCache>
                <c:ptCount val="1"/>
                <c:pt idx="0">
                  <c:v>Days to Start</c:v>
                </c:pt>
              </c:strCache>
            </c:strRef>
          </c:tx>
          <c:spPr>
            <a:no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ProjectTaskList!$K$5:$K$29</c:f>
              <c:numCache>
                <c:formatCode>General</c:formatCode>
                <c:ptCount val="25"/>
                <c:pt idx="0">
                  <c:v>0</c:v>
                </c:pt>
                <c:pt idx="1">
                  <c:v>7</c:v>
                </c:pt>
                <c:pt idx="2">
                  <c:v>7</c:v>
                </c:pt>
                <c:pt idx="3">
                  <c:v>23</c:v>
                </c:pt>
                <c:pt idx="4">
                  <c:v>19</c:v>
                </c:pt>
                <c:pt idx="5">
                  <c:v>38</c:v>
                </c:pt>
                <c:pt idx="6">
                  <c:v>40</c:v>
                </c:pt>
                <c:pt idx="7">
                  <c:v>56</c:v>
                </c:pt>
                <c:pt idx="8">
                  <c:v>63</c:v>
                </c:pt>
                <c:pt idx="9">
                  <c:v>67</c:v>
                </c:pt>
                <c:pt idx="10">
                  <c:v>73</c:v>
                </c:pt>
                <c:pt idx="11">
                  <c:v>74</c:v>
                </c:pt>
                <c:pt idx="12">
                  <c:v>123</c:v>
                </c:pt>
                <c:pt idx="13">
                  <c:v>171</c:v>
                </c:pt>
                <c:pt idx="14">
                  <c:v>180</c:v>
                </c:pt>
                <c:pt idx="15">
                  <c:v>184</c:v>
                </c:pt>
                <c:pt idx="16">
                  <c:v>189</c:v>
                </c:pt>
                <c:pt idx="17">
                  <c:v>204</c:v>
                </c:pt>
                <c:pt idx="18">
                  <c:v>211</c:v>
                </c:pt>
                <c:pt idx="19">
                  <c:v>194</c:v>
                </c:pt>
                <c:pt idx="20">
                  <c:v>204</c:v>
                </c:pt>
                <c:pt idx="21">
                  <c:v>220</c:v>
                </c:pt>
                <c:pt idx="22">
                  <c:v>38</c:v>
                </c:pt>
                <c:pt idx="23">
                  <c:v>281</c:v>
                </c:pt>
              </c:numCache>
            </c:numRef>
          </c:val>
          <c:extLst>
            <c:ext xmlns:c16="http://schemas.microsoft.com/office/drawing/2014/chart" uri="{C3380CC4-5D6E-409C-BE32-E72D297353CC}">
              <c16:uniqueId val="{00000002-C64D-4A05-BBDB-E7776361A955}"/>
            </c:ext>
          </c:extLst>
        </c:ser>
        <c:ser>
          <c:idx val="3"/>
          <c:order val="3"/>
          <c:tx>
            <c:strRef>
              <c:f>ProjectTaskList!$L$4</c:f>
              <c:strCache>
                <c:ptCount val="1"/>
                <c:pt idx="0">
                  <c:v>Complete</c:v>
                </c:pt>
              </c:strCache>
            </c:strRef>
          </c:tx>
          <c:spPr>
            <a:solidFill>
              <a:srgbClr val="99C662"/>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ProjectTaskList!$L$5:$L$29</c:f>
              <c:numCache>
                <c:formatCode>General</c:formatCode>
                <c:ptCount val="25"/>
                <c:pt idx="0">
                  <c:v>10</c:v>
                </c:pt>
                <c:pt idx="1">
                  <c:v>7.5</c:v>
                </c:pt>
                <c:pt idx="2">
                  <c:v>1.5</c:v>
                </c:pt>
                <c:pt idx="3">
                  <c:v>8</c:v>
                </c:pt>
                <c:pt idx="4">
                  <c:v>14</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3-C64D-4A05-BBDB-E7776361A955}"/>
            </c:ext>
          </c:extLst>
        </c:ser>
        <c:ser>
          <c:idx val="4"/>
          <c:order val="4"/>
          <c:tx>
            <c:strRef>
              <c:f>ProjectTaskList!$M$4</c:f>
              <c:strCache>
                <c:ptCount val="1"/>
                <c:pt idx="0">
                  <c:v>Incomplete</c:v>
                </c:pt>
              </c:strCache>
            </c:strRef>
          </c:tx>
          <c:spPr>
            <a:solidFill>
              <a:schemeClr val="accent2">
                <a:lumMod val="40000"/>
                <a:lumOff val="60000"/>
              </a:schemeClr>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ProjectTaskList!$M$5:$M$29</c:f>
              <c:numCache>
                <c:formatCode>General</c:formatCode>
                <c:ptCount val="25"/>
                <c:pt idx="0">
                  <c:v>0</c:v>
                </c:pt>
                <c:pt idx="1">
                  <c:v>7.5</c:v>
                </c:pt>
                <c:pt idx="2">
                  <c:v>13.5</c:v>
                </c:pt>
                <c:pt idx="3">
                  <c:v>0</c:v>
                </c:pt>
                <c:pt idx="4">
                  <c:v>0</c:v>
                </c:pt>
                <c:pt idx="5">
                  <c:v>2</c:v>
                </c:pt>
                <c:pt idx="6">
                  <c:v>10</c:v>
                </c:pt>
                <c:pt idx="7">
                  <c:v>5</c:v>
                </c:pt>
                <c:pt idx="8">
                  <c:v>4</c:v>
                </c:pt>
                <c:pt idx="9">
                  <c:v>7</c:v>
                </c:pt>
                <c:pt idx="10">
                  <c:v>1</c:v>
                </c:pt>
                <c:pt idx="11">
                  <c:v>35</c:v>
                </c:pt>
                <c:pt idx="12">
                  <c:v>37</c:v>
                </c:pt>
                <c:pt idx="13">
                  <c:v>7</c:v>
                </c:pt>
                <c:pt idx="14">
                  <c:v>2</c:v>
                </c:pt>
                <c:pt idx="15">
                  <c:v>14</c:v>
                </c:pt>
                <c:pt idx="16">
                  <c:v>15</c:v>
                </c:pt>
                <c:pt idx="17">
                  <c:v>9</c:v>
                </c:pt>
                <c:pt idx="18">
                  <c:v>7</c:v>
                </c:pt>
                <c:pt idx="19">
                  <c:v>18</c:v>
                </c:pt>
                <c:pt idx="20">
                  <c:v>15</c:v>
                </c:pt>
                <c:pt idx="21">
                  <c:v>14</c:v>
                </c:pt>
                <c:pt idx="22">
                  <c:v>1</c:v>
                </c:pt>
                <c:pt idx="23">
                  <c:v>1</c:v>
                </c:pt>
              </c:numCache>
            </c:numRef>
          </c:val>
          <c:extLst>
            <c:ext xmlns:c16="http://schemas.microsoft.com/office/drawing/2014/chart" uri="{C3380CC4-5D6E-409C-BE32-E72D297353CC}">
              <c16:uniqueId val="{00000004-C64D-4A05-BBDB-E7776361A955}"/>
            </c:ext>
          </c:extLst>
        </c:ser>
        <c:ser>
          <c:idx val="5"/>
          <c:order val="5"/>
          <c:tx>
            <c:strRef>
              <c:f>ProjectTaskList!$N$4</c:f>
              <c:strCache>
                <c:ptCount val="1"/>
                <c:pt idx="0">
                  <c:v>Slippage</c:v>
                </c:pt>
              </c:strCache>
            </c:strRef>
          </c:tx>
          <c:spPr>
            <a:solidFill>
              <a:schemeClr val="accent2"/>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ProjectTaskList!$N$5:$N$29</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-243</c:v>
                </c:pt>
              </c:numCache>
            </c:numRef>
          </c:val>
          <c:extLst>
            <c:ext xmlns:c16="http://schemas.microsoft.com/office/drawing/2014/chart" uri="{C3380CC4-5D6E-409C-BE32-E72D297353CC}">
              <c16:uniqueId val="{00000000-064E-4F45-9F61-E45DCF5FE5FA}"/>
            </c:ext>
          </c:extLst>
        </c:ser>
        <c:ser>
          <c:idx val="6"/>
          <c:order val="6"/>
          <c:tx>
            <c:strRef>
              <c:f>ProjectTaskList!$O$4</c:f>
              <c:strCache>
                <c:ptCount val="1"/>
                <c:pt idx="0">
                  <c:v>Days</c:v>
                </c:pt>
              </c:strCache>
            </c:strRef>
          </c:tx>
          <c:spPr>
            <a:solidFill>
              <a:schemeClr val="accent2">
                <a:lumMod val="40000"/>
                <a:lumOff val="60000"/>
              </a:schemeClr>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ProjectTaskList!$O$5:$O$29</c:f>
              <c:numCache>
                <c:formatCode>General</c:formatCode>
                <c:ptCount val="25"/>
                <c:pt idx="0">
                  <c:v>13</c:v>
                </c:pt>
                <c:pt idx="1">
                  <c:v>21</c:v>
                </c:pt>
                <c:pt idx="2">
                  <c:v>21</c:v>
                </c:pt>
                <c:pt idx="3">
                  <c:v>10</c:v>
                </c:pt>
                <c:pt idx="4">
                  <c:v>20</c:v>
                </c:pt>
                <c:pt idx="5">
                  <c:v>2</c:v>
                </c:pt>
                <c:pt idx="6">
                  <c:v>16</c:v>
                </c:pt>
                <c:pt idx="7">
                  <c:v>7</c:v>
                </c:pt>
                <c:pt idx="8">
                  <c:v>4</c:v>
                </c:pt>
                <c:pt idx="9">
                  <c:v>11</c:v>
                </c:pt>
                <c:pt idx="10">
                  <c:v>1</c:v>
                </c:pt>
                <c:pt idx="11">
                  <c:v>49</c:v>
                </c:pt>
                <c:pt idx="12">
                  <c:v>53</c:v>
                </c:pt>
                <c:pt idx="13">
                  <c:v>9</c:v>
                </c:pt>
                <c:pt idx="14">
                  <c:v>4</c:v>
                </c:pt>
                <c:pt idx="15">
                  <c:v>20</c:v>
                </c:pt>
                <c:pt idx="16">
                  <c:v>20</c:v>
                </c:pt>
                <c:pt idx="17">
                  <c:v>11</c:v>
                </c:pt>
                <c:pt idx="18">
                  <c:v>9</c:v>
                </c:pt>
                <c:pt idx="19">
                  <c:v>26</c:v>
                </c:pt>
                <c:pt idx="20">
                  <c:v>21</c:v>
                </c:pt>
                <c:pt idx="21">
                  <c:v>20</c:v>
                </c:pt>
                <c:pt idx="22">
                  <c:v>1</c:v>
                </c:pt>
                <c:pt idx="23">
                  <c:v>1</c:v>
                </c:pt>
              </c:numCache>
            </c:numRef>
          </c:val>
          <c:extLst>
            <c:ext xmlns:c16="http://schemas.microsoft.com/office/drawing/2014/chart" uri="{C3380CC4-5D6E-409C-BE32-E72D297353CC}">
              <c16:uniqueId val="{00000001-064E-4F45-9F61-E45DCF5FE5FA}"/>
            </c:ext>
          </c:extLst>
        </c:ser>
        <c:dLbls>
          <c:showLegendKey val="0"/>
          <c:showVal val="0"/>
          <c:showCatName val="0"/>
          <c:showSerName val="0"/>
          <c:showPercent val="0"/>
          <c:showBubbleSize val="0"/>
        </c:dLbls>
        <c:gapWidth val="20"/>
        <c:overlap val="100"/>
        <c:axId val="500243952"/>
        <c:axId val="500240344"/>
      </c:barChart>
      <c:catAx>
        <c:axId val="500243952"/>
        <c:scaling>
          <c:orientation val="maxMin"/>
        </c:scaling>
        <c:delete val="0"/>
        <c:axPos val="l"/>
        <c:numFmt formatCode="General" sourceLinked="1"/>
        <c:majorTickMark val="none"/>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5400" b="1" i="0" u="none" strike="noStrike" kern="1200" baseline="0">
                <a:solidFill>
                  <a:sysClr val="windowText" lastClr="000000"/>
                </a:solidFill>
                <a:latin typeface="+mn-lt"/>
                <a:ea typeface="+mn-ea"/>
                <a:cs typeface="+mn-cs"/>
              </a:defRPr>
            </a:pPr>
            <a:endParaRPr lang="en-US"/>
          </a:p>
        </c:txPr>
        <c:crossAx val="500240344"/>
        <c:crosses val="autoZero"/>
        <c:auto val="1"/>
        <c:lblAlgn val="ctr"/>
        <c:lblOffset val="100"/>
        <c:tickLblSkip val="1"/>
        <c:noMultiLvlLbl val="0"/>
      </c:catAx>
      <c:valAx>
        <c:axId val="500240344"/>
        <c:scaling>
          <c:orientation val="minMax"/>
          <c:max val="46159"/>
          <c:min val="45921"/>
        </c:scaling>
        <c:delete val="0"/>
        <c:axPos val="t"/>
        <c:majorGridlines>
          <c:spPr>
            <a:ln w="9525" cap="flat" cmpd="sng" algn="ctr">
              <a:solidFill>
                <a:schemeClr val="tx1"/>
              </a:solidFill>
              <a:prstDash val="dash"/>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SG" sz="5400" b="1" u="sng">
                    <a:solidFill>
                      <a:sysClr val="windowText" lastClr="000000"/>
                    </a:solidFill>
                  </a:rPr>
                  <a:t>Date (Monthly)</a:t>
                </a:r>
              </a:p>
            </c:rich>
          </c:tx>
          <c:layout>
            <c:manualLayout>
              <c:xMode val="edge"/>
              <c:yMode val="edge"/>
              <c:x val="0.58883889335337347"/>
              <c:y val="7.163410666656489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mmm/yy" sourceLinked="0"/>
        <c:majorTickMark val="none"/>
        <c:minorTickMark val="none"/>
        <c:tickLblPos val="nextTo"/>
        <c:spPr>
          <a:noFill/>
          <a:ln>
            <a:solidFill>
              <a:schemeClr val="tx1"/>
            </a:solidFill>
          </a:ln>
          <a:effectLst/>
        </c:spPr>
        <c:txPr>
          <a:bodyPr rot="0" spcFirstLastPara="1" vertOverflow="ellipsis" wrap="square" anchor="ctr" anchorCtr="1"/>
          <a:lstStyle/>
          <a:p>
            <a:pPr>
              <a:defRPr sz="6000" b="1" i="0" u="none" strike="noStrike" kern="1200" baseline="0">
                <a:solidFill>
                  <a:sysClr val="windowText" lastClr="000000"/>
                </a:solidFill>
                <a:latin typeface="+mn-lt"/>
                <a:ea typeface="+mn-ea"/>
                <a:cs typeface="+mn-cs"/>
              </a:defRPr>
            </a:pPr>
            <a:endParaRPr lang="en-US"/>
          </a:p>
        </c:txPr>
        <c:crossAx val="500243952"/>
        <c:crosses val="autoZero"/>
        <c:crossBetween val="between"/>
        <c:majorUnit val="28"/>
        <c:minorUnit val="1"/>
      </c:valAx>
      <c:spPr>
        <a:noFill/>
        <a:ln w="12700">
          <a:solidFill>
            <a:schemeClr val="tx1">
              <a:alpha val="0"/>
            </a:schemeClr>
          </a:solidFill>
        </a:ln>
        <a:effectLst/>
      </c:spPr>
    </c:plotArea>
    <c:legend>
      <c:legendPos val="t"/>
      <c:legendEntry>
        <c:idx val="0"/>
        <c:delete val="1"/>
      </c:legendEntry>
      <c:legendEntry>
        <c:idx val="1"/>
        <c:delete val="1"/>
      </c:legendEntry>
      <c:layout>
        <c:manualLayout>
          <c:xMode val="edge"/>
          <c:yMode val="edge"/>
          <c:x val="0.61411296676785887"/>
          <c:y val="2.4503693396939655E-2"/>
          <c:w val="0.28148268112813329"/>
          <c:h val="1.7239367214852998E-2"/>
        </c:manualLayout>
      </c:layout>
      <c:overlay val="0"/>
      <c:spPr>
        <a:solidFill>
          <a:sysClr val="window" lastClr="FFFFFF"/>
        </a:solidFill>
        <a:ln>
          <a:noFill/>
        </a:ln>
        <a:effectLst/>
      </c:spPr>
      <c:txPr>
        <a:bodyPr rot="0" spcFirstLastPara="1" vertOverflow="ellipsis" vert="horz" wrap="square" anchor="ctr" anchorCtr="1"/>
        <a:lstStyle/>
        <a:p>
          <a:pPr>
            <a:defRPr sz="4800" b="1" i="0" u="none" strike="noStrike" kern="1200" baseline="0">
              <a:solidFill>
                <a:sysClr val="windowText" lastClr="000000"/>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2000" baseline="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ProjectTaskList!$A$1</c:f>
          <c:strCache>
            <c:ptCount val="1"/>
            <c:pt idx="0">
              <c:v>Training a Model on Moral Dilemmas: How AI ‘Thinks’ About Ethics.</c:v>
            </c:pt>
          </c:strCache>
        </c:strRef>
      </c:tx>
      <c:layout>
        <c:manualLayout>
          <c:xMode val="edge"/>
          <c:yMode val="edge"/>
          <c:x val="1.2009374913080035E-2"/>
          <c:y val="2.8185548439284069E-2"/>
        </c:manualLayout>
      </c:layout>
      <c:overlay val="0"/>
      <c:spPr>
        <a:noFill/>
        <a:ln>
          <a:noFill/>
        </a:ln>
        <a:effectLst/>
      </c:spPr>
      <c:txPr>
        <a:bodyPr rot="0" spcFirstLastPara="1" vertOverflow="ellipsis" vert="horz" wrap="square" anchor="ctr" anchorCtr="1"/>
        <a:lstStyle/>
        <a:p>
          <a:pPr>
            <a:defRPr sz="13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8943801380897405"/>
          <c:y val="0.13718621184371552"/>
          <c:w val="0.7277902181433572"/>
          <c:h val="0.8346074377203373"/>
        </c:manualLayout>
      </c:layout>
      <c:barChart>
        <c:barDir val="bar"/>
        <c:grouping val="stacked"/>
        <c:varyColors val="0"/>
        <c:ser>
          <c:idx val="0"/>
          <c:order val="0"/>
          <c:tx>
            <c:strRef>
              <c:f>ProjectTaskList!$J$4</c:f>
              <c:strCache>
                <c:ptCount val="1"/>
                <c:pt idx="0">
                  <c:v>Project Start</c:v>
                </c:pt>
              </c:strCache>
            </c:strRef>
          </c:tx>
          <c:spPr>
            <a:no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ProjectTaskList!$J$5:$J$29</c:f>
              <c:numCache>
                <c:formatCode>m/d/yyyy</c:formatCode>
                <c:ptCount val="25"/>
                <c:pt idx="0">
                  <c:v>45921</c:v>
                </c:pt>
                <c:pt idx="1">
                  <c:v>45921</c:v>
                </c:pt>
                <c:pt idx="2">
                  <c:v>45921</c:v>
                </c:pt>
                <c:pt idx="3">
                  <c:v>45921</c:v>
                </c:pt>
                <c:pt idx="4">
                  <c:v>45921</c:v>
                </c:pt>
                <c:pt idx="5">
                  <c:v>45921</c:v>
                </c:pt>
                <c:pt idx="6">
                  <c:v>45921</c:v>
                </c:pt>
                <c:pt idx="7">
                  <c:v>45921</c:v>
                </c:pt>
                <c:pt idx="8">
                  <c:v>45921</c:v>
                </c:pt>
                <c:pt idx="9">
                  <c:v>45921</c:v>
                </c:pt>
                <c:pt idx="10">
                  <c:v>45921</c:v>
                </c:pt>
                <c:pt idx="11">
                  <c:v>45921</c:v>
                </c:pt>
                <c:pt idx="12">
                  <c:v>45921</c:v>
                </c:pt>
                <c:pt idx="13">
                  <c:v>45921</c:v>
                </c:pt>
                <c:pt idx="14">
                  <c:v>45921</c:v>
                </c:pt>
                <c:pt idx="15">
                  <c:v>45921</c:v>
                </c:pt>
                <c:pt idx="16">
                  <c:v>45921</c:v>
                </c:pt>
                <c:pt idx="17">
                  <c:v>45921</c:v>
                </c:pt>
                <c:pt idx="18">
                  <c:v>45921</c:v>
                </c:pt>
                <c:pt idx="19">
                  <c:v>45921</c:v>
                </c:pt>
                <c:pt idx="20">
                  <c:v>45921</c:v>
                </c:pt>
                <c:pt idx="21">
                  <c:v>45921</c:v>
                </c:pt>
                <c:pt idx="22">
                  <c:v>45921</c:v>
                </c:pt>
                <c:pt idx="23">
                  <c:v>45921</c:v>
                </c:pt>
              </c:numCache>
            </c:numRef>
          </c:val>
          <c:extLst>
            <c:ext xmlns:c16="http://schemas.microsoft.com/office/drawing/2014/chart" uri="{C3380CC4-5D6E-409C-BE32-E72D297353CC}">
              <c16:uniqueId val="{00000000-5176-4430-B15A-E3FEBFCA60ED}"/>
            </c:ext>
          </c:extLst>
        </c:ser>
        <c:ser>
          <c:idx val="1"/>
          <c:order val="1"/>
          <c:tx>
            <c:strRef>
              <c:f>ProjectTaskList!$K$4</c:f>
              <c:strCache>
                <c:ptCount val="1"/>
                <c:pt idx="0">
                  <c:v>Days to Start</c:v>
                </c:pt>
              </c:strCache>
            </c:strRef>
          </c:tx>
          <c:spPr>
            <a:no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ProjectTaskList!$K$5:$K$29</c:f>
              <c:numCache>
                <c:formatCode>General</c:formatCode>
                <c:ptCount val="25"/>
                <c:pt idx="0">
                  <c:v>0</c:v>
                </c:pt>
                <c:pt idx="1">
                  <c:v>7</c:v>
                </c:pt>
                <c:pt idx="2">
                  <c:v>7</c:v>
                </c:pt>
                <c:pt idx="3">
                  <c:v>23</c:v>
                </c:pt>
                <c:pt idx="4">
                  <c:v>19</c:v>
                </c:pt>
                <c:pt idx="5">
                  <c:v>38</c:v>
                </c:pt>
                <c:pt idx="6">
                  <c:v>40</c:v>
                </c:pt>
                <c:pt idx="7">
                  <c:v>56</c:v>
                </c:pt>
                <c:pt idx="8">
                  <c:v>63</c:v>
                </c:pt>
                <c:pt idx="9">
                  <c:v>67</c:v>
                </c:pt>
                <c:pt idx="10">
                  <c:v>73</c:v>
                </c:pt>
                <c:pt idx="11">
                  <c:v>74</c:v>
                </c:pt>
                <c:pt idx="12">
                  <c:v>123</c:v>
                </c:pt>
                <c:pt idx="13">
                  <c:v>171</c:v>
                </c:pt>
                <c:pt idx="14">
                  <c:v>180</c:v>
                </c:pt>
                <c:pt idx="15">
                  <c:v>184</c:v>
                </c:pt>
                <c:pt idx="16">
                  <c:v>189</c:v>
                </c:pt>
                <c:pt idx="17">
                  <c:v>204</c:v>
                </c:pt>
                <c:pt idx="18">
                  <c:v>211</c:v>
                </c:pt>
                <c:pt idx="19">
                  <c:v>194</c:v>
                </c:pt>
                <c:pt idx="20">
                  <c:v>204</c:v>
                </c:pt>
                <c:pt idx="21">
                  <c:v>220</c:v>
                </c:pt>
                <c:pt idx="22">
                  <c:v>38</c:v>
                </c:pt>
                <c:pt idx="23">
                  <c:v>281</c:v>
                </c:pt>
              </c:numCache>
            </c:numRef>
          </c:val>
          <c:extLst>
            <c:ext xmlns:c16="http://schemas.microsoft.com/office/drawing/2014/chart" uri="{C3380CC4-5D6E-409C-BE32-E72D297353CC}">
              <c16:uniqueId val="{00000001-5176-4430-B15A-E3FEBFCA60ED}"/>
            </c:ext>
          </c:extLst>
        </c:ser>
        <c:ser>
          <c:idx val="2"/>
          <c:order val="2"/>
          <c:tx>
            <c:strRef>
              <c:f>ProjectTaskList!$L$4</c:f>
              <c:strCache>
                <c:ptCount val="1"/>
                <c:pt idx="0">
                  <c:v>Complete</c:v>
                </c:pt>
              </c:strCache>
            </c:strRef>
          </c:tx>
          <c:spPr>
            <a:solidFill>
              <a:srgbClr val="99C662"/>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ProjectTaskList!$L$5:$L$29</c:f>
              <c:numCache>
                <c:formatCode>General</c:formatCode>
                <c:ptCount val="25"/>
                <c:pt idx="0">
                  <c:v>10</c:v>
                </c:pt>
                <c:pt idx="1">
                  <c:v>7.5</c:v>
                </c:pt>
                <c:pt idx="2">
                  <c:v>1.5</c:v>
                </c:pt>
                <c:pt idx="3">
                  <c:v>8</c:v>
                </c:pt>
                <c:pt idx="4">
                  <c:v>14</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5176-4430-B15A-E3FEBFCA60ED}"/>
            </c:ext>
          </c:extLst>
        </c:ser>
        <c:ser>
          <c:idx val="3"/>
          <c:order val="3"/>
          <c:tx>
            <c:strRef>
              <c:f>ProjectTaskList!$M$4</c:f>
              <c:strCache>
                <c:ptCount val="1"/>
                <c:pt idx="0">
                  <c:v>Incomplete</c:v>
                </c:pt>
              </c:strCache>
            </c:strRef>
          </c:tx>
          <c:spPr>
            <a:solidFill>
              <a:schemeClr val="accent2">
                <a:lumMod val="40000"/>
                <a:lumOff val="60000"/>
              </a:schemeClr>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ProjectTaskList!$M$5:$M$29</c:f>
              <c:numCache>
                <c:formatCode>General</c:formatCode>
                <c:ptCount val="25"/>
                <c:pt idx="0">
                  <c:v>0</c:v>
                </c:pt>
                <c:pt idx="1">
                  <c:v>7.5</c:v>
                </c:pt>
                <c:pt idx="2">
                  <c:v>13.5</c:v>
                </c:pt>
                <c:pt idx="3">
                  <c:v>0</c:v>
                </c:pt>
                <c:pt idx="4">
                  <c:v>0</c:v>
                </c:pt>
                <c:pt idx="5">
                  <c:v>2</c:v>
                </c:pt>
                <c:pt idx="6">
                  <c:v>10</c:v>
                </c:pt>
                <c:pt idx="7">
                  <c:v>5</c:v>
                </c:pt>
                <c:pt idx="8">
                  <c:v>4</c:v>
                </c:pt>
                <c:pt idx="9">
                  <c:v>7</c:v>
                </c:pt>
                <c:pt idx="10">
                  <c:v>1</c:v>
                </c:pt>
                <c:pt idx="11">
                  <c:v>35</c:v>
                </c:pt>
                <c:pt idx="12">
                  <c:v>37</c:v>
                </c:pt>
                <c:pt idx="13">
                  <c:v>7</c:v>
                </c:pt>
                <c:pt idx="14">
                  <c:v>2</c:v>
                </c:pt>
                <c:pt idx="15">
                  <c:v>14</c:v>
                </c:pt>
                <c:pt idx="16">
                  <c:v>15</c:v>
                </c:pt>
                <c:pt idx="17">
                  <c:v>9</c:v>
                </c:pt>
                <c:pt idx="18">
                  <c:v>7</c:v>
                </c:pt>
                <c:pt idx="19">
                  <c:v>18</c:v>
                </c:pt>
                <c:pt idx="20">
                  <c:v>15</c:v>
                </c:pt>
                <c:pt idx="21">
                  <c:v>14</c:v>
                </c:pt>
                <c:pt idx="22">
                  <c:v>1</c:v>
                </c:pt>
                <c:pt idx="23">
                  <c:v>1</c:v>
                </c:pt>
              </c:numCache>
            </c:numRef>
          </c:val>
          <c:extLst>
            <c:ext xmlns:c16="http://schemas.microsoft.com/office/drawing/2014/chart" uri="{C3380CC4-5D6E-409C-BE32-E72D297353CC}">
              <c16:uniqueId val="{00000003-5176-4430-B15A-E3FEBFCA60ED}"/>
            </c:ext>
          </c:extLst>
        </c:ser>
        <c:ser>
          <c:idx val="4"/>
          <c:order val="4"/>
          <c:tx>
            <c:strRef>
              <c:f>ProjectTaskList!$N$4</c:f>
              <c:strCache>
                <c:ptCount val="1"/>
                <c:pt idx="0">
                  <c:v>Slippage</c:v>
                </c:pt>
              </c:strCache>
            </c:strRef>
          </c:tx>
          <c:spPr>
            <a:solidFill>
              <a:schemeClr val="accent2"/>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ProjectTaskList!$N$5:$N$29</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-243</c:v>
                </c:pt>
              </c:numCache>
            </c:numRef>
          </c:val>
          <c:extLst>
            <c:ext xmlns:c16="http://schemas.microsoft.com/office/drawing/2014/chart" uri="{C3380CC4-5D6E-409C-BE32-E72D297353CC}">
              <c16:uniqueId val="{00000004-5176-4430-B15A-E3FEBFCA60ED}"/>
            </c:ext>
          </c:extLst>
        </c:ser>
        <c:dLbls>
          <c:showLegendKey val="0"/>
          <c:showVal val="0"/>
          <c:showCatName val="0"/>
          <c:showSerName val="0"/>
          <c:showPercent val="0"/>
          <c:showBubbleSize val="0"/>
        </c:dLbls>
        <c:gapWidth val="20"/>
        <c:overlap val="100"/>
        <c:axId val="500243952"/>
        <c:axId val="500240344"/>
      </c:barChart>
      <c:catAx>
        <c:axId val="500243952"/>
        <c:scaling>
          <c:orientation val="maxMin"/>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7200" b="1" i="0" u="none" strike="noStrike" kern="1200" baseline="0">
                <a:solidFill>
                  <a:sysClr val="windowText" lastClr="000000"/>
                </a:solidFill>
                <a:latin typeface="+mn-lt"/>
                <a:ea typeface="+mn-ea"/>
                <a:cs typeface="+mn-cs"/>
              </a:defRPr>
            </a:pPr>
            <a:endParaRPr lang="en-US"/>
          </a:p>
        </c:txPr>
        <c:crossAx val="500240344"/>
        <c:crosses val="autoZero"/>
        <c:auto val="1"/>
        <c:lblAlgn val="ctr"/>
        <c:lblOffset val="100"/>
        <c:tickLblSkip val="1"/>
        <c:noMultiLvlLbl val="0"/>
      </c:catAx>
      <c:valAx>
        <c:axId val="500240344"/>
        <c:scaling>
          <c:orientation val="minMax"/>
          <c:min val="45921"/>
        </c:scaling>
        <c:delete val="0"/>
        <c:axPos val="t"/>
        <c:majorGridlines>
          <c:spPr>
            <a:ln w="9525" cap="flat" cmpd="sng" algn="ctr">
              <a:solidFill>
                <a:schemeClr val="bg1">
                  <a:lumMod val="75000"/>
                </a:schemeClr>
              </a:solidFill>
              <a:prstDash val="dash"/>
              <a:round/>
            </a:ln>
            <a:effectLst/>
          </c:spPr>
        </c:majorGridlines>
        <c:title>
          <c:tx>
            <c:rich>
              <a:bodyPr rot="0" spcFirstLastPara="1" vertOverflow="ellipsis" vert="horz" wrap="square" anchor="ctr" anchorCtr="1"/>
              <a:lstStyle/>
              <a:p>
                <a:pPr>
                  <a:defRPr sz="9600" b="1" i="0" u="none" strike="noStrike" kern="1200" baseline="0">
                    <a:solidFill>
                      <a:sysClr val="windowText" lastClr="000000"/>
                    </a:solidFill>
                    <a:latin typeface="+mn-lt"/>
                    <a:ea typeface="+mn-ea"/>
                    <a:cs typeface="+mn-cs"/>
                  </a:defRPr>
                </a:pPr>
                <a:r>
                  <a:rPr lang="en-SG" sz="9600" b="1"/>
                  <a:t>Date (Daily)</a:t>
                </a:r>
              </a:p>
            </c:rich>
          </c:tx>
          <c:layout>
            <c:manualLayout>
              <c:xMode val="edge"/>
              <c:yMode val="edge"/>
              <c:x val="0.5888388922687624"/>
              <c:y val="9.3369812070393285E-2"/>
            </c:manualLayout>
          </c:layout>
          <c:overlay val="0"/>
          <c:spPr>
            <a:noFill/>
            <a:ln>
              <a:noFill/>
            </a:ln>
            <a:effectLst/>
          </c:spPr>
          <c:txPr>
            <a:bodyPr rot="0" spcFirstLastPara="1" vertOverflow="ellipsis" vert="horz" wrap="square" anchor="ctr" anchorCtr="1"/>
            <a:lstStyle/>
            <a:p>
              <a:pPr>
                <a:defRPr sz="9600" b="1" i="0" u="none" strike="noStrike" kern="1200" baseline="0">
                  <a:solidFill>
                    <a:sysClr val="windowText" lastClr="000000"/>
                  </a:solidFill>
                  <a:latin typeface="+mn-lt"/>
                  <a:ea typeface="+mn-ea"/>
                  <a:cs typeface="+mn-cs"/>
                </a:defRPr>
              </a:pPr>
              <a:endParaRPr lang="en-US"/>
            </a:p>
          </c:txPr>
        </c:title>
        <c:numFmt formatCode="dd/mm" sourceLinked="0"/>
        <c:majorTickMark val="in"/>
        <c:minorTickMark val="none"/>
        <c:tickLblPos val="nextTo"/>
        <c:spPr>
          <a:noFill/>
          <a:ln>
            <a:solidFill>
              <a:schemeClr val="tx1"/>
            </a:solidFill>
          </a:ln>
          <a:effectLst/>
        </c:spPr>
        <c:txPr>
          <a:bodyPr rot="0" spcFirstLastPara="1" vertOverflow="ellipsis" wrap="square" anchor="t" anchorCtr="0"/>
          <a:lstStyle/>
          <a:p>
            <a:pPr>
              <a:defRPr sz="1500" b="1" i="0" u="none" strike="noStrike" kern="1200" baseline="0">
                <a:solidFill>
                  <a:sysClr val="windowText" lastClr="000000"/>
                </a:solidFill>
                <a:latin typeface="+mn-lt"/>
                <a:ea typeface="+mn-ea"/>
                <a:cs typeface="+mn-cs"/>
              </a:defRPr>
            </a:pPr>
            <a:endParaRPr lang="en-US"/>
          </a:p>
        </c:txPr>
        <c:crossAx val="500243952"/>
        <c:crosses val="autoZero"/>
        <c:crossBetween val="between"/>
        <c:majorUnit val="1"/>
        <c:minorUnit val="1"/>
      </c:valAx>
      <c:spPr>
        <a:noFill/>
        <a:ln>
          <a:solidFill>
            <a:schemeClr val="tx1"/>
          </a:solidFill>
          <a:prstDash val="dash"/>
        </a:ln>
        <a:effectLst/>
      </c:spPr>
    </c:plotArea>
    <c:legend>
      <c:legendPos val="t"/>
      <c:legendEntry>
        <c:idx val="0"/>
        <c:delete val="1"/>
      </c:legendEntry>
      <c:legendEntry>
        <c:idx val="1"/>
        <c:delete val="1"/>
      </c:legendEntry>
      <c:layout>
        <c:manualLayout>
          <c:xMode val="edge"/>
          <c:yMode val="edge"/>
          <c:x val="0.71851732017099401"/>
          <c:y val="1.8085106382978729E-2"/>
          <c:w val="0.27470906541980128"/>
          <c:h val="5.9356137064853043E-2"/>
        </c:manualLayout>
      </c:layout>
      <c:overlay val="0"/>
      <c:spPr>
        <a:solidFill>
          <a:sysClr val="window" lastClr="FFFFFF"/>
        </a:solidFill>
        <a:ln>
          <a:noFill/>
        </a:ln>
        <a:effectLst/>
      </c:spPr>
      <c:txPr>
        <a:bodyPr rot="0" spcFirstLastPara="1" vertOverflow="ellipsis" vert="horz" wrap="square" anchor="ctr" anchorCtr="1"/>
        <a:lstStyle/>
        <a:p>
          <a:pPr>
            <a:defRPr sz="11500" b="0" i="0" u="none" strike="noStrike" kern="1200" baseline="0">
              <a:solidFill>
                <a:sysClr val="windowText" lastClr="000000"/>
              </a:solidFill>
              <a:latin typeface="+mn-lt"/>
              <a:ea typeface="+mn-ea"/>
              <a:cs typeface="+mn-cs"/>
            </a:defRPr>
          </a:pPr>
          <a:endParaRPr lang="en-US"/>
        </a:p>
      </c:txPr>
    </c:legend>
    <c:plotVisOnly val="0"/>
    <c:dispBlanksAs val="gap"/>
    <c:showDLblsOverMax val="0"/>
  </c:chart>
  <c:spPr>
    <a:solidFill>
      <a:schemeClr val="bg1"/>
    </a:solidFill>
    <a:ln w="9525" cap="flat" cmpd="sng" algn="ctr">
      <a:noFill/>
      <a:round/>
    </a:ln>
    <a:effectLst/>
  </c:spPr>
  <c:txPr>
    <a:bodyPr/>
    <a:lstStyle/>
    <a:p>
      <a:pPr>
        <a:defRPr sz="4000" baseline="0">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ProjectTaskList!$A$1</c:f>
          <c:strCache>
            <c:ptCount val="1"/>
            <c:pt idx="0">
              <c:v>Training a Model on Moral Dilemmas: How AI ‘Thinks’ About Ethics.</c:v>
            </c:pt>
          </c:strCache>
        </c:strRef>
      </c:tx>
      <c:layout>
        <c:manualLayout>
          <c:xMode val="edge"/>
          <c:yMode val="edge"/>
          <c:x val="1.2009374913080035E-2"/>
          <c:y val="2.8185548439284069E-2"/>
        </c:manualLayout>
      </c:layout>
      <c:overlay val="0"/>
      <c:spPr>
        <a:noFill/>
        <a:ln>
          <a:noFill/>
        </a:ln>
        <a:effectLst/>
      </c:spPr>
      <c:txPr>
        <a:bodyPr rot="0" spcFirstLastPara="1" vertOverflow="ellipsis" vert="horz" wrap="square" anchor="ctr" anchorCtr="1"/>
        <a:lstStyle/>
        <a:p>
          <a:pPr>
            <a:defRPr sz="66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8943801380897405"/>
          <c:y val="0.13718621184371552"/>
          <c:w val="0.7277902181433572"/>
          <c:h val="0.8346074377203373"/>
        </c:manualLayout>
      </c:layout>
      <c:barChart>
        <c:barDir val="bar"/>
        <c:grouping val="stacked"/>
        <c:varyColors val="0"/>
        <c:ser>
          <c:idx val="0"/>
          <c:order val="0"/>
          <c:tx>
            <c:strRef>
              <c:f>ProjectTaskList!$J$4</c:f>
              <c:strCache>
                <c:ptCount val="1"/>
                <c:pt idx="0">
                  <c:v>Project Start</c:v>
                </c:pt>
              </c:strCache>
            </c:strRef>
          </c:tx>
          <c:spPr>
            <a:no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ProjectTaskList!$J$5:$J$29</c:f>
              <c:numCache>
                <c:formatCode>m/d/yyyy</c:formatCode>
                <c:ptCount val="25"/>
                <c:pt idx="0">
                  <c:v>45921</c:v>
                </c:pt>
                <c:pt idx="1">
                  <c:v>45921</c:v>
                </c:pt>
                <c:pt idx="2">
                  <c:v>45921</c:v>
                </c:pt>
                <c:pt idx="3">
                  <c:v>45921</c:v>
                </c:pt>
                <c:pt idx="4">
                  <c:v>45921</c:v>
                </c:pt>
                <c:pt idx="5">
                  <c:v>45921</c:v>
                </c:pt>
                <c:pt idx="6">
                  <c:v>45921</c:v>
                </c:pt>
                <c:pt idx="7">
                  <c:v>45921</c:v>
                </c:pt>
                <c:pt idx="8">
                  <c:v>45921</c:v>
                </c:pt>
                <c:pt idx="9">
                  <c:v>45921</c:v>
                </c:pt>
                <c:pt idx="10">
                  <c:v>45921</c:v>
                </c:pt>
                <c:pt idx="11">
                  <c:v>45921</c:v>
                </c:pt>
                <c:pt idx="12">
                  <c:v>45921</c:v>
                </c:pt>
                <c:pt idx="13">
                  <c:v>45921</c:v>
                </c:pt>
                <c:pt idx="14">
                  <c:v>45921</c:v>
                </c:pt>
                <c:pt idx="15">
                  <c:v>45921</c:v>
                </c:pt>
                <c:pt idx="16">
                  <c:v>45921</c:v>
                </c:pt>
                <c:pt idx="17">
                  <c:v>45921</c:v>
                </c:pt>
                <c:pt idx="18">
                  <c:v>45921</c:v>
                </c:pt>
                <c:pt idx="19">
                  <c:v>45921</c:v>
                </c:pt>
                <c:pt idx="20">
                  <c:v>45921</c:v>
                </c:pt>
                <c:pt idx="21">
                  <c:v>45921</c:v>
                </c:pt>
                <c:pt idx="22">
                  <c:v>45921</c:v>
                </c:pt>
                <c:pt idx="23">
                  <c:v>45921</c:v>
                </c:pt>
              </c:numCache>
            </c:numRef>
          </c:val>
          <c:extLst>
            <c:ext xmlns:c16="http://schemas.microsoft.com/office/drawing/2014/chart" uri="{C3380CC4-5D6E-409C-BE32-E72D297353CC}">
              <c16:uniqueId val="{00000000-A200-4162-9B3A-104C6C2D0087}"/>
            </c:ext>
          </c:extLst>
        </c:ser>
        <c:ser>
          <c:idx val="1"/>
          <c:order val="1"/>
          <c:tx>
            <c:strRef>
              <c:f>ProjectTaskList!$K$4</c:f>
              <c:strCache>
                <c:ptCount val="1"/>
                <c:pt idx="0">
                  <c:v>Days to Start</c:v>
                </c:pt>
              </c:strCache>
            </c:strRef>
          </c:tx>
          <c:spPr>
            <a:no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ProjectTaskList!$K$5:$K$29</c:f>
              <c:numCache>
                <c:formatCode>General</c:formatCode>
                <c:ptCount val="25"/>
                <c:pt idx="0">
                  <c:v>0</c:v>
                </c:pt>
                <c:pt idx="1">
                  <c:v>7</c:v>
                </c:pt>
                <c:pt idx="2">
                  <c:v>7</c:v>
                </c:pt>
                <c:pt idx="3">
                  <c:v>23</c:v>
                </c:pt>
                <c:pt idx="4">
                  <c:v>19</c:v>
                </c:pt>
                <c:pt idx="5">
                  <c:v>38</c:v>
                </c:pt>
                <c:pt idx="6">
                  <c:v>40</c:v>
                </c:pt>
                <c:pt idx="7">
                  <c:v>56</c:v>
                </c:pt>
                <c:pt idx="8">
                  <c:v>63</c:v>
                </c:pt>
                <c:pt idx="9">
                  <c:v>67</c:v>
                </c:pt>
                <c:pt idx="10">
                  <c:v>73</c:v>
                </c:pt>
                <c:pt idx="11">
                  <c:v>74</c:v>
                </c:pt>
                <c:pt idx="12">
                  <c:v>123</c:v>
                </c:pt>
                <c:pt idx="13">
                  <c:v>171</c:v>
                </c:pt>
                <c:pt idx="14">
                  <c:v>180</c:v>
                </c:pt>
                <c:pt idx="15">
                  <c:v>184</c:v>
                </c:pt>
                <c:pt idx="16">
                  <c:v>189</c:v>
                </c:pt>
                <c:pt idx="17">
                  <c:v>204</c:v>
                </c:pt>
                <c:pt idx="18">
                  <c:v>211</c:v>
                </c:pt>
                <c:pt idx="19">
                  <c:v>194</c:v>
                </c:pt>
                <c:pt idx="20">
                  <c:v>204</c:v>
                </c:pt>
                <c:pt idx="21">
                  <c:v>220</c:v>
                </c:pt>
                <c:pt idx="22">
                  <c:v>38</c:v>
                </c:pt>
                <c:pt idx="23">
                  <c:v>281</c:v>
                </c:pt>
              </c:numCache>
            </c:numRef>
          </c:val>
          <c:extLst>
            <c:ext xmlns:c16="http://schemas.microsoft.com/office/drawing/2014/chart" uri="{C3380CC4-5D6E-409C-BE32-E72D297353CC}">
              <c16:uniqueId val="{00000001-A200-4162-9B3A-104C6C2D0087}"/>
            </c:ext>
          </c:extLst>
        </c:ser>
        <c:ser>
          <c:idx val="2"/>
          <c:order val="2"/>
          <c:tx>
            <c:strRef>
              <c:f>ProjectTaskList!$L$4</c:f>
              <c:strCache>
                <c:ptCount val="1"/>
                <c:pt idx="0">
                  <c:v>Complete</c:v>
                </c:pt>
              </c:strCache>
            </c:strRef>
          </c:tx>
          <c:spPr>
            <a:solidFill>
              <a:srgbClr val="99C662"/>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ProjectTaskList!$L$5:$L$29</c:f>
              <c:numCache>
                <c:formatCode>General</c:formatCode>
                <c:ptCount val="25"/>
                <c:pt idx="0">
                  <c:v>10</c:v>
                </c:pt>
                <c:pt idx="1">
                  <c:v>7.5</c:v>
                </c:pt>
                <c:pt idx="2">
                  <c:v>1.5</c:v>
                </c:pt>
                <c:pt idx="3">
                  <c:v>8</c:v>
                </c:pt>
                <c:pt idx="4">
                  <c:v>14</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A200-4162-9B3A-104C6C2D0087}"/>
            </c:ext>
          </c:extLst>
        </c:ser>
        <c:ser>
          <c:idx val="3"/>
          <c:order val="3"/>
          <c:tx>
            <c:strRef>
              <c:f>ProjectTaskList!$M$4</c:f>
              <c:strCache>
                <c:ptCount val="1"/>
                <c:pt idx="0">
                  <c:v>Incomplete</c:v>
                </c:pt>
              </c:strCache>
            </c:strRef>
          </c:tx>
          <c:spPr>
            <a:solidFill>
              <a:schemeClr val="accent2">
                <a:lumMod val="40000"/>
                <a:lumOff val="60000"/>
              </a:schemeClr>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ProjectTaskList!$M$5:$M$29</c:f>
              <c:numCache>
                <c:formatCode>General</c:formatCode>
                <c:ptCount val="25"/>
                <c:pt idx="0">
                  <c:v>0</c:v>
                </c:pt>
                <c:pt idx="1">
                  <c:v>7.5</c:v>
                </c:pt>
                <c:pt idx="2">
                  <c:v>13.5</c:v>
                </c:pt>
                <c:pt idx="3">
                  <c:v>0</c:v>
                </c:pt>
                <c:pt idx="4">
                  <c:v>0</c:v>
                </c:pt>
                <c:pt idx="5">
                  <c:v>2</c:v>
                </c:pt>
                <c:pt idx="6">
                  <c:v>10</c:v>
                </c:pt>
                <c:pt idx="7">
                  <c:v>5</c:v>
                </c:pt>
                <c:pt idx="8">
                  <c:v>4</c:v>
                </c:pt>
                <c:pt idx="9">
                  <c:v>7</c:v>
                </c:pt>
                <c:pt idx="10">
                  <c:v>1</c:v>
                </c:pt>
                <c:pt idx="11">
                  <c:v>35</c:v>
                </c:pt>
                <c:pt idx="12">
                  <c:v>37</c:v>
                </c:pt>
                <c:pt idx="13">
                  <c:v>7</c:v>
                </c:pt>
                <c:pt idx="14">
                  <c:v>2</c:v>
                </c:pt>
                <c:pt idx="15">
                  <c:v>14</c:v>
                </c:pt>
                <c:pt idx="16">
                  <c:v>15</c:v>
                </c:pt>
                <c:pt idx="17">
                  <c:v>9</c:v>
                </c:pt>
                <c:pt idx="18">
                  <c:v>7</c:v>
                </c:pt>
                <c:pt idx="19">
                  <c:v>18</c:v>
                </c:pt>
                <c:pt idx="20">
                  <c:v>15</c:v>
                </c:pt>
                <c:pt idx="21">
                  <c:v>14</c:v>
                </c:pt>
                <c:pt idx="22">
                  <c:v>1</c:v>
                </c:pt>
                <c:pt idx="23">
                  <c:v>1</c:v>
                </c:pt>
              </c:numCache>
            </c:numRef>
          </c:val>
          <c:extLst>
            <c:ext xmlns:c16="http://schemas.microsoft.com/office/drawing/2014/chart" uri="{C3380CC4-5D6E-409C-BE32-E72D297353CC}">
              <c16:uniqueId val="{00000003-A200-4162-9B3A-104C6C2D0087}"/>
            </c:ext>
          </c:extLst>
        </c:ser>
        <c:ser>
          <c:idx val="4"/>
          <c:order val="4"/>
          <c:tx>
            <c:strRef>
              <c:f>ProjectTaskList!$N$4</c:f>
              <c:strCache>
                <c:ptCount val="1"/>
                <c:pt idx="0">
                  <c:v>Slippage</c:v>
                </c:pt>
              </c:strCache>
            </c:strRef>
          </c:tx>
          <c:spPr>
            <a:solidFill>
              <a:schemeClr val="accent2"/>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ProjectTaskList!$N$5:$N$29</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-243</c:v>
                </c:pt>
              </c:numCache>
            </c:numRef>
          </c:val>
          <c:extLst>
            <c:ext xmlns:c16="http://schemas.microsoft.com/office/drawing/2014/chart" uri="{C3380CC4-5D6E-409C-BE32-E72D297353CC}">
              <c16:uniqueId val="{00000004-A200-4162-9B3A-104C6C2D0087}"/>
            </c:ext>
          </c:extLst>
        </c:ser>
        <c:dLbls>
          <c:showLegendKey val="0"/>
          <c:showVal val="0"/>
          <c:showCatName val="0"/>
          <c:showSerName val="0"/>
          <c:showPercent val="0"/>
          <c:showBubbleSize val="0"/>
        </c:dLbls>
        <c:gapWidth val="20"/>
        <c:overlap val="100"/>
        <c:axId val="500243952"/>
        <c:axId val="500240344"/>
      </c:barChart>
      <c:catAx>
        <c:axId val="500243952"/>
        <c:scaling>
          <c:orientation val="maxMin"/>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4000" b="0" i="0" u="none" strike="noStrike" kern="1200" baseline="0">
                <a:solidFill>
                  <a:sysClr val="windowText" lastClr="000000"/>
                </a:solidFill>
                <a:latin typeface="+mn-lt"/>
                <a:ea typeface="+mn-ea"/>
                <a:cs typeface="+mn-cs"/>
              </a:defRPr>
            </a:pPr>
            <a:endParaRPr lang="en-US"/>
          </a:p>
        </c:txPr>
        <c:crossAx val="500240344"/>
        <c:crosses val="autoZero"/>
        <c:auto val="1"/>
        <c:lblAlgn val="ctr"/>
        <c:lblOffset val="100"/>
        <c:tickLblSkip val="1"/>
        <c:noMultiLvlLbl val="0"/>
      </c:catAx>
      <c:valAx>
        <c:axId val="500240344"/>
        <c:scaling>
          <c:orientation val="minMax"/>
          <c:min val="45921"/>
        </c:scaling>
        <c:delete val="0"/>
        <c:axPos val="t"/>
        <c:majorGridlines>
          <c:spPr>
            <a:ln w="9525" cap="flat" cmpd="sng" algn="ctr">
              <a:solidFill>
                <a:schemeClr val="bg1">
                  <a:lumMod val="65000"/>
                </a:schemeClr>
              </a:solidFill>
              <a:prstDash val="lgDash"/>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SG" sz="5400" b="1" u="sng">
                    <a:solidFill>
                      <a:sysClr val="windowText" lastClr="000000"/>
                    </a:solidFill>
                  </a:rPr>
                  <a:t>Date (weekly)</a:t>
                </a:r>
              </a:p>
            </c:rich>
          </c:tx>
          <c:layout>
            <c:manualLayout>
              <c:xMode val="edge"/>
              <c:yMode val="edge"/>
              <c:x val="0.58883889335337347"/>
              <c:y val="7.163410666656489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d/mmm" sourceLinked="0"/>
        <c:majorTickMark val="out"/>
        <c:minorTickMark val="in"/>
        <c:tickLblPos val="nextTo"/>
        <c:spPr>
          <a:noFill/>
          <a:ln>
            <a:solidFill>
              <a:schemeClr val="tx1"/>
            </a:solidFill>
          </a:ln>
          <a:effectLst/>
        </c:spPr>
        <c:txPr>
          <a:bodyPr rot="0" spcFirstLastPara="1" vertOverflow="ellipsis" wrap="square" anchor="ctr" anchorCtr="1"/>
          <a:lstStyle/>
          <a:p>
            <a:pPr>
              <a:defRPr sz="2800" b="1" i="0" u="none" strike="noStrike" kern="1200" baseline="0">
                <a:solidFill>
                  <a:sysClr val="windowText" lastClr="000000"/>
                </a:solidFill>
                <a:latin typeface="+mn-lt"/>
                <a:ea typeface="+mn-ea"/>
                <a:cs typeface="+mn-cs"/>
              </a:defRPr>
            </a:pPr>
            <a:endParaRPr lang="en-US"/>
          </a:p>
        </c:txPr>
        <c:crossAx val="500243952"/>
        <c:crosses val="autoZero"/>
        <c:crossBetween val="between"/>
        <c:majorUnit val="7"/>
        <c:minorUnit val="1"/>
      </c:valAx>
      <c:spPr>
        <a:noFill/>
        <a:ln>
          <a:solidFill>
            <a:schemeClr val="tx1"/>
          </a:solidFill>
        </a:ln>
        <a:effectLst/>
      </c:spPr>
    </c:plotArea>
    <c:legend>
      <c:legendPos val="t"/>
      <c:legendEntry>
        <c:idx val="0"/>
        <c:delete val="1"/>
      </c:legendEntry>
      <c:legendEntry>
        <c:idx val="1"/>
        <c:delete val="1"/>
      </c:legendEntry>
      <c:layout>
        <c:manualLayout>
          <c:xMode val="edge"/>
          <c:yMode val="edge"/>
          <c:x val="0.71851732017099401"/>
          <c:y val="1.8085106382978729E-2"/>
          <c:w val="0.27470906541980128"/>
          <c:h val="5.9356137064853043E-2"/>
        </c:manualLayout>
      </c:layout>
      <c:overlay val="0"/>
      <c:spPr>
        <a:solidFill>
          <a:sysClr val="window" lastClr="FFFFFF"/>
        </a:solidFill>
        <a:ln>
          <a:noFill/>
        </a:ln>
        <a:effectLst/>
      </c:spPr>
      <c:txPr>
        <a:bodyPr rot="0" spcFirstLastPara="1" vertOverflow="ellipsis" vert="horz" wrap="square" anchor="ctr" anchorCtr="1"/>
        <a:lstStyle/>
        <a:p>
          <a:pPr>
            <a:defRPr sz="4800" b="1" i="0" u="none" strike="noStrike" kern="1200" baseline="0">
              <a:solidFill>
                <a:sysClr val="windowText" lastClr="000000"/>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2000" baseline="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ProjectTaskList!$A$1</c:f>
          <c:strCache>
            <c:ptCount val="1"/>
            <c:pt idx="0">
              <c:v>Training a Model on Moral Dilemmas: How AI ‘Thinks’ About Ethics.</c:v>
            </c:pt>
          </c:strCache>
        </c:strRef>
      </c:tx>
      <c:layout>
        <c:manualLayout>
          <c:xMode val="edge"/>
          <c:yMode val="edge"/>
          <c:x val="1.2009374913080035E-2"/>
          <c:y val="2.8185548439284069E-2"/>
        </c:manualLayout>
      </c:layout>
      <c:overlay val="0"/>
      <c:spPr>
        <a:noFill/>
        <a:ln>
          <a:noFill/>
        </a:ln>
        <a:effectLst/>
      </c:spPr>
      <c:txPr>
        <a:bodyPr rot="0" spcFirstLastPara="1" vertOverflow="ellipsis" vert="horz" wrap="square" anchor="ctr" anchorCtr="1"/>
        <a:lstStyle/>
        <a:p>
          <a:pPr>
            <a:defRPr sz="80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6960314406978508"/>
          <c:y val="0.13601918095460297"/>
          <c:w val="0.7277902181433572"/>
          <c:h val="0.8346074377203373"/>
        </c:manualLayout>
      </c:layout>
      <c:barChart>
        <c:barDir val="bar"/>
        <c:grouping val="stacked"/>
        <c:varyColors val="0"/>
        <c:ser>
          <c:idx val="0"/>
          <c:order val="0"/>
          <c:tx>
            <c:strRef>
              <c:f>ProjectTaskList!$J$4</c:f>
              <c:strCache>
                <c:ptCount val="1"/>
                <c:pt idx="0">
                  <c:v>Project Start</c:v>
                </c:pt>
              </c:strCache>
            </c:strRef>
          </c:tx>
          <c:spPr>
            <a:solidFill>
              <a:schemeClr val="accent1"/>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ProjectTaskList!$J$5:$J$29</c:f>
              <c:numCache>
                <c:formatCode>m/d/yyyy</c:formatCode>
                <c:ptCount val="25"/>
                <c:pt idx="0">
                  <c:v>45921</c:v>
                </c:pt>
                <c:pt idx="1">
                  <c:v>45921</c:v>
                </c:pt>
                <c:pt idx="2">
                  <c:v>45921</c:v>
                </c:pt>
                <c:pt idx="3">
                  <c:v>45921</c:v>
                </c:pt>
                <c:pt idx="4">
                  <c:v>45921</c:v>
                </c:pt>
                <c:pt idx="5">
                  <c:v>45921</c:v>
                </c:pt>
                <c:pt idx="6">
                  <c:v>45921</c:v>
                </c:pt>
                <c:pt idx="7">
                  <c:v>45921</c:v>
                </c:pt>
                <c:pt idx="8">
                  <c:v>45921</c:v>
                </c:pt>
                <c:pt idx="9">
                  <c:v>45921</c:v>
                </c:pt>
                <c:pt idx="10">
                  <c:v>45921</c:v>
                </c:pt>
                <c:pt idx="11">
                  <c:v>45921</c:v>
                </c:pt>
                <c:pt idx="12">
                  <c:v>45921</c:v>
                </c:pt>
                <c:pt idx="13">
                  <c:v>45921</c:v>
                </c:pt>
                <c:pt idx="14">
                  <c:v>45921</c:v>
                </c:pt>
                <c:pt idx="15">
                  <c:v>45921</c:v>
                </c:pt>
                <c:pt idx="16">
                  <c:v>45921</c:v>
                </c:pt>
                <c:pt idx="17">
                  <c:v>45921</c:v>
                </c:pt>
                <c:pt idx="18">
                  <c:v>45921</c:v>
                </c:pt>
                <c:pt idx="19">
                  <c:v>45921</c:v>
                </c:pt>
                <c:pt idx="20">
                  <c:v>45921</c:v>
                </c:pt>
                <c:pt idx="21">
                  <c:v>45921</c:v>
                </c:pt>
                <c:pt idx="22">
                  <c:v>45921</c:v>
                </c:pt>
                <c:pt idx="23">
                  <c:v>45921</c:v>
                </c:pt>
              </c:numCache>
            </c:numRef>
          </c:val>
          <c:extLst>
            <c:ext xmlns:c16="http://schemas.microsoft.com/office/drawing/2014/chart" uri="{C3380CC4-5D6E-409C-BE32-E72D297353CC}">
              <c16:uniqueId val="{00000000-0195-40CE-BBAB-256981A2C99B}"/>
            </c:ext>
          </c:extLst>
        </c:ser>
        <c:ser>
          <c:idx val="1"/>
          <c:order val="1"/>
          <c:tx>
            <c:strRef>
              <c:f>ProjectTaskList!$K$4</c:f>
              <c:strCache>
                <c:ptCount val="1"/>
                <c:pt idx="0">
                  <c:v>Days to Start</c:v>
                </c:pt>
              </c:strCache>
            </c:strRef>
          </c:tx>
          <c:spPr>
            <a:no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ProjectTaskList!$K$5:$K$29</c:f>
              <c:numCache>
                <c:formatCode>General</c:formatCode>
                <c:ptCount val="25"/>
                <c:pt idx="0">
                  <c:v>0</c:v>
                </c:pt>
                <c:pt idx="1">
                  <c:v>7</c:v>
                </c:pt>
                <c:pt idx="2">
                  <c:v>7</c:v>
                </c:pt>
                <c:pt idx="3">
                  <c:v>23</c:v>
                </c:pt>
                <c:pt idx="4">
                  <c:v>19</c:v>
                </c:pt>
                <c:pt idx="5">
                  <c:v>38</c:v>
                </c:pt>
                <c:pt idx="6">
                  <c:v>40</c:v>
                </c:pt>
                <c:pt idx="7">
                  <c:v>56</c:v>
                </c:pt>
                <c:pt idx="8">
                  <c:v>63</c:v>
                </c:pt>
                <c:pt idx="9">
                  <c:v>67</c:v>
                </c:pt>
                <c:pt idx="10">
                  <c:v>73</c:v>
                </c:pt>
                <c:pt idx="11">
                  <c:v>74</c:v>
                </c:pt>
                <c:pt idx="12">
                  <c:v>123</c:v>
                </c:pt>
                <c:pt idx="13">
                  <c:v>171</c:v>
                </c:pt>
                <c:pt idx="14">
                  <c:v>180</c:v>
                </c:pt>
                <c:pt idx="15">
                  <c:v>184</c:v>
                </c:pt>
                <c:pt idx="16">
                  <c:v>189</c:v>
                </c:pt>
                <c:pt idx="17">
                  <c:v>204</c:v>
                </c:pt>
                <c:pt idx="18">
                  <c:v>211</c:v>
                </c:pt>
                <c:pt idx="19">
                  <c:v>194</c:v>
                </c:pt>
                <c:pt idx="20">
                  <c:v>204</c:v>
                </c:pt>
                <c:pt idx="21">
                  <c:v>220</c:v>
                </c:pt>
                <c:pt idx="22">
                  <c:v>38</c:v>
                </c:pt>
                <c:pt idx="23">
                  <c:v>281</c:v>
                </c:pt>
              </c:numCache>
            </c:numRef>
          </c:val>
          <c:extLst>
            <c:ext xmlns:c16="http://schemas.microsoft.com/office/drawing/2014/chart" uri="{C3380CC4-5D6E-409C-BE32-E72D297353CC}">
              <c16:uniqueId val="{00000001-0195-40CE-BBAB-256981A2C99B}"/>
            </c:ext>
          </c:extLst>
        </c:ser>
        <c:ser>
          <c:idx val="2"/>
          <c:order val="2"/>
          <c:tx>
            <c:strRef>
              <c:f>ProjectTaskList!$L$4</c:f>
              <c:strCache>
                <c:ptCount val="1"/>
                <c:pt idx="0">
                  <c:v>Complete</c:v>
                </c:pt>
              </c:strCache>
            </c:strRef>
          </c:tx>
          <c:spPr>
            <a:solidFill>
              <a:srgbClr val="99C662"/>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ProjectTaskList!$L$5:$L$29</c:f>
              <c:numCache>
                <c:formatCode>General</c:formatCode>
                <c:ptCount val="25"/>
                <c:pt idx="0">
                  <c:v>10</c:v>
                </c:pt>
                <c:pt idx="1">
                  <c:v>7.5</c:v>
                </c:pt>
                <c:pt idx="2">
                  <c:v>1.5</c:v>
                </c:pt>
                <c:pt idx="3">
                  <c:v>8</c:v>
                </c:pt>
                <c:pt idx="4">
                  <c:v>14</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0195-40CE-BBAB-256981A2C99B}"/>
            </c:ext>
          </c:extLst>
        </c:ser>
        <c:ser>
          <c:idx val="3"/>
          <c:order val="3"/>
          <c:tx>
            <c:strRef>
              <c:f>ProjectTaskList!$M$4</c:f>
              <c:strCache>
                <c:ptCount val="1"/>
                <c:pt idx="0">
                  <c:v>Incomplete</c:v>
                </c:pt>
              </c:strCache>
            </c:strRef>
          </c:tx>
          <c:spPr>
            <a:solidFill>
              <a:schemeClr val="accent2">
                <a:lumMod val="40000"/>
                <a:lumOff val="60000"/>
              </a:schemeClr>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ProjectTaskList!$M$5:$M$29</c:f>
              <c:numCache>
                <c:formatCode>General</c:formatCode>
                <c:ptCount val="25"/>
                <c:pt idx="0">
                  <c:v>0</c:v>
                </c:pt>
                <c:pt idx="1">
                  <c:v>7.5</c:v>
                </c:pt>
                <c:pt idx="2">
                  <c:v>13.5</c:v>
                </c:pt>
                <c:pt idx="3">
                  <c:v>0</c:v>
                </c:pt>
                <c:pt idx="4">
                  <c:v>0</c:v>
                </c:pt>
                <c:pt idx="5">
                  <c:v>2</c:v>
                </c:pt>
                <c:pt idx="6">
                  <c:v>10</c:v>
                </c:pt>
                <c:pt idx="7">
                  <c:v>5</c:v>
                </c:pt>
                <c:pt idx="8">
                  <c:v>4</c:v>
                </c:pt>
                <c:pt idx="9">
                  <c:v>7</c:v>
                </c:pt>
                <c:pt idx="10">
                  <c:v>1</c:v>
                </c:pt>
                <c:pt idx="11">
                  <c:v>35</c:v>
                </c:pt>
                <c:pt idx="12">
                  <c:v>37</c:v>
                </c:pt>
                <c:pt idx="13">
                  <c:v>7</c:v>
                </c:pt>
                <c:pt idx="14">
                  <c:v>2</c:v>
                </c:pt>
                <c:pt idx="15">
                  <c:v>14</c:v>
                </c:pt>
                <c:pt idx="16">
                  <c:v>15</c:v>
                </c:pt>
                <c:pt idx="17">
                  <c:v>9</c:v>
                </c:pt>
                <c:pt idx="18">
                  <c:v>7</c:v>
                </c:pt>
                <c:pt idx="19">
                  <c:v>18</c:v>
                </c:pt>
                <c:pt idx="20">
                  <c:v>15</c:v>
                </c:pt>
                <c:pt idx="21">
                  <c:v>14</c:v>
                </c:pt>
                <c:pt idx="22">
                  <c:v>1</c:v>
                </c:pt>
                <c:pt idx="23">
                  <c:v>1</c:v>
                </c:pt>
              </c:numCache>
            </c:numRef>
          </c:val>
          <c:extLst>
            <c:ext xmlns:c16="http://schemas.microsoft.com/office/drawing/2014/chart" uri="{C3380CC4-5D6E-409C-BE32-E72D297353CC}">
              <c16:uniqueId val="{00000003-0195-40CE-BBAB-256981A2C99B}"/>
            </c:ext>
          </c:extLst>
        </c:ser>
        <c:ser>
          <c:idx val="4"/>
          <c:order val="4"/>
          <c:tx>
            <c:strRef>
              <c:f>ProjectTaskList!$N$4</c:f>
              <c:strCache>
                <c:ptCount val="1"/>
                <c:pt idx="0">
                  <c:v>Slippage</c:v>
                </c:pt>
              </c:strCache>
            </c:strRef>
          </c:tx>
          <c:spPr>
            <a:solidFill>
              <a:schemeClr val="accent2"/>
            </a:solidFill>
            <a:ln>
              <a:noFill/>
            </a:ln>
            <a:effectLst/>
          </c:spPr>
          <c:invertIfNegative val="0"/>
          <c:cat>
            <c:multiLvlStrRef>
              <c:f>ProjectTaskList!$A$5:$B$29</c:f>
              <c:multiLvlStrCache>
                <c:ptCount val="24"/>
                <c:lvl>
                  <c:pt idx="0">
                    <c:v>Finalize research questions, scope, and hypotheses</c:v>
                  </c:pt>
                  <c:pt idx="1">
                    <c:v>Conduct literature review on AI + morality, datasets</c:v>
                  </c:pt>
                  <c:pt idx="2">
                    <c:v>Literature review on model selection</c:v>
                  </c:pt>
                  <c:pt idx="3">
                    <c:v>Define evaluation metrics and success criteria</c:v>
                  </c:pt>
                  <c:pt idx="4">
                    <c:v>Choose dataset focus </c:v>
                  </c:pt>
                  <c:pt idx="5">
                    <c:v>Combining Dataset</c:v>
                  </c:pt>
                  <c:pt idx="6">
                    <c:v>Cleaning up Data set </c:v>
                  </c:pt>
                  <c:pt idx="7">
                    <c:v>Preliminary data set exploration</c:v>
                  </c:pt>
                  <c:pt idx="8">
                    <c:v>Choose baseline models </c:v>
                  </c:pt>
                  <c:pt idx="9">
                    <c:v>Choose transformer models </c:v>
                  </c:pt>
                  <c:pt idx="10">
                    <c:v>Set up training environment (Python, GPUs, libraries)</c:v>
                  </c:pt>
                  <c:pt idx="11">
                    <c:v>Model Training</c:v>
                  </c:pt>
                  <c:pt idx="12">
                    <c:v>Fine-tune models on your custom dataset</c:v>
                  </c:pt>
                  <c:pt idx="13">
                    <c:v>Sanity-check and validate model outputs</c:v>
                  </c:pt>
                  <c:pt idx="14">
                    <c:v>Define and calculate evaluation metrics (accuracy, robustness, bias)</c:v>
                  </c:pt>
                  <c:pt idx="15">
                    <c:v>Conduct interpretability analysis (attention, embeddings, interventions)</c:v>
                  </c:pt>
                  <c:pt idx="16">
                    <c:v>Cross-cultural or moral uncertainty tests</c:v>
                  </c:pt>
                  <c:pt idx="17">
                    <c:v>Relate findings to philosophical framing (Chinese Room, etc.)</c:v>
                  </c:pt>
                  <c:pt idx="18">
                    <c:v>Identify limitations, biases, implications</c:v>
                  </c:pt>
                  <c:pt idx="19">
                    <c:v>Draft report/paper (intro, method, results)</c:v>
                  </c:pt>
                  <c:pt idx="20">
                    <c:v>Create figures, charts (attention maps, embeddings, Gantt chart)</c:v>
                  </c:pt>
                  <c:pt idx="21">
                    <c:v>Revise, finalize, and prepare presentation</c:v>
                  </c:pt>
                  <c:pt idx="22">
                    <c:v>Project and Data Management</c:v>
                  </c:pt>
                  <c:pt idx="23">
                    <c:v>ViVa</c:v>
                  </c:pt>
                </c:lvl>
                <c:lvl>
                  <c:pt idx="0">
                    <c:v>1. Project Scoping &amp; Background Research</c:v>
                  </c:pt>
                  <c:pt idx="4">
                    <c:v>2. Dataset Design &amp; Collection</c:v>
                  </c:pt>
                  <c:pt idx="8">
                    <c:v>3. Model Selection &amp; Setup</c:v>
                  </c:pt>
                  <c:pt idx="11">
                    <c:v>4. Training &amp; Fine-tuning</c:v>
                  </c:pt>
                  <c:pt idx="14">
                    <c:v>5. Evaluation</c:v>
                  </c:pt>
                  <c:pt idx="17">
                    <c:v>6. Analysis &amp; Reflection</c:v>
                  </c:pt>
                  <c:pt idx="19">
                    <c:v>7. Write-up &amp; Presentation</c:v>
                  </c:pt>
                  <c:pt idx="22">
                    <c:v>8. Deadlines</c:v>
                  </c:pt>
                </c:lvl>
              </c:multiLvlStrCache>
            </c:multiLvlStrRef>
          </c:cat>
          <c:val>
            <c:numRef>
              <c:f>ProjectTaskList!$N$5:$N$29</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-243</c:v>
                </c:pt>
              </c:numCache>
            </c:numRef>
          </c:val>
          <c:extLst>
            <c:ext xmlns:c16="http://schemas.microsoft.com/office/drawing/2014/chart" uri="{C3380CC4-5D6E-409C-BE32-E72D297353CC}">
              <c16:uniqueId val="{00000004-0195-40CE-BBAB-256981A2C99B}"/>
            </c:ext>
          </c:extLst>
        </c:ser>
        <c:dLbls>
          <c:showLegendKey val="0"/>
          <c:showVal val="0"/>
          <c:showCatName val="0"/>
          <c:showSerName val="0"/>
          <c:showPercent val="0"/>
          <c:showBubbleSize val="0"/>
        </c:dLbls>
        <c:gapWidth val="20"/>
        <c:overlap val="100"/>
        <c:axId val="500243952"/>
        <c:axId val="500240344"/>
      </c:barChart>
      <c:catAx>
        <c:axId val="500243952"/>
        <c:scaling>
          <c:orientation val="maxMin"/>
        </c:scaling>
        <c:delete val="0"/>
        <c:axPos val="l"/>
        <c:numFmt formatCode="General" sourceLinked="1"/>
        <c:majorTickMark val="none"/>
        <c:minorTickMark val="out"/>
        <c:tickLblPos val="low"/>
        <c:spPr>
          <a:noFill/>
          <a:ln w="9525" cap="flat" cmpd="sng" algn="ctr">
            <a:solidFill>
              <a:schemeClr val="tx1"/>
            </a:solidFill>
            <a:round/>
          </a:ln>
          <a:effectLst/>
        </c:spPr>
        <c:txPr>
          <a:bodyPr rot="-60000000" spcFirstLastPara="1" vertOverflow="ellipsis" vert="horz" wrap="square" anchor="ctr" anchorCtr="1"/>
          <a:lstStyle/>
          <a:p>
            <a:pPr>
              <a:defRPr sz="5400" b="1" i="0" u="none" strike="noStrike" kern="1200" baseline="0">
                <a:solidFill>
                  <a:sysClr val="windowText" lastClr="000000"/>
                </a:solidFill>
                <a:latin typeface="+mn-lt"/>
                <a:ea typeface="+mn-ea"/>
                <a:cs typeface="+mn-cs"/>
              </a:defRPr>
            </a:pPr>
            <a:endParaRPr lang="en-US"/>
          </a:p>
        </c:txPr>
        <c:crossAx val="500240344"/>
        <c:crosses val="autoZero"/>
        <c:auto val="1"/>
        <c:lblAlgn val="ctr"/>
        <c:lblOffset val="100"/>
        <c:tickLblSkip val="1"/>
        <c:noMultiLvlLbl val="1"/>
      </c:catAx>
      <c:valAx>
        <c:axId val="500240344"/>
        <c:scaling>
          <c:orientation val="minMax"/>
          <c:max val="46159"/>
          <c:min val="45921"/>
        </c:scaling>
        <c:delete val="0"/>
        <c:axPos val="t"/>
        <c:majorGridlines>
          <c:spPr>
            <a:ln w="9525" cap="flat" cmpd="sng" algn="ctr">
              <a:solidFill>
                <a:schemeClr val="tx1"/>
              </a:solidFill>
              <a:prstDash val="dash"/>
              <a:round/>
            </a:ln>
            <a:effectLst/>
          </c:spPr>
        </c:majorGridlines>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SG" sz="5400" b="1" u="sng">
                    <a:solidFill>
                      <a:sysClr val="windowText" lastClr="000000"/>
                    </a:solidFill>
                  </a:rPr>
                  <a:t>Date (Monthly)</a:t>
                </a:r>
              </a:p>
            </c:rich>
          </c:tx>
          <c:layout>
            <c:manualLayout>
              <c:xMode val="edge"/>
              <c:yMode val="edge"/>
              <c:x val="0.58883889335337347"/>
              <c:y val="7.163410666656489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mmm/yy" sourceLinked="0"/>
        <c:majorTickMark val="none"/>
        <c:minorTickMark val="none"/>
        <c:tickLblPos val="nextTo"/>
        <c:spPr>
          <a:noFill/>
          <a:ln>
            <a:solidFill>
              <a:schemeClr val="tx1"/>
            </a:solidFill>
          </a:ln>
          <a:effectLst/>
        </c:spPr>
        <c:txPr>
          <a:bodyPr rot="0" spcFirstLastPara="1" vertOverflow="ellipsis" wrap="square" anchor="ctr" anchorCtr="1"/>
          <a:lstStyle/>
          <a:p>
            <a:pPr>
              <a:defRPr sz="6000" b="1" i="0" u="none" strike="noStrike" kern="1200" baseline="0">
                <a:solidFill>
                  <a:sysClr val="windowText" lastClr="000000"/>
                </a:solidFill>
                <a:latin typeface="+mn-lt"/>
                <a:ea typeface="+mn-ea"/>
                <a:cs typeface="+mn-cs"/>
              </a:defRPr>
            </a:pPr>
            <a:endParaRPr lang="en-US"/>
          </a:p>
        </c:txPr>
        <c:crossAx val="500243952"/>
        <c:crosses val="autoZero"/>
        <c:crossBetween val="between"/>
        <c:majorUnit val="28"/>
        <c:minorUnit val="1"/>
      </c:valAx>
      <c:spPr>
        <a:noFill/>
        <a:ln w="12700">
          <a:solidFill>
            <a:schemeClr val="tx1">
              <a:alpha val="0"/>
            </a:schemeClr>
          </a:solidFill>
        </a:ln>
        <a:effectLst/>
      </c:spPr>
    </c:plotArea>
    <c:legend>
      <c:legendPos val="t"/>
      <c:legendEntry>
        <c:idx val="0"/>
        <c:delete val="1"/>
      </c:legendEntry>
      <c:legendEntry>
        <c:idx val="1"/>
        <c:delete val="1"/>
      </c:legendEntry>
      <c:layout>
        <c:manualLayout>
          <c:xMode val="edge"/>
          <c:yMode val="edge"/>
          <c:x val="0.71851732017099401"/>
          <c:y val="1.8085106382978729E-2"/>
          <c:w val="0.27470906541980128"/>
          <c:h val="5.9356137064853043E-2"/>
        </c:manualLayout>
      </c:layout>
      <c:overlay val="0"/>
      <c:spPr>
        <a:solidFill>
          <a:sysClr val="window" lastClr="FFFFFF"/>
        </a:solidFill>
        <a:ln>
          <a:noFill/>
        </a:ln>
        <a:effectLst/>
      </c:spPr>
      <c:txPr>
        <a:bodyPr rot="0" spcFirstLastPara="1" vertOverflow="ellipsis" vert="horz" wrap="square" anchor="ctr" anchorCtr="1"/>
        <a:lstStyle/>
        <a:p>
          <a:pPr>
            <a:defRPr sz="4800" b="1" i="0" u="none" strike="noStrike" kern="1200" baseline="0">
              <a:solidFill>
                <a:sysClr val="windowText" lastClr="000000"/>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20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13687720</xdr:colOff>
      <xdr:row>0</xdr:row>
      <xdr:rowOff>226244</xdr:rowOff>
    </xdr:from>
    <xdr:to>
      <xdr:col>3</xdr:col>
      <xdr:colOff>2526384</xdr:colOff>
      <xdr:row>2</xdr:row>
      <xdr:rowOff>527901</xdr:rowOff>
    </xdr:to>
    <xdr:sp macro="" textlink="">
      <xdr:nvSpPr>
        <xdr:cNvPr id="3" name="TextBox 2">
          <a:extLst>
            <a:ext uri="{FF2B5EF4-FFF2-40B4-BE49-F238E27FC236}">
              <a16:creationId xmlns:a16="http://schemas.microsoft.com/office/drawing/2014/main" id="{91A08F3E-0734-B974-56EB-A66E3A0E9E1F}"/>
            </a:ext>
          </a:extLst>
        </xdr:cNvPr>
        <xdr:cNvSpPr txBox="1"/>
      </xdr:nvSpPr>
      <xdr:spPr>
        <a:xfrm>
          <a:off x="32956108" y="226244"/>
          <a:ext cx="5580668" cy="26395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SG" sz="2800"/>
            <a:t>Done – Task Complete (Green)</a:t>
          </a:r>
        </a:p>
        <a:p>
          <a:pPr algn="l"/>
          <a:r>
            <a:rPr lang="en-SG" sz="2800"/>
            <a:t>1 – Urgent (Red)</a:t>
          </a:r>
        </a:p>
        <a:p>
          <a:pPr algn="l"/>
          <a:r>
            <a:rPr lang="en-SG" sz="2800"/>
            <a:t>2 – High priority</a:t>
          </a:r>
        </a:p>
        <a:p>
          <a:pPr algn="l"/>
          <a:r>
            <a:rPr lang="en-SG" sz="2800"/>
            <a:t>3 – Medium priority</a:t>
          </a:r>
        </a:p>
        <a:p>
          <a:pPr algn="l"/>
          <a:r>
            <a:rPr lang="en-SG" sz="2800"/>
            <a:t>4 – Low priority</a:t>
          </a:r>
        </a:p>
        <a:p>
          <a:pPr algn="l"/>
          <a:r>
            <a:rPr lang="en-SG" sz="2800"/>
            <a:t>5 – Minimal urgency(light green)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306791</xdr:colOff>
      <xdr:row>13</xdr:row>
      <xdr:rowOff>81414</xdr:rowOff>
    </xdr:from>
    <xdr:to>
      <xdr:col>145</xdr:col>
      <xdr:colOff>377071</xdr:colOff>
      <xdr:row>244</xdr:row>
      <xdr:rowOff>59430</xdr:rowOff>
    </xdr:to>
    <xdr:graphicFrame macro="">
      <xdr:nvGraphicFramePr>
        <xdr:cNvPr id="3" name="Chart 2">
          <a:extLst>
            <a:ext uri="{FF2B5EF4-FFF2-40B4-BE49-F238E27FC236}">
              <a16:creationId xmlns:a16="http://schemas.microsoft.com/office/drawing/2014/main" id="{BC3615AD-CEE0-45F9-A271-5931B4AE4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395926</xdr:colOff>
      <xdr:row>0</xdr:row>
      <xdr:rowOff>0</xdr:rowOff>
    </xdr:from>
    <xdr:to>
      <xdr:col>262</xdr:col>
      <xdr:colOff>377076</xdr:colOff>
      <xdr:row>344</xdr:row>
      <xdr:rowOff>2</xdr:rowOff>
    </xdr:to>
    <xdr:graphicFrame macro="">
      <xdr:nvGraphicFramePr>
        <xdr:cNvPr id="2" name="Chart 1">
          <a:extLst>
            <a:ext uri="{FF2B5EF4-FFF2-40B4-BE49-F238E27FC236}">
              <a16:creationId xmlns:a16="http://schemas.microsoft.com/office/drawing/2014/main" id="{422922B0-6B15-4985-BAD6-857E35E12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113123</xdr:colOff>
      <xdr:row>0</xdr:row>
      <xdr:rowOff>0</xdr:rowOff>
    </xdr:from>
    <xdr:to>
      <xdr:col>111</xdr:col>
      <xdr:colOff>433638</xdr:colOff>
      <xdr:row>209</xdr:row>
      <xdr:rowOff>157127</xdr:rowOff>
    </xdr:to>
    <xdr:graphicFrame macro="">
      <xdr:nvGraphicFramePr>
        <xdr:cNvPr id="2" name="Chart 1">
          <a:extLst>
            <a:ext uri="{FF2B5EF4-FFF2-40B4-BE49-F238E27FC236}">
              <a16:creationId xmlns:a16="http://schemas.microsoft.com/office/drawing/2014/main" id="{71F2DDCA-3BE6-4AF6-9349-B9F170D69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118261</xdr:colOff>
      <xdr:row>13</xdr:row>
      <xdr:rowOff>81414</xdr:rowOff>
    </xdr:from>
    <xdr:to>
      <xdr:col>138</xdr:col>
      <xdr:colOff>37711</xdr:colOff>
      <xdr:row>244</xdr:row>
      <xdr:rowOff>59430</xdr:rowOff>
    </xdr:to>
    <xdr:graphicFrame macro="">
      <xdr:nvGraphicFramePr>
        <xdr:cNvPr id="2" name="Chart 1">
          <a:extLst>
            <a:ext uri="{FF2B5EF4-FFF2-40B4-BE49-F238E27FC236}">
              <a16:creationId xmlns:a16="http://schemas.microsoft.com/office/drawing/2014/main" id="{F03D20EC-E13C-40AF-9077-3D2200CDA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Vertex42 - CalendarBoldBlue">
      <a:dk1>
        <a:sysClr val="windowText" lastClr="000000"/>
      </a:dk1>
      <a:lt1>
        <a:sysClr val="window" lastClr="FFFFFF"/>
      </a:lt1>
      <a:dk2>
        <a:srgbClr val="3A5D9C"/>
      </a:dk2>
      <a:lt2>
        <a:srgbClr val="EEECE2"/>
      </a:lt2>
      <a:accent1>
        <a:srgbClr val="3969AD"/>
      </a:accent1>
      <a:accent2>
        <a:srgbClr val="C04E4E"/>
      </a:accent2>
      <a:accent3>
        <a:srgbClr val="E68422"/>
      </a:accent3>
      <a:accent4>
        <a:srgbClr val="846648"/>
      </a:accent4>
      <a:accent5>
        <a:srgbClr val="26AA26"/>
      </a:accent5>
      <a:accent6>
        <a:srgbClr val="7860B4"/>
      </a:accent6>
      <a:hlink>
        <a:srgbClr val="4C92AE"/>
      </a:hlink>
      <a:folHlink>
        <a:srgbClr val="969696"/>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vertex42.com/ExcelTemplates/excel-gantt-chart.html" TargetMode="Externa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task-list-template.html"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github.com/SALT-NLP/mic/blob/main/LICENSE" TargetMode="External"/><Relationship Id="rId3" Type="http://schemas.openxmlformats.org/officeDocument/2006/relationships/hyperlink" Target="https://arxiv.org/abs/2406.04428" TargetMode="External"/><Relationship Id="rId7" Type="http://schemas.openxmlformats.org/officeDocument/2006/relationships/hyperlink" Target="https://github.com/agiresearch/MoralBench" TargetMode="External"/><Relationship Id="rId12" Type="http://schemas.openxmlformats.org/officeDocument/2006/relationships/hyperlink" Target="https://aclanthology.org/2022.acl-long.261/" TargetMode="External"/><Relationship Id="rId2" Type="http://schemas.openxmlformats.org/officeDocument/2006/relationships/hyperlink" Target="https://aclanthology.org/2024.findings-acl.703.pdf" TargetMode="External"/><Relationship Id="rId1" Type="http://schemas.openxmlformats.org/officeDocument/2006/relationships/hyperlink" Target="https://huggingface.co/datasets/hendrycks/ethics" TargetMode="External"/><Relationship Id="rId6" Type="http://schemas.openxmlformats.org/officeDocument/2006/relationships/hyperlink" Target="https://github.com/tjunlp-lab/CMoralEval/blob/main/LICENSE" TargetMode="External"/><Relationship Id="rId11" Type="http://schemas.openxmlformats.org/officeDocument/2006/relationships/hyperlink" Target="https://arxiv.org/abs/2406.04428" TargetMode="External"/><Relationship Id="rId5" Type="http://schemas.openxmlformats.org/officeDocument/2006/relationships/hyperlink" Target="https://github.com/hendrycks/ethics/blob/main/LICENSE" TargetMode="External"/><Relationship Id="rId10" Type="http://schemas.openxmlformats.org/officeDocument/2006/relationships/hyperlink" Target="https://aclanthology.org/2024.findings-acl.703.pdf" TargetMode="External"/><Relationship Id="rId4" Type="http://schemas.openxmlformats.org/officeDocument/2006/relationships/hyperlink" Target="https://github.com/SALT-NLP/mic" TargetMode="External"/><Relationship Id="rId9" Type="http://schemas.openxmlformats.org/officeDocument/2006/relationships/hyperlink" Target="https://openreview.net/forum?id=dNy_RKzJa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33"/>
  <sheetViews>
    <sheetView showGridLines="0" topLeftCell="C4" zoomScale="25" zoomScaleNormal="25" workbookViewId="0">
      <selection activeCell="V20" sqref="V20"/>
    </sheetView>
  </sheetViews>
  <sheetFormatPr defaultRowHeight="45.3" x14ac:dyDescent="0.6"/>
  <cols>
    <col min="1" max="1" width="198.625" customWidth="1"/>
    <col min="2" max="2" width="181.875" customWidth="1"/>
    <col min="3" max="3" width="40.125" style="60" customWidth="1"/>
    <col min="4" max="4" width="35.625" style="105" customWidth="1"/>
    <col min="5" max="5" width="35.625" style="106" customWidth="1"/>
    <col min="6" max="6" width="42.625" customWidth="1"/>
    <col min="7" max="7" width="36.625" customWidth="1"/>
    <col min="8" max="8" width="13.625" customWidth="1"/>
    <col min="9" max="9" width="23.125" customWidth="1"/>
    <col min="10" max="10" width="42.125" customWidth="1"/>
    <col min="11" max="11" width="41.125" customWidth="1"/>
    <col min="12" max="12" width="35" customWidth="1"/>
    <col min="13" max="13" width="35.125" customWidth="1"/>
    <col min="14" max="15" width="32" customWidth="1"/>
    <col min="16" max="16" width="30.25" bestFit="1" customWidth="1"/>
  </cols>
  <sheetData>
    <row r="1" spans="1:18" ht="90.6" x14ac:dyDescent="1.2">
      <c r="A1" s="26" t="s">
        <v>32</v>
      </c>
      <c r="B1" s="1"/>
      <c r="D1" s="103"/>
      <c r="E1" s="104"/>
      <c r="F1" s="2"/>
      <c r="G1" s="2"/>
      <c r="H1" s="2"/>
      <c r="I1" s="2"/>
      <c r="J1" s="2"/>
      <c r="K1" s="2"/>
      <c r="L1" s="2"/>
      <c r="M1" s="2"/>
      <c r="N1" s="2"/>
      <c r="O1" s="2"/>
      <c r="P1" s="2"/>
    </row>
    <row r="2" spans="1:18" ht="90.6" x14ac:dyDescent="1.2">
      <c r="A2" s="27" t="s">
        <v>33</v>
      </c>
      <c r="M2" s="17" t="s">
        <v>31</v>
      </c>
      <c r="R2" s="12"/>
    </row>
    <row r="3" spans="1:18" ht="46.05" thickBot="1" x14ac:dyDescent="0.65">
      <c r="B3" s="28"/>
      <c r="C3" s="70"/>
      <c r="G3" s="28"/>
      <c r="H3" s="28"/>
      <c r="I3" s="28"/>
      <c r="J3" s="29">
        <v>45921</v>
      </c>
      <c r="K3" s="28"/>
      <c r="L3" s="28"/>
      <c r="M3" s="28"/>
      <c r="N3" s="28"/>
      <c r="O3" s="28"/>
      <c r="P3" s="28"/>
      <c r="R3" s="13"/>
    </row>
    <row r="4" spans="1:18" ht="106.35" customHeight="1" thickBot="1" x14ac:dyDescent="0.25">
      <c r="A4" s="43" t="s">
        <v>14</v>
      </c>
      <c r="B4" s="48" t="s">
        <v>11</v>
      </c>
      <c r="C4" s="66" t="s">
        <v>134</v>
      </c>
      <c r="D4" s="107" t="s">
        <v>13</v>
      </c>
      <c r="E4" s="108" t="s">
        <v>16</v>
      </c>
      <c r="F4" s="71" t="s">
        <v>15</v>
      </c>
      <c r="G4" s="51" t="s">
        <v>133</v>
      </c>
      <c r="H4" s="51"/>
      <c r="I4" s="51"/>
      <c r="J4" s="49" t="s">
        <v>12</v>
      </c>
      <c r="K4" s="49" t="s">
        <v>20</v>
      </c>
      <c r="L4" s="49" t="s">
        <v>17</v>
      </c>
      <c r="M4" s="49" t="s">
        <v>18</v>
      </c>
      <c r="N4" s="49" t="s">
        <v>19</v>
      </c>
      <c r="O4" s="120" t="s">
        <v>166</v>
      </c>
      <c r="P4" s="50" t="s">
        <v>135</v>
      </c>
    </row>
    <row r="5" spans="1:18" s="11" customFormat="1" ht="106.35" customHeight="1" thickBot="1" x14ac:dyDescent="0.25">
      <c r="A5" s="42" t="s">
        <v>40</v>
      </c>
      <c r="B5" s="62" t="s">
        <v>41</v>
      </c>
      <c r="C5" s="67" t="str">
        <f ca="1">IF(E5="","",
 IF(OR(G5=1,G5=100%),"Done",
  6 - MAX(1,MIN(5,
    1+(E5-TODAY()&lt;=30)+(E5-TODAY()&lt;=14)+(E5-TODAY()&lt;=7)+(E5-TODAY()&lt;=3)
    -IF(IF(G5&gt;1,G5/100,G5)&gt;=0.8,2,IF(IF(G5&gt;1,G5/100,G5)&gt;=0.5,1,0))
  ))
 ))</f>
        <v>Done</v>
      </c>
      <c r="D5" s="109">
        <v>45921</v>
      </c>
      <c r="E5" s="110">
        <v>45934</v>
      </c>
      <c r="F5" s="72"/>
      <c r="G5" s="52">
        <v>1</v>
      </c>
      <c r="H5" s="61">
        <f xml:space="preserve"> G5*100</f>
        <v>100</v>
      </c>
      <c r="I5" s="61">
        <f xml:space="preserve"> 100 - H5</f>
        <v>0</v>
      </c>
      <c r="J5" s="44">
        <f t="shared" ref="J5:J28" si="0">$J$3</f>
        <v>45921</v>
      </c>
      <c r="K5" s="45">
        <f t="shared" ref="K5:K28" si="1">IF(ISBLANK(D5),0,D5-J5)</f>
        <v>0</v>
      </c>
      <c r="L5" s="45">
        <f t="shared" ref="L5:L28" si="2">$G5*$P5</f>
        <v>10</v>
      </c>
      <c r="M5" s="45">
        <f>P5-L5</f>
        <v>0</v>
      </c>
      <c r="N5" s="79">
        <f t="shared" ref="N5:N28" si="3">IF(ISBLANK(F5),0,(F5-D5)-P5)</f>
        <v>0</v>
      </c>
      <c r="O5" s="121">
        <f xml:space="preserve"> E5-D5</f>
        <v>13</v>
      </c>
      <c r="P5" s="82">
        <f t="shared" ref="P5:P28" si="4">IF(ISBLANK(E5), 0,
   SIGN(E5-D5) * NETWORKDAYS( D5 + SIGN(E5-D5), E5, $H$2:$H$49 )
)</f>
        <v>10</v>
      </c>
    </row>
    <row r="6" spans="1:18" s="11" customFormat="1" ht="106.35" customHeight="1" thickBot="1" x14ac:dyDescent="0.25">
      <c r="A6" s="24"/>
      <c r="B6" s="63" t="s">
        <v>136</v>
      </c>
      <c r="C6" s="67">
        <f t="shared" ref="C6:C28" ca="1" si="5">IF(E6="","",
 IF(OR(G6=1,G6=100%),"Done",
  6 - MAX(1,MIN(5,
    1+(E6-TODAY()&lt;=30)+(E6-TODAY()&lt;=14)+(E6-TODAY()&lt;=7)+(E6-TODAY()&lt;=3)
    -IF(IF(G6&gt;1,G6/100,G6)&gt;=0.8,2,IF(IF(G6&gt;1,G6/100,G6)&gt;=0.5,1,0))
  ))
 )
)</f>
        <v>2</v>
      </c>
      <c r="D6" s="111">
        <v>45928</v>
      </c>
      <c r="E6" s="112">
        <v>45949</v>
      </c>
      <c r="F6" s="73"/>
      <c r="G6" s="53">
        <v>0.5</v>
      </c>
      <c r="H6" s="61">
        <f t="shared" ref="H6:H28" si="6" xml:space="preserve"> G6*100</f>
        <v>50</v>
      </c>
      <c r="I6" s="61">
        <f t="shared" ref="I6:I28" si="7" xml:space="preserve"> 100 - H6</f>
        <v>50</v>
      </c>
      <c r="J6" s="32">
        <f t="shared" si="0"/>
        <v>45921</v>
      </c>
      <c r="K6" s="33">
        <f t="shared" si="1"/>
        <v>7</v>
      </c>
      <c r="L6" s="33">
        <f t="shared" si="2"/>
        <v>7.5</v>
      </c>
      <c r="M6" s="33">
        <f t="shared" ref="M6:M12" si="8">P6-L6</f>
        <v>7.5</v>
      </c>
      <c r="N6" s="80">
        <f t="shared" si="3"/>
        <v>0</v>
      </c>
      <c r="O6" s="121">
        <f t="shared" ref="O6:O28" si="9" xml:space="preserve"> E6-D6</f>
        <v>21</v>
      </c>
      <c r="P6" s="83">
        <f t="shared" si="4"/>
        <v>15</v>
      </c>
    </row>
    <row r="7" spans="1:18" s="11" customFormat="1" ht="106.35" customHeight="1" thickBot="1" x14ac:dyDescent="0.25">
      <c r="A7" s="24"/>
      <c r="B7" s="63" t="s">
        <v>131</v>
      </c>
      <c r="C7" s="67">
        <f t="shared" ca="1" si="5"/>
        <v>1</v>
      </c>
      <c r="D7" s="111">
        <v>45928</v>
      </c>
      <c r="E7" s="112">
        <v>45949</v>
      </c>
      <c r="F7" s="73"/>
      <c r="G7" s="53">
        <v>0.1</v>
      </c>
      <c r="H7" s="61">
        <f t="shared" si="6"/>
        <v>10</v>
      </c>
      <c r="I7" s="61">
        <f t="shared" si="7"/>
        <v>90</v>
      </c>
      <c r="J7" s="32">
        <f t="shared" si="0"/>
        <v>45921</v>
      </c>
      <c r="K7" s="33">
        <f t="shared" si="1"/>
        <v>7</v>
      </c>
      <c r="L7" s="33">
        <f t="shared" si="2"/>
        <v>1.5</v>
      </c>
      <c r="M7" s="33">
        <f>P7-L7</f>
        <v>13.5</v>
      </c>
      <c r="N7" s="80">
        <f t="shared" si="3"/>
        <v>0</v>
      </c>
      <c r="O7" s="121">
        <f t="shared" si="9"/>
        <v>21</v>
      </c>
      <c r="P7" s="83">
        <f t="shared" si="4"/>
        <v>15</v>
      </c>
    </row>
    <row r="8" spans="1:18" s="11" customFormat="1" ht="106.35" customHeight="1" thickBot="1" x14ac:dyDescent="0.25">
      <c r="A8" s="24"/>
      <c r="B8" s="64" t="s">
        <v>49</v>
      </c>
      <c r="C8" s="67" t="str">
        <f t="shared" ca="1" si="5"/>
        <v>Done</v>
      </c>
      <c r="D8" s="113">
        <v>45944</v>
      </c>
      <c r="E8" s="114">
        <v>45954</v>
      </c>
      <c r="F8" s="74"/>
      <c r="G8" s="54">
        <v>1</v>
      </c>
      <c r="H8" s="61">
        <f t="shared" si="6"/>
        <v>100</v>
      </c>
      <c r="I8" s="61">
        <f t="shared" si="7"/>
        <v>0</v>
      </c>
      <c r="J8" s="46">
        <f t="shared" si="0"/>
        <v>45921</v>
      </c>
      <c r="K8" s="47">
        <f t="shared" si="1"/>
        <v>23</v>
      </c>
      <c r="L8" s="47">
        <f t="shared" si="2"/>
        <v>8</v>
      </c>
      <c r="M8" s="47">
        <f t="shared" si="8"/>
        <v>0</v>
      </c>
      <c r="N8" s="81">
        <f t="shared" si="3"/>
        <v>0</v>
      </c>
      <c r="O8" s="121">
        <f t="shared" si="9"/>
        <v>10</v>
      </c>
      <c r="P8" s="84">
        <f t="shared" si="4"/>
        <v>8</v>
      </c>
    </row>
    <row r="9" spans="1:18" s="11" customFormat="1" ht="106.35" customHeight="1" thickBot="1" x14ac:dyDescent="0.25">
      <c r="A9" s="42" t="s">
        <v>53</v>
      </c>
      <c r="B9" s="62" t="s">
        <v>162</v>
      </c>
      <c r="C9" s="67" t="str">
        <f t="shared" ca="1" si="5"/>
        <v>Done</v>
      </c>
      <c r="D9" s="109">
        <v>45940</v>
      </c>
      <c r="E9" s="110">
        <v>45960</v>
      </c>
      <c r="F9" s="75"/>
      <c r="G9" s="55">
        <v>1</v>
      </c>
      <c r="H9" s="61">
        <f t="shared" si="6"/>
        <v>100</v>
      </c>
      <c r="I9" s="61">
        <f t="shared" si="7"/>
        <v>0</v>
      </c>
      <c r="J9" s="30">
        <f t="shared" si="0"/>
        <v>45921</v>
      </c>
      <c r="K9" s="31">
        <f t="shared" si="1"/>
        <v>19</v>
      </c>
      <c r="L9" s="31">
        <f t="shared" si="2"/>
        <v>14</v>
      </c>
      <c r="M9" s="31">
        <f t="shared" si="8"/>
        <v>0</v>
      </c>
      <c r="N9" s="85">
        <f t="shared" si="3"/>
        <v>0</v>
      </c>
      <c r="O9" s="121">
        <f t="shared" si="9"/>
        <v>20</v>
      </c>
      <c r="P9" s="82">
        <f t="shared" si="4"/>
        <v>14</v>
      </c>
    </row>
    <row r="10" spans="1:18" s="11" customFormat="1" ht="106.35" customHeight="1" thickBot="1" x14ac:dyDescent="0.25">
      <c r="A10" s="24"/>
      <c r="B10" s="63" t="s">
        <v>128</v>
      </c>
      <c r="C10" s="67">
        <f t="shared" ca="1" si="5"/>
        <v>1</v>
      </c>
      <c r="D10" s="111">
        <v>45959</v>
      </c>
      <c r="E10" s="112">
        <v>45961</v>
      </c>
      <c r="F10" s="73"/>
      <c r="G10" s="53">
        <v>0</v>
      </c>
      <c r="H10" s="61">
        <f t="shared" si="6"/>
        <v>0</v>
      </c>
      <c r="I10" s="61">
        <f t="shared" si="7"/>
        <v>100</v>
      </c>
      <c r="J10" s="32">
        <f t="shared" si="0"/>
        <v>45921</v>
      </c>
      <c r="K10" s="33">
        <f t="shared" si="1"/>
        <v>38</v>
      </c>
      <c r="L10" s="33">
        <f t="shared" si="2"/>
        <v>0</v>
      </c>
      <c r="M10" s="33">
        <f t="shared" si="8"/>
        <v>2</v>
      </c>
      <c r="N10" s="80">
        <f t="shared" si="3"/>
        <v>0</v>
      </c>
      <c r="O10" s="121">
        <f t="shared" si="9"/>
        <v>2</v>
      </c>
      <c r="P10" s="83">
        <f t="shared" si="4"/>
        <v>2</v>
      </c>
    </row>
    <row r="11" spans="1:18" s="11" customFormat="1" ht="106.35" customHeight="1" thickBot="1" x14ac:dyDescent="0.25">
      <c r="A11" s="24"/>
      <c r="B11" s="63" t="s">
        <v>129</v>
      </c>
      <c r="C11" s="67">
        <f t="shared" ca="1" si="5"/>
        <v>4</v>
      </c>
      <c r="D11" s="112">
        <v>45961</v>
      </c>
      <c r="E11" s="112">
        <v>45977</v>
      </c>
      <c r="F11" s="73"/>
      <c r="G11" s="53">
        <v>0</v>
      </c>
      <c r="H11" s="61">
        <f t="shared" si="6"/>
        <v>0</v>
      </c>
      <c r="I11" s="61">
        <f t="shared" si="7"/>
        <v>100</v>
      </c>
      <c r="J11" s="32">
        <f t="shared" si="0"/>
        <v>45921</v>
      </c>
      <c r="K11" s="33">
        <f t="shared" si="1"/>
        <v>40</v>
      </c>
      <c r="L11" s="33">
        <f t="shared" si="2"/>
        <v>0</v>
      </c>
      <c r="M11" s="33">
        <f t="shared" si="8"/>
        <v>10</v>
      </c>
      <c r="N11" s="80">
        <f t="shared" si="3"/>
        <v>0</v>
      </c>
      <c r="O11" s="121">
        <f t="shared" si="9"/>
        <v>16</v>
      </c>
      <c r="P11" s="83">
        <f t="shared" si="4"/>
        <v>10</v>
      </c>
    </row>
    <row r="12" spans="1:18" s="11" customFormat="1" ht="106.35" customHeight="1" thickBot="1" x14ac:dyDescent="0.25">
      <c r="A12" s="25"/>
      <c r="B12" s="65" t="s">
        <v>130</v>
      </c>
      <c r="C12" s="67">
        <f t="shared" ca="1" si="5"/>
        <v>4</v>
      </c>
      <c r="D12" s="115">
        <v>45977</v>
      </c>
      <c r="E12" s="116">
        <v>45984</v>
      </c>
      <c r="F12" s="74"/>
      <c r="G12" s="56">
        <v>0</v>
      </c>
      <c r="H12" s="61">
        <f t="shared" si="6"/>
        <v>0</v>
      </c>
      <c r="I12" s="61">
        <f t="shared" si="7"/>
        <v>100</v>
      </c>
      <c r="J12" s="34">
        <f t="shared" si="0"/>
        <v>45921</v>
      </c>
      <c r="K12" s="35">
        <f t="shared" si="1"/>
        <v>56</v>
      </c>
      <c r="L12" s="35">
        <f t="shared" si="2"/>
        <v>0</v>
      </c>
      <c r="M12" s="35">
        <f t="shared" si="8"/>
        <v>5</v>
      </c>
      <c r="N12" s="86">
        <f t="shared" si="3"/>
        <v>0</v>
      </c>
      <c r="O12" s="121">
        <f t="shared" si="9"/>
        <v>7</v>
      </c>
      <c r="P12" s="84">
        <f t="shared" si="4"/>
        <v>5</v>
      </c>
    </row>
    <row r="13" spans="1:18" s="11" customFormat="1" ht="106.35" customHeight="1" thickBot="1" x14ac:dyDescent="0.25">
      <c r="A13" s="42" t="s">
        <v>68</v>
      </c>
      <c r="B13" s="62" t="s">
        <v>163</v>
      </c>
      <c r="C13" s="78">
        <f t="shared" ca="1" si="5"/>
        <v>4</v>
      </c>
      <c r="D13" s="116">
        <v>45984</v>
      </c>
      <c r="E13" s="110">
        <v>45988</v>
      </c>
      <c r="F13" s="75"/>
      <c r="G13" s="55">
        <v>0</v>
      </c>
      <c r="H13" s="61">
        <f t="shared" si="6"/>
        <v>0</v>
      </c>
      <c r="I13" s="61">
        <f t="shared" si="7"/>
        <v>100</v>
      </c>
      <c r="J13" s="30">
        <f t="shared" si="0"/>
        <v>45921</v>
      </c>
      <c r="K13" s="31">
        <f t="shared" si="1"/>
        <v>63</v>
      </c>
      <c r="L13" s="31">
        <f t="shared" si="2"/>
        <v>0</v>
      </c>
      <c r="M13" s="31">
        <f t="shared" ref="M13:M26" si="10">P13-L13</f>
        <v>4</v>
      </c>
      <c r="N13" s="85">
        <f t="shared" si="3"/>
        <v>0</v>
      </c>
      <c r="O13" s="121">
        <f t="shared" si="9"/>
        <v>4</v>
      </c>
      <c r="P13" s="82">
        <f t="shared" si="4"/>
        <v>4</v>
      </c>
    </row>
    <row r="14" spans="1:18" s="11" customFormat="1" ht="106.35" customHeight="1" thickBot="1" x14ac:dyDescent="0.25">
      <c r="A14" s="24"/>
      <c r="B14" s="63" t="s">
        <v>164</v>
      </c>
      <c r="C14" s="78">
        <f t="shared" ca="1" si="5"/>
        <v>5</v>
      </c>
      <c r="D14" s="111">
        <v>45988</v>
      </c>
      <c r="E14" s="112">
        <v>45999</v>
      </c>
      <c r="F14" s="73"/>
      <c r="G14" s="53">
        <v>0</v>
      </c>
      <c r="H14" s="61">
        <f t="shared" si="6"/>
        <v>0</v>
      </c>
      <c r="I14" s="61">
        <f t="shared" si="7"/>
        <v>100</v>
      </c>
      <c r="J14" s="32">
        <f t="shared" si="0"/>
        <v>45921</v>
      </c>
      <c r="K14" s="33">
        <f t="shared" si="1"/>
        <v>67</v>
      </c>
      <c r="L14" s="33">
        <f t="shared" si="2"/>
        <v>0</v>
      </c>
      <c r="M14" s="33">
        <f t="shared" si="10"/>
        <v>7</v>
      </c>
      <c r="N14" s="80">
        <f t="shared" si="3"/>
        <v>0</v>
      </c>
      <c r="O14" s="121">
        <f t="shared" si="9"/>
        <v>11</v>
      </c>
      <c r="P14" s="83">
        <f t="shared" si="4"/>
        <v>7</v>
      </c>
    </row>
    <row r="15" spans="1:18" s="11" customFormat="1" ht="106.35" customHeight="1" thickBot="1" x14ac:dyDescent="0.25">
      <c r="A15" s="25"/>
      <c r="B15" s="65" t="s">
        <v>76</v>
      </c>
      <c r="C15" s="78">
        <f t="shared" ca="1" si="5"/>
        <v>5</v>
      </c>
      <c r="D15" s="113">
        <v>45994</v>
      </c>
      <c r="E15" s="114">
        <v>45995</v>
      </c>
      <c r="F15" s="74"/>
      <c r="G15" s="56">
        <v>0</v>
      </c>
      <c r="H15" s="61">
        <f t="shared" si="6"/>
        <v>0</v>
      </c>
      <c r="I15" s="61">
        <f t="shared" si="7"/>
        <v>100</v>
      </c>
      <c r="J15" s="34">
        <f t="shared" si="0"/>
        <v>45921</v>
      </c>
      <c r="K15" s="35">
        <f t="shared" si="1"/>
        <v>73</v>
      </c>
      <c r="L15" s="35">
        <f t="shared" si="2"/>
        <v>0</v>
      </c>
      <c r="M15" s="35">
        <f t="shared" si="10"/>
        <v>1</v>
      </c>
      <c r="N15" s="86">
        <f t="shared" si="3"/>
        <v>0</v>
      </c>
      <c r="O15" s="121">
        <f t="shared" si="9"/>
        <v>1</v>
      </c>
      <c r="P15" s="87">
        <f t="shared" si="4"/>
        <v>1</v>
      </c>
    </row>
    <row r="16" spans="1:18" s="11" customFormat="1" ht="106.35" customHeight="1" thickBot="1" x14ac:dyDescent="0.25">
      <c r="A16" s="42" t="s">
        <v>80</v>
      </c>
      <c r="B16" s="62" t="s">
        <v>165</v>
      </c>
      <c r="C16" s="67">
        <f t="shared" ca="1" si="5"/>
        <v>5</v>
      </c>
      <c r="D16" s="114">
        <v>45995</v>
      </c>
      <c r="E16" s="117">
        <v>46044</v>
      </c>
      <c r="F16" s="75"/>
      <c r="G16" s="55">
        <v>0</v>
      </c>
      <c r="H16" s="61">
        <f t="shared" si="6"/>
        <v>0</v>
      </c>
      <c r="I16" s="61">
        <f t="shared" si="7"/>
        <v>100</v>
      </c>
      <c r="J16" s="30">
        <f t="shared" si="0"/>
        <v>45921</v>
      </c>
      <c r="K16" s="31">
        <f t="shared" si="1"/>
        <v>74</v>
      </c>
      <c r="L16" s="31">
        <f t="shared" si="2"/>
        <v>0</v>
      </c>
      <c r="M16" s="31">
        <f t="shared" si="10"/>
        <v>35</v>
      </c>
      <c r="N16" s="85">
        <f t="shared" si="3"/>
        <v>0</v>
      </c>
      <c r="O16" s="121">
        <f t="shared" si="9"/>
        <v>49</v>
      </c>
      <c r="P16" s="82">
        <f t="shared" si="4"/>
        <v>35</v>
      </c>
    </row>
    <row r="17" spans="1:16" s="11" customFormat="1" ht="106.35" customHeight="1" thickBot="1" x14ac:dyDescent="0.25">
      <c r="A17" s="24"/>
      <c r="B17" s="63" t="s">
        <v>87</v>
      </c>
      <c r="C17" s="67">
        <f t="shared" ca="1" si="5"/>
        <v>5</v>
      </c>
      <c r="D17" s="117">
        <v>46044</v>
      </c>
      <c r="E17" s="112">
        <v>46097</v>
      </c>
      <c r="F17" s="73"/>
      <c r="G17" s="53">
        <v>0</v>
      </c>
      <c r="H17" s="61">
        <f t="shared" si="6"/>
        <v>0</v>
      </c>
      <c r="I17" s="61">
        <f t="shared" si="7"/>
        <v>100</v>
      </c>
      <c r="J17" s="32">
        <f t="shared" si="0"/>
        <v>45921</v>
      </c>
      <c r="K17" s="33">
        <f t="shared" si="1"/>
        <v>123</v>
      </c>
      <c r="L17" s="33">
        <f t="shared" si="2"/>
        <v>0</v>
      </c>
      <c r="M17" s="33">
        <f t="shared" si="10"/>
        <v>37</v>
      </c>
      <c r="N17" s="80">
        <f t="shared" si="3"/>
        <v>0</v>
      </c>
      <c r="O17" s="121">
        <f t="shared" si="9"/>
        <v>53</v>
      </c>
      <c r="P17" s="83">
        <f t="shared" si="4"/>
        <v>37</v>
      </c>
    </row>
    <row r="18" spans="1:16" s="11" customFormat="1" ht="106.35" customHeight="1" thickBot="1" x14ac:dyDescent="0.25">
      <c r="A18" s="25"/>
      <c r="B18" s="65" t="s">
        <v>90</v>
      </c>
      <c r="C18" s="67">
        <f t="shared" ca="1" si="5"/>
        <v>5</v>
      </c>
      <c r="D18" s="113">
        <v>46092</v>
      </c>
      <c r="E18" s="114">
        <v>46101</v>
      </c>
      <c r="F18" s="74"/>
      <c r="G18" s="56">
        <v>0</v>
      </c>
      <c r="H18" s="61">
        <f t="shared" si="6"/>
        <v>0</v>
      </c>
      <c r="I18" s="61">
        <f t="shared" si="7"/>
        <v>100</v>
      </c>
      <c r="J18" s="34">
        <f t="shared" si="0"/>
        <v>45921</v>
      </c>
      <c r="K18" s="35">
        <f t="shared" si="1"/>
        <v>171</v>
      </c>
      <c r="L18" s="35">
        <f t="shared" si="2"/>
        <v>0</v>
      </c>
      <c r="M18" s="35">
        <f t="shared" si="10"/>
        <v>7</v>
      </c>
      <c r="N18" s="86">
        <f t="shared" si="3"/>
        <v>0</v>
      </c>
      <c r="O18" s="121">
        <f t="shared" si="9"/>
        <v>9</v>
      </c>
      <c r="P18" s="84">
        <f t="shared" si="4"/>
        <v>7</v>
      </c>
    </row>
    <row r="19" spans="1:16" s="11" customFormat="1" ht="106.35" customHeight="1" thickBot="1" x14ac:dyDescent="0.25">
      <c r="A19" s="42" t="s">
        <v>94</v>
      </c>
      <c r="B19" s="62" t="s">
        <v>95</v>
      </c>
      <c r="C19" s="67">
        <f t="shared" ca="1" si="5"/>
        <v>5</v>
      </c>
      <c r="D19" s="109">
        <v>46101</v>
      </c>
      <c r="E19" s="110">
        <v>46105</v>
      </c>
      <c r="F19" s="75"/>
      <c r="G19" s="55">
        <v>0</v>
      </c>
      <c r="H19" s="61">
        <f t="shared" si="6"/>
        <v>0</v>
      </c>
      <c r="I19" s="61">
        <f t="shared" si="7"/>
        <v>100</v>
      </c>
      <c r="J19" s="30">
        <f t="shared" si="0"/>
        <v>45921</v>
      </c>
      <c r="K19" s="31">
        <f t="shared" si="1"/>
        <v>180</v>
      </c>
      <c r="L19" s="31">
        <f t="shared" si="2"/>
        <v>0</v>
      </c>
      <c r="M19" s="31">
        <f t="shared" si="10"/>
        <v>2</v>
      </c>
      <c r="N19" s="85">
        <f t="shared" si="3"/>
        <v>0</v>
      </c>
      <c r="O19" s="121">
        <f t="shared" si="9"/>
        <v>4</v>
      </c>
      <c r="P19" s="82">
        <f t="shared" si="4"/>
        <v>2</v>
      </c>
    </row>
    <row r="20" spans="1:16" s="11" customFormat="1" ht="106.35" customHeight="1" thickBot="1" x14ac:dyDescent="0.25">
      <c r="A20" s="24"/>
      <c r="B20" s="63" t="s">
        <v>99</v>
      </c>
      <c r="C20" s="67">
        <f t="shared" ca="1" si="5"/>
        <v>5</v>
      </c>
      <c r="D20" s="111">
        <v>46105</v>
      </c>
      <c r="E20" s="112">
        <v>46125</v>
      </c>
      <c r="F20" s="73"/>
      <c r="G20" s="53">
        <v>0</v>
      </c>
      <c r="H20" s="61">
        <f t="shared" si="6"/>
        <v>0</v>
      </c>
      <c r="I20" s="61">
        <f t="shared" si="7"/>
        <v>100</v>
      </c>
      <c r="J20" s="32">
        <f t="shared" si="0"/>
        <v>45921</v>
      </c>
      <c r="K20" s="33">
        <f t="shared" si="1"/>
        <v>184</v>
      </c>
      <c r="L20" s="33">
        <f t="shared" si="2"/>
        <v>0</v>
      </c>
      <c r="M20" s="33">
        <f t="shared" si="10"/>
        <v>14</v>
      </c>
      <c r="N20" s="80">
        <f t="shared" si="3"/>
        <v>0</v>
      </c>
      <c r="O20" s="121">
        <f t="shared" si="9"/>
        <v>20</v>
      </c>
      <c r="P20" s="83">
        <f t="shared" si="4"/>
        <v>14</v>
      </c>
    </row>
    <row r="21" spans="1:16" s="11" customFormat="1" ht="106.35" customHeight="1" thickBot="1" x14ac:dyDescent="0.25">
      <c r="A21" s="25"/>
      <c r="B21" s="65" t="s">
        <v>103</v>
      </c>
      <c r="C21" s="67">
        <f t="shared" ca="1" si="5"/>
        <v>5</v>
      </c>
      <c r="D21" s="113">
        <v>46110</v>
      </c>
      <c r="E21" s="114">
        <v>46130</v>
      </c>
      <c r="F21" s="74"/>
      <c r="G21" s="56">
        <v>0</v>
      </c>
      <c r="H21" s="61">
        <f t="shared" si="6"/>
        <v>0</v>
      </c>
      <c r="I21" s="61">
        <f t="shared" si="7"/>
        <v>100</v>
      </c>
      <c r="J21" s="34">
        <f t="shared" si="0"/>
        <v>45921</v>
      </c>
      <c r="K21" s="35">
        <f t="shared" si="1"/>
        <v>189</v>
      </c>
      <c r="L21" s="35">
        <f t="shared" si="2"/>
        <v>0</v>
      </c>
      <c r="M21" s="35">
        <f t="shared" si="10"/>
        <v>15</v>
      </c>
      <c r="N21" s="86">
        <f t="shared" si="3"/>
        <v>0</v>
      </c>
      <c r="O21" s="121">
        <f t="shared" si="9"/>
        <v>20</v>
      </c>
      <c r="P21" s="84">
        <f t="shared" si="4"/>
        <v>15</v>
      </c>
    </row>
    <row r="22" spans="1:16" s="11" customFormat="1" ht="106.35" customHeight="1" thickBot="1" x14ac:dyDescent="0.25">
      <c r="A22" s="42" t="s">
        <v>106</v>
      </c>
      <c r="B22" s="62" t="s">
        <v>107</v>
      </c>
      <c r="C22" s="67">
        <f t="shared" ca="1" si="5"/>
        <v>5</v>
      </c>
      <c r="D22" s="109">
        <v>46125</v>
      </c>
      <c r="E22" s="110">
        <v>46136</v>
      </c>
      <c r="F22" s="75"/>
      <c r="G22" s="55">
        <v>0</v>
      </c>
      <c r="H22" s="61">
        <f t="shared" si="6"/>
        <v>0</v>
      </c>
      <c r="I22" s="61">
        <f t="shared" si="7"/>
        <v>100</v>
      </c>
      <c r="J22" s="30">
        <f t="shared" si="0"/>
        <v>45921</v>
      </c>
      <c r="K22" s="31">
        <f t="shared" si="1"/>
        <v>204</v>
      </c>
      <c r="L22" s="31">
        <f t="shared" si="2"/>
        <v>0</v>
      </c>
      <c r="M22" s="31">
        <f t="shared" si="10"/>
        <v>9</v>
      </c>
      <c r="N22" s="85">
        <f t="shared" si="3"/>
        <v>0</v>
      </c>
      <c r="O22" s="121">
        <f t="shared" si="9"/>
        <v>11</v>
      </c>
      <c r="P22" s="82">
        <f t="shared" si="4"/>
        <v>9</v>
      </c>
    </row>
    <row r="23" spans="1:16" s="11" customFormat="1" ht="106.35" customHeight="1" thickBot="1" x14ac:dyDescent="0.25">
      <c r="A23" s="25"/>
      <c r="B23" s="65" t="s">
        <v>110</v>
      </c>
      <c r="C23" s="67">
        <f t="shared" ca="1" si="5"/>
        <v>5</v>
      </c>
      <c r="D23" s="113">
        <v>46132</v>
      </c>
      <c r="E23" s="114">
        <v>46141</v>
      </c>
      <c r="F23" s="74"/>
      <c r="G23" s="56">
        <v>0</v>
      </c>
      <c r="H23" s="61">
        <f t="shared" si="6"/>
        <v>0</v>
      </c>
      <c r="I23" s="61">
        <f t="shared" si="7"/>
        <v>100</v>
      </c>
      <c r="J23" s="34">
        <f t="shared" si="0"/>
        <v>45921</v>
      </c>
      <c r="K23" s="35">
        <f t="shared" si="1"/>
        <v>211</v>
      </c>
      <c r="L23" s="35">
        <f t="shared" si="2"/>
        <v>0</v>
      </c>
      <c r="M23" s="35">
        <f t="shared" si="10"/>
        <v>7</v>
      </c>
      <c r="N23" s="86">
        <f t="shared" si="3"/>
        <v>0</v>
      </c>
      <c r="O23" s="121">
        <f t="shared" si="9"/>
        <v>9</v>
      </c>
      <c r="P23" s="84">
        <f t="shared" si="4"/>
        <v>7</v>
      </c>
    </row>
    <row r="24" spans="1:16" s="11" customFormat="1" ht="106.35" customHeight="1" thickBot="1" x14ac:dyDescent="0.25">
      <c r="A24" s="42" t="s">
        <v>114</v>
      </c>
      <c r="B24" s="62" t="s">
        <v>115</v>
      </c>
      <c r="C24" s="67">
        <f t="shared" ca="1" si="5"/>
        <v>5</v>
      </c>
      <c r="D24" s="109">
        <v>46115</v>
      </c>
      <c r="E24" s="110">
        <v>46141</v>
      </c>
      <c r="F24" s="75"/>
      <c r="G24" s="55">
        <v>0</v>
      </c>
      <c r="H24" s="61">
        <f t="shared" si="6"/>
        <v>0</v>
      </c>
      <c r="I24" s="61">
        <f t="shared" si="7"/>
        <v>100</v>
      </c>
      <c r="J24" s="30">
        <f t="shared" si="0"/>
        <v>45921</v>
      </c>
      <c r="K24" s="31">
        <f t="shared" si="1"/>
        <v>194</v>
      </c>
      <c r="L24" s="31">
        <f t="shared" si="2"/>
        <v>0</v>
      </c>
      <c r="M24" s="31">
        <f t="shared" si="10"/>
        <v>18</v>
      </c>
      <c r="N24" s="85">
        <f t="shared" si="3"/>
        <v>0</v>
      </c>
      <c r="O24" s="121">
        <f t="shared" si="9"/>
        <v>26</v>
      </c>
      <c r="P24" s="82">
        <f t="shared" si="4"/>
        <v>18</v>
      </c>
    </row>
    <row r="25" spans="1:16" s="11" customFormat="1" ht="106.35" customHeight="1" thickBot="1" x14ac:dyDescent="0.25">
      <c r="A25" s="24"/>
      <c r="B25" s="63" t="s">
        <v>118</v>
      </c>
      <c r="C25" s="67">
        <f t="shared" ca="1" si="5"/>
        <v>5</v>
      </c>
      <c r="D25" s="111">
        <v>46125</v>
      </c>
      <c r="E25" s="112">
        <v>46146</v>
      </c>
      <c r="F25" s="73"/>
      <c r="G25" s="53">
        <v>0</v>
      </c>
      <c r="H25" s="61">
        <f t="shared" si="6"/>
        <v>0</v>
      </c>
      <c r="I25" s="61">
        <f t="shared" si="7"/>
        <v>100</v>
      </c>
      <c r="J25" s="32">
        <f t="shared" si="0"/>
        <v>45921</v>
      </c>
      <c r="K25" s="33">
        <f t="shared" si="1"/>
        <v>204</v>
      </c>
      <c r="L25" s="33">
        <f t="shared" si="2"/>
        <v>0</v>
      </c>
      <c r="M25" s="33">
        <f t="shared" si="10"/>
        <v>15</v>
      </c>
      <c r="N25" s="80">
        <f t="shared" si="3"/>
        <v>0</v>
      </c>
      <c r="O25" s="121">
        <f t="shared" si="9"/>
        <v>21</v>
      </c>
      <c r="P25" s="83">
        <f t="shared" si="4"/>
        <v>15</v>
      </c>
    </row>
    <row r="26" spans="1:16" s="11" customFormat="1" ht="106.35" customHeight="1" thickBot="1" x14ac:dyDescent="0.25">
      <c r="A26" s="24"/>
      <c r="B26" s="64" t="s">
        <v>121</v>
      </c>
      <c r="C26" s="67">
        <f t="shared" ca="1" si="5"/>
        <v>5</v>
      </c>
      <c r="D26" s="115">
        <v>46141</v>
      </c>
      <c r="E26" s="116">
        <v>46161</v>
      </c>
      <c r="F26" s="76"/>
      <c r="G26" s="54">
        <v>0</v>
      </c>
      <c r="H26" s="61">
        <f t="shared" si="6"/>
        <v>0</v>
      </c>
      <c r="I26" s="61">
        <f t="shared" si="7"/>
        <v>100</v>
      </c>
      <c r="J26" s="46">
        <f t="shared" si="0"/>
        <v>45921</v>
      </c>
      <c r="K26" s="47">
        <f t="shared" si="1"/>
        <v>220</v>
      </c>
      <c r="L26" s="47">
        <f t="shared" si="2"/>
        <v>0</v>
      </c>
      <c r="M26" s="47">
        <f t="shared" si="10"/>
        <v>14</v>
      </c>
      <c r="N26" s="81">
        <f t="shared" si="3"/>
        <v>0</v>
      </c>
      <c r="O26" s="121">
        <f t="shared" si="9"/>
        <v>20</v>
      </c>
      <c r="P26" s="84">
        <f t="shared" si="4"/>
        <v>14</v>
      </c>
    </row>
    <row r="27" spans="1:16" s="11" customFormat="1" ht="106.35" customHeight="1" thickBot="1" x14ac:dyDescent="0.25">
      <c r="A27" s="42" t="s">
        <v>127</v>
      </c>
      <c r="B27" s="68" t="s">
        <v>126</v>
      </c>
      <c r="C27" s="67">
        <f t="shared" ca="1" si="5"/>
        <v>1</v>
      </c>
      <c r="D27" s="109">
        <v>45959</v>
      </c>
      <c r="E27" s="110">
        <v>45960</v>
      </c>
      <c r="F27" s="72">
        <v>45960</v>
      </c>
      <c r="G27" s="57">
        <v>0</v>
      </c>
      <c r="H27" s="61">
        <f t="shared" si="6"/>
        <v>0</v>
      </c>
      <c r="I27" s="61">
        <f t="shared" si="7"/>
        <v>100</v>
      </c>
      <c r="J27" s="30">
        <f t="shared" si="0"/>
        <v>45921</v>
      </c>
      <c r="K27" s="31">
        <f t="shared" si="1"/>
        <v>38</v>
      </c>
      <c r="L27" s="31">
        <f t="shared" si="2"/>
        <v>0</v>
      </c>
      <c r="M27" s="31">
        <f>P27-L27</f>
        <v>1</v>
      </c>
      <c r="N27" s="85">
        <f t="shared" si="3"/>
        <v>0</v>
      </c>
      <c r="O27" s="121">
        <f t="shared" si="9"/>
        <v>1</v>
      </c>
      <c r="P27" s="82">
        <f t="shared" si="4"/>
        <v>1</v>
      </c>
    </row>
    <row r="28" spans="1:16" s="11" customFormat="1" ht="109.15" customHeight="1" thickBot="1" x14ac:dyDescent="0.25">
      <c r="A28" s="59"/>
      <c r="B28" s="69" t="s">
        <v>132</v>
      </c>
      <c r="C28" s="67">
        <f t="shared" ca="1" si="5"/>
        <v>5</v>
      </c>
      <c r="D28" s="113">
        <v>46202</v>
      </c>
      <c r="E28" s="114">
        <v>46203</v>
      </c>
      <c r="F28" s="77">
        <v>45960</v>
      </c>
      <c r="G28" s="58">
        <v>0</v>
      </c>
      <c r="H28" s="61">
        <f t="shared" si="6"/>
        <v>0</v>
      </c>
      <c r="I28" s="61">
        <f t="shared" si="7"/>
        <v>100</v>
      </c>
      <c r="J28" s="34">
        <f t="shared" si="0"/>
        <v>45921</v>
      </c>
      <c r="K28" s="35">
        <f t="shared" si="1"/>
        <v>281</v>
      </c>
      <c r="L28" s="35">
        <f t="shared" si="2"/>
        <v>0</v>
      </c>
      <c r="M28" s="35">
        <f>P28-L28</f>
        <v>1</v>
      </c>
      <c r="N28" s="86">
        <f t="shared" si="3"/>
        <v>-243</v>
      </c>
      <c r="O28" s="121">
        <f t="shared" si="9"/>
        <v>1</v>
      </c>
      <c r="P28" s="84">
        <f t="shared" si="4"/>
        <v>1</v>
      </c>
    </row>
    <row r="29" spans="1:16" s="11" customFormat="1" ht="46.05" thickBot="1" x14ac:dyDescent="0.25">
      <c r="A29" s="23"/>
      <c r="B29" s="36"/>
      <c r="C29" s="37"/>
      <c r="D29" s="118"/>
      <c r="E29" s="119"/>
      <c r="F29" s="38"/>
      <c r="G29" s="39"/>
      <c r="H29" s="39"/>
      <c r="I29" s="39"/>
      <c r="J29" s="38"/>
      <c r="K29" s="40"/>
      <c r="L29" s="40"/>
      <c r="M29" s="40"/>
      <c r="N29" s="40"/>
      <c r="O29" s="40"/>
      <c r="P29" s="41"/>
    </row>
    <row r="33" spans="14:15" x14ac:dyDescent="0.6">
      <c r="N33" s="17" t="s">
        <v>30</v>
      </c>
      <c r="O33" s="17"/>
    </row>
  </sheetData>
  <conditionalFormatting sqref="C2:C1048576">
    <cfRule type="colorScale" priority="2">
      <colorScale>
        <cfvo type="num" val="1"/>
        <cfvo type="num" val="5"/>
        <color rgb="FFFF3300"/>
        <color rgb="FF2CC62C"/>
      </colorScale>
    </cfRule>
  </conditionalFormatting>
  <conditionalFormatting sqref="C5:C1048576">
    <cfRule type="containsText" dxfId="1" priority="1" operator="containsText" text="Done">
      <formula>NOT(ISERROR(SEARCH("Done",C5)))</formula>
    </cfRule>
  </conditionalFormatting>
  <conditionalFormatting sqref="G5:I29">
    <cfRule type="dataBar" priority="7">
      <dataBar>
        <cfvo type="num" val="0"/>
        <cfvo type="num" val="1"/>
        <color theme="8" tint="0.39997558519241921"/>
      </dataBar>
      <extLst>
        <ext xmlns:x14="http://schemas.microsoft.com/office/spreadsheetml/2009/9/main" uri="{B025F937-C7B1-47D3-B67F-A62EFF666E3E}">
          <x14:id>{C418AF5D-1E15-4890-9C99-E5C9D08F1B88}</x14:id>
        </ext>
      </extLst>
    </cfRule>
  </conditionalFormatting>
  <pageMargins left="0.5" right="0.5" top="0.5" bottom="0.5" header="0.3" footer="0.3"/>
  <pageSetup scale="82" fitToHeight="0" orientation="landscape" r:id="rId1"/>
  <headerFooter scaleWithDoc="0">
    <oddFooter>&amp;L&amp;"Arial,Regular"&amp;9&amp;K01+045https://www.vertex42.com/ExcelTemplates/task-list-template.html&amp;R&amp;"Arial,Regular"&amp;9&amp;K01+045Project Task List Template © 2017 by Vertex42.com</oddFooter>
  </headerFooter>
  <drawing r:id="rId2"/>
  <extLst>
    <ext xmlns:x14="http://schemas.microsoft.com/office/spreadsheetml/2009/9/main" uri="{78C0D931-6437-407d-A8EE-F0AAD7539E65}">
      <x14:conditionalFormattings>
        <x14:conditionalFormatting xmlns:xm="http://schemas.microsoft.com/office/excel/2006/main">
          <x14:cfRule type="dataBar" id="{C418AF5D-1E15-4890-9C99-E5C9D08F1B88}">
            <x14:dataBar minLength="0" maxLength="100" gradient="0">
              <x14:cfvo type="num">
                <xm:f>0</xm:f>
              </x14:cfvo>
              <x14:cfvo type="num">
                <xm:f>1</xm:f>
              </x14:cfvo>
              <x14:negativeFillColor rgb="FFFF0000"/>
              <x14:axisColor rgb="FF000000"/>
            </x14:dataBar>
          </x14:cfRule>
          <xm:sqref>G5:I29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B08A8-FC23-4E46-B597-FEC92FD8A8DC}">
  <dimension ref="F1:F23"/>
  <sheetViews>
    <sheetView tabSelected="1" zoomScale="10" zoomScaleNormal="10" workbookViewId="0">
      <selection activeCell="EZ93" sqref="EZ93"/>
    </sheetView>
  </sheetViews>
  <sheetFormatPr defaultRowHeight="14.1" x14ac:dyDescent="0.2"/>
  <cols>
    <col min="6" max="6" width="29.875" bestFit="1" customWidth="1"/>
  </cols>
  <sheetData>
    <row r="1" spans="6:6" x14ac:dyDescent="0.2">
      <c r="F1" t="s">
        <v>124</v>
      </c>
    </row>
    <row r="2" spans="6:6" x14ac:dyDescent="0.2">
      <c r="F2">
        <f xml:space="preserve"> ROUNDUP(E2*7,0)</f>
        <v>0</v>
      </c>
    </row>
    <row r="3" spans="6:6" x14ac:dyDescent="0.2">
      <c r="F3">
        <f t="shared" ref="F3:F23" si="0" xml:space="preserve"> ROUNDUP(E3*7,0)</f>
        <v>0</v>
      </c>
    </row>
    <row r="4" spans="6:6" x14ac:dyDescent="0.2">
      <c r="F4">
        <f t="shared" si="0"/>
        <v>0</v>
      </c>
    </row>
    <row r="5" spans="6:6" x14ac:dyDescent="0.2">
      <c r="F5">
        <f t="shared" si="0"/>
        <v>0</v>
      </c>
    </row>
    <row r="6" spans="6:6" x14ac:dyDescent="0.2">
      <c r="F6">
        <f t="shared" si="0"/>
        <v>0</v>
      </c>
    </row>
    <row r="7" spans="6:6" x14ac:dyDescent="0.2">
      <c r="F7">
        <f t="shared" si="0"/>
        <v>0</v>
      </c>
    </row>
    <row r="8" spans="6:6" x14ac:dyDescent="0.2">
      <c r="F8">
        <f t="shared" si="0"/>
        <v>0</v>
      </c>
    </row>
    <row r="9" spans="6:6" x14ac:dyDescent="0.2">
      <c r="F9">
        <f t="shared" si="0"/>
        <v>0</v>
      </c>
    </row>
    <row r="10" spans="6:6" x14ac:dyDescent="0.2">
      <c r="F10">
        <f t="shared" si="0"/>
        <v>0</v>
      </c>
    </row>
    <row r="11" spans="6:6" x14ac:dyDescent="0.2">
      <c r="F11">
        <f t="shared" si="0"/>
        <v>0</v>
      </c>
    </row>
    <row r="12" spans="6:6" x14ac:dyDescent="0.2">
      <c r="F12">
        <f t="shared" si="0"/>
        <v>0</v>
      </c>
    </row>
    <row r="13" spans="6:6" x14ac:dyDescent="0.2">
      <c r="F13">
        <f t="shared" si="0"/>
        <v>0</v>
      </c>
    </row>
    <row r="14" spans="6:6" x14ac:dyDescent="0.2">
      <c r="F14">
        <f t="shared" si="0"/>
        <v>0</v>
      </c>
    </row>
    <row r="15" spans="6:6" x14ac:dyDescent="0.2">
      <c r="F15">
        <f t="shared" si="0"/>
        <v>0</v>
      </c>
    </row>
    <row r="16" spans="6:6" x14ac:dyDescent="0.2">
      <c r="F16">
        <f t="shared" si="0"/>
        <v>0</v>
      </c>
    </row>
    <row r="17" spans="6:6" x14ac:dyDescent="0.2">
      <c r="F17">
        <f t="shared" si="0"/>
        <v>0</v>
      </c>
    </row>
    <row r="18" spans="6:6" x14ac:dyDescent="0.2">
      <c r="F18">
        <f t="shared" si="0"/>
        <v>0</v>
      </c>
    </row>
    <row r="19" spans="6:6" x14ac:dyDescent="0.2">
      <c r="F19">
        <f t="shared" si="0"/>
        <v>0</v>
      </c>
    </row>
    <row r="20" spans="6:6" x14ac:dyDescent="0.2">
      <c r="F20">
        <f t="shared" si="0"/>
        <v>0</v>
      </c>
    </row>
    <row r="21" spans="6:6" x14ac:dyDescent="0.2">
      <c r="F21">
        <f t="shared" si="0"/>
        <v>0</v>
      </c>
    </row>
    <row r="22" spans="6:6" x14ac:dyDescent="0.2">
      <c r="F22">
        <f t="shared" si="0"/>
        <v>0</v>
      </c>
    </row>
    <row r="23" spans="6:6" x14ac:dyDescent="0.2">
      <c r="F23">
        <f t="shared" si="0"/>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EA07-EE19-46B0-AC29-5F1A39F81E22}">
  <dimension ref="F1:F23"/>
  <sheetViews>
    <sheetView topLeftCell="A14" zoomScale="10" zoomScaleNormal="10" workbookViewId="0">
      <selection activeCell="CQ22" sqref="CQ1:CQ1048576"/>
    </sheetView>
  </sheetViews>
  <sheetFormatPr defaultRowHeight="14.1" x14ac:dyDescent="0.2"/>
  <cols>
    <col min="6" max="6" width="29.875" bestFit="1" customWidth="1"/>
    <col min="248" max="248" width="9" customWidth="1"/>
  </cols>
  <sheetData>
    <row r="1" spans="6:6" x14ac:dyDescent="0.2">
      <c r="F1" t="s">
        <v>124</v>
      </c>
    </row>
    <row r="2" spans="6:6" x14ac:dyDescent="0.2">
      <c r="F2">
        <f xml:space="preserve"> ROUNDUP(E2*7,0)</f>
        <v>0</v>
      </c>
    </row>
    <row r="3" spans="6:6" x14ac:dyDescent="0.2">
      <c r="F3">
        <f t="shared" ref="F3:F23" si="0" xml:space="preserve"> ROUNDUP(E3*7,0)</f>
        <v>0</v>
      </c>
    </row>
    <row r="4" spans="6:6" x14ac:dyDescent="0.2">
      <c r="F4">
        <f t="shared" si="0"/>
        <v>0</v>
      </c>
    </row>
    <row r="5" spans="6:6" x14ac:dyDescent="0.2">
      <c r="F5">
        <f t="shared" si="0"/>
        <v>0</v>
      </c>
    </row>
    <row r="6" spans="6:6" x14ac:dyDescent="0.2">
      <c r="F6">
        <f t="shared" si="0"/>
        <v>0</v>
      </c>
    </row>
    <row r="7" spans="6:6" x14ac:dyDescent="0.2">
      <c r="F7">
        <f t="shared" si="0"/>
        <v>0</v>
      </c>
    </row>
    <row r="8" spans="6:6" x14ac:dyDescent="0.2">
      <c r="F8">
        <f t="shared" si="0"/>
        <v>0</v>
      </c>
    </row>
    <row r="9" spans="6:6" x14ac:dyDescent="0.2">
      <c r="F9">
        <f t="shared" si="0"/>
        <v>0</v>
      </c>
    </row>
    <row r="10" spans="6:6" x14ac:dyDescent="0.2">
      <c r="F10">
        <f t="shared" si="0"/>
        <v>0</v>
      </c>
    </row>
    <row r="11" spans="6:6" x14ac:dyDescent="0.2">
      <c r="F11">
        <f t="shared" si="0"/>
        <v>0</v>
      </c>
    </row>
    <row r="12" spans="6:6" x14ac:dyDescent="0.2">
      <c r="F12">
        <f t="shared" si="0"/>
        <v>0</v>
      </c>
    </row>
    <row r="13" spans="6:6" x14ac:dyDescent="0.2">
      <c r="F13">
        <f t="shared" si="0"/>
        <v>0</v>
      </c>
    </row>
    <row r="14" spans="6:6" x14ac:dyDescent="0.2">
      <c r="F14">
        <f t="shared" si="0"/>
        <v>0</v>
      </c>
    </row>
    <row r="15" spans="6:6" x14ac:dyDescent="0.2">
      <c r="F15">
        <f t="shared" si="0"/>
        <v>0</v>
      </c>
    </row>
    <row r="16" spans="6:6" x14ac:dyDescent="0.2">
      <c r="F16">
        <f t="shared" si="0"/>
        <v>0</v>
      </c>
    </row>
    <row r="17" spans="6:6" x14ac:dyDescent="0.2">
      <c r="F17">
        <f t="shared" si="0"/>
        <v>0</v>
      </c>
    </row>
    <row r="18" spans="6:6" x14ac:dyDescent="0.2">
      <c r="F18">
        <f t="shared" si="0"/>
        <v>0</v>
      </c>
    </row>
    <row r="19" spans="6:6" x14ac:dyDescent="0.2">
      <c r="F19">
        <f t="shared" si="0"/>
        <v>0</v>
      </c>
    </row>
    <row r="20" spans="6:6" x14ac:dyDescent="0.2">
      <c r="F20">
        <f t="shared" si="0"/>
        <v>0</v>
      </c>
    </row>
    <row r="21" spans="6:6" x14ac:dyDescent="0.2">
      <c r="F21">
        <f t="shared" si="0"/>
        <v>0</v>
      </c>
    </row>
    <row r="22" spans="6:6" x14ac:dyDescent="0.2">
      <c r="F22">
        <f t="shared" si="0"/>
        <v>0</v>
      </c>
    </row>
    <row r="23" spans="6:6" x14ac:dyDescent="0.2">
      <c r="F23">
        <f t="shared" si="0"/>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BA697-2A92-43C5-8D3B-B2712443F1EF}">
  <dimension ref="F1:F23"/>
  <sheetViews>
    <sheetView topLeftCell="AD1" zoomScale="10" zoomScaleNormal="10" workbookViewId="0">
      <selection activeCell="HG142" sqref="HF142:HG142"/>
    </sheetView>
  </sheetViews>
  <sheetFormatPr defaultRowHeight="14.1" x14ac:dyDescent="0.2"/>
  <cols>
    <col min="6" max="6" width="29.875" bestFit="1" customWidth="1"/>
  </cols>
  <sheetData>
    <row r="1" spans="6:6" x14ac:dyDescent="0.2">
      <c r="F1" t="s">
        <v>124</v>
      </c>
    </row>
    <row r="2" spans="6:6" x14ac:dyDescent="0.2">
      <c r="F2">
        <f xml:space="preserve"> ROUNDUP(E2*7,0)</f>
        <v>0</v>
      </c>
    </row>
    <row r="3" spans="6:6" x14ac:dyDescent="0.2">
      <c r="F3">
        <f t="shared" ref="F3:F23" si="0" xml:space="preserve"> ROUNDUP(E3*7,0)</f>
        <v>0</v>
      </c>
    </row>
    <row r="4" spans="6:6" x14ac:dyDescent="0.2">
      <c r="F4">
        <f t="shared" si="0"/>
        <v>0</v>
      </c>
    </row>
    <row r="5" spans="6:6" x14ac:dyDescent="0.2">
      <c r="F5">
        <f t="shared" si="0"/>
        <v>0</v>
      </c>
    </row>
    <row r="6" spans="6:6" x14ac:dyDescent="0.2">
      <c r="F6">
        <f t="shared" si="0"/>
        <v>0</v>
      </c>
    </row>
    <row r="7" spans="6:6" x14ac:dyDescent="0.2">
      <c r="F7">
        <f t="shared" si="0"/>
        <v>0</v>
      </c>
    </row>
    <row r="8" spans="6:6" x14ac:dyDescent="0.2">
      <c r="F8">
        <f t="shared" si="0"/>
        <v>0</v>
      </c>
    </row>
    <row r="9" spans="6:6" x14ac:dyDescent="0.2">
      <c r="F9">
        <f t="shared" si="0"/>
        <v>0</v>
      </c>
    </row>
    <row r="10" spans="6:6" x14ac:dyDescent="0.2">
      <c r="F10">
        <f t="shared" si="0"/>
        <v>0</v>
      </c>
    </row>
    <row r="11" spans="6:6" x14ac:dyDescent="0.2">
      <c r="F11">
        <f t="shared" si="0"/>
        <v>0</v>
      </c>
    </row>
    <row r="12" spans="6:6" x14ac:dyDescent="0.2">
      <c r="F12">
        <f t="shared" si="0"/>
        <v>0</v>
      </c>
    </row>
    <row r="13" spans="6:6" x14ac:dyDescent="0.2">
      <c r="F13">
        <f t="shared" si="0"/>
        <v>0</v>
      </c>
    </row>
    <row r="14" spans="6:6" x14ac:dyDescent="0.2">
      <c r="F14">
        <f t="shared" si="0"/>
        <v>0</v>
      </c>
    </row>
    <row r="15" spans="6:6" x14ac:dyDescent="0.2">
      <c r="F15">
        <f t="shared" si="0"/>
        <v>0</v>
      </c>
    </row>
    <row r="16" spans="6:6" x14ac:dyDescent="0.2">
      <c r="F16">
        <f t="shared" si="0"/>
        <v>0</v>
      </c>
    </row>
    <row r="17" spans="6:6" x14ac:dyDescent="0.2">
      <c r="F17">
        <f t="shared" si="0"/>
        <v>0</v>
      </c>
    </row>
    <row r="18" spans="6:6" x14ac:dyDescent="0.2">
      <c r="F18">
        <f t="shared" si="0"/>
        <v>0</v>
      </c>
    </row>
    <row r="19" spans="6:6" x14ac:dyDescent="0.2">
      <c r="F19">
        <f t="shared" si="0"/>
        <v>0</v>
      </c>
    </row>
    <row r="20" spans="6:6" x14ac:dyDescent="0.2">
      <c r="F20">
        <f t="shared" si="0"/>
        <v>0</v>
      </c>
    </row>
    <row r="21" spans="6:6" x14ac:dyDescent="0.2">
      <c r="F21">
        <f t="shared" si="0"/>
        <v>0</v>
      </c>
    </row>
    <row r="22" spans="6:6" x14ac:dyDescent="0.2">
      <c r="F22">
        <f t="shared" si="0"/>
        <v>0</v>
      </c>
    </row>
    <row r="23" spans="6:6" x14ac:dyDescent="0.2">
      <c r="F23">
        <f t="shared" si="0"/>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79E4-24AD-42C5-8F67-7A5072FA9D2A}">
  <dimension ref="F1:F23"/>
  <sheetViews>
    <sheetView zoomScale="10" zoomScaleNormal="10" workbookViewId="0">
      <selection activeCell="GE87" sqref="GE87"/>
    </sheetView>
  </sheetViews>
  <sheetFormatPr defaultRowHeight="14.1" x14ac:dyDescent="0.2"/>
  <cols>
    <col min="6" max="6" width="29.875" bestFit="1" customWidth="1"/>
  </cols>
  <sheetData>
    <row r="1" spans="6:6" x14ac:dyDescent="0.2">
      <c r="F1" t="s">
        <v>124</v>
      </c>
    </row>
    <row r="2" spans="6:6" x14ac:dyDescent="0.2">
      <c r="F2">
        <f xml:space="preserve"> ROUNDUP(E2*7,0)</f>
        <v>0</v>
      </c>
    </row>
    <row r="3" spans="6:6" x14ac:dyDescent="0.2">
      <c r="F3">
        <f t="shared" ref="F3:F23" si="0" xml:space="preserve"> ROUNDUP(E3*7,0)</f>
        <v>0</v>
      </c>
    </row>
    <row r="4" spans="6:6" x14ac:dyDescent="0.2">
      <c r="F4">
        <f t="shared" si="0"/>
        <v>0</v>
      </c>
    </row>
    <row r="5" spans="6:6" x14ac:dyDescent="0.2">
      <c r="F5">
        <f t="shared" si="0"/>
        <v>0</v>
      </c>
    </row>
    <row r="6" spans="6:6" x14ac:dyDescent="0.2">
      <c r="F6">
        <f t="shared" si="0"/>
        <v>0</v>
      </c>
    </row>
    <row r="7" spans="6:6" x14ac:dyDescent="0.2">
      <c r="F7">
        <f t="shared" si="0"/>
        <v>0</v>
      </c>
    </row>
    <row r="8" spans="6:6" x14ac:dyDescent="0.2">
      <c r="F8">
        <f t="shared" si="0"/>
        <v>0</v>
      </c>
    </row>
    <row r="9" spans="6:6" x14ac:dyDescent="0.2">
      <c r="F9">
        <f t="shared" si="0"/>
        <v>0</v>
      </c>
    </row>
    <row r="10" spans="6:6" x14ac:dyDescent="0.2">
      <c r="F10">
        <f t="shared" si="0"/>
        <v>0</v>
      </c>
    </row>
    <row r="11" spans="6:6" x14ac:dyDescent="0.2">
      <c r="F11">
        <f t="shared" si="0"/>
        <v>0</v>
      </c>
    </row>
    <row r="12" spans="6:6" x14ac:dyDescent="0.2">
      <c r="F12">
        <f t="shared" si="0"/>
        <v>0</v>
      </c>
    </row>
    <row r="13" spans="6:6" x14ac:dyDescent="0.2">
      <c r="F13">
        <f t="shared" si="0"/>
        <v>0</v>
      </c>
    </row>
    <row r="14" spans="6:6" x14ac:dyDescent="0.2">
      <c r="F14">
        <f t="shared" si="0"/>
        <v>0</v>
      </c>
    </row>
    <row r="15" spans="6:6" x14ac:dyDescent="0.2">
      <c r="F15">
        <f t="shared" si="0"/>
        <v>0</v>
      </c>
    </row>
    <row r="16" spans="6:6" x14ac:dyDescent="0.2">
      <c r="F16">
        <f t="shared" si="0"/>
        <v>0</v>
      </c>
    </row>
    <row r="17" spans="6:6" x14ac:dyDescent="0.2">
      <c r="F17">
        <f t="shared" si="0"/>
        <v>0</v>
      </c>
    </row>
    <row r="18" spans="6:6" x14ac:dyDescent="0.2">
      <c r="F18">
        <f t="shared" si="0"/>
        <v>0</v>
      </c>
    </row>
    <row r="19" spans="6:6" x14ac:dyDescent="0.2">
      <c r="F19">
        <f t="shared" si="0"/>
        <v>0</v>
      </c>
    </row>
    <row r="20" spans="6:6" x14ac:dyDescent="0.2">
      <c r="F20">
        <f t="shared" si="0"/>
        <v>0</v>
      </c>
    </row>
    <row r="21" spans="6:6" x14ac:dyDescent="0.2">
      <c r="F21">
        <f t="shared" si="0"/>
        <v>0</v>
      </c>
    </row>
    <row r="22" spans="6:6" x14ac:dyDescent="0.2">
      <c r="F22">
        <f t="shared" si="0"/>
        <v>0</v>
      </c>
    </row>
    <row r="23" spans="6:6" x14ac:dyDescent="0.2">
      <c r="F23">
        <f t="shared" si="0"/>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5CC1-699F-4611-8E8D-AF70E82FC277}">
  <dimension ref="A1:A4"/>
  <sheetViews>
    <sheetView workbookViewId="0">
      <selection activeCell="A5" sqref="A5"/>
    </sheetView>
  </sheetViews>
  <sheetFormatPr defaultRowHeight="14.1" x14ac:dyDescent="0.2"/>
  <sheetData>
    <row r="1" spans="1:1" x14ac:dyDescent="0.2">
      <c r="A1" t="e">
        <f ca="1" xml:space="preserve"> suum(ProjectTaskList!P5:P8)</f>
        <v>#NAME?</v>
      </c>
    </row>
    <row r="2" spans="1:1" x14ac:dyDescent="0.2">
      <c r="A2">
        <f>SUM(ProjectTaskList!P9:P12)</f>
        <v>31</v>
      </c>
    </row>
    <row r="3" spans="1:1" x14ac:dyDescent="0.2">
      <c r="A3">
        <f>SUM(ProjectTaskList!P9:P18)</f>
        <v>122</v>
      </c>
    </row>
    <row r="4" spans="1:1" x14ac:dyDescent="0.2">
      <c r="A4">
        <f>SUM(ProjectTaskList!P19:P26)</f>
        <v>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570DE-3C6C-4CC9-B8EC-BF82C416AFB3}">
  <dimension ref="A1"/>
  <sheetViews>
    <sheetView workbookViewId="0">
      <selection activeCell="O10" sqref="O10"/>
    </sheetView>
  </sheetViews>
  <sheetFormatPr defaultRowHeight="14.1"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showGridLines="0" topLeftCell="A13" workbookViewId="0">
      <selection activeCell="A2" sqref="A2"/>
    </sheetView>
  </sheetViews>
  <sheetFormatPr defaultRowHeight="14.1" x14ac:dyDescent="0.2"/>
  <cols>
    <col min="1" max="1" width="9" customWidth="1"/>
    <col min="2" max="2" width="68.5" customWidth="1"/>
    <col min="3" max="3" width="6" customWidth="1"/>
  </cols>
  <sheetData>
    <row r="1" spans="1:4" ht="33.049999999999997" customHeight="1" x14ac:dyDescent="0.2">
      <c r="A1" s="3" t="s">
        <v>0</v>
      </c>
      <c r="B1" s="3"/>
      <c r="C1" s="4" t="s">
        <v>10</v>
      </c>
    </row>
    <row r="2" spans="1:4" x14ac:dyDescent="0.2">
      <c r="C2" s="5" t="s">
        <v>27</v>
      </c>
    </row>
    <row r="4" spans="1:4" ht="14.85" x14ac:dyDescent="0.25">
      <c r="A4" s="7" t="s">
        <v>1</v>
      </c>
      <c r="B4" s="6"/>
      <c r="D4" s="6"/>
    </row>
    <row r="5" spans="1:4" ht="70.55" x14ac:dyDescent="0.2">
      <c r="B5" s="8" t="s">
        <v>23</v>
      </c>
      <c r="D5" s="6"/>
    </row>
    <row r="6" spans="1:4" x14ac:dyDescent="0.2">
      <c r="B6" s="14"/>
      <c r="D6" s="6"/>
    </row>
    <row r="7" spans="1:4" ht="14.85" x14ac:dyDescent="0.2">
      <c r="B7" s="16" t="s">
        <v>29</v>
      </c>
      <c r="D7" s="6"/>
    </row>
    <row r="8" spans="1:4" ht="14.85" x14ac:dyDescent="0.2">
      <c r="B8" s="15" t="s">
        <v>28</v>
      </c>
      <c r="D8" s="6"/>
    </row>
    <row r="9" spans="1:4" x14ac:dyDescent="0.2">
      <c r="B9" s="14"/>
      <c r="D9" s="6"/>
    </row>
    <row r="10" spans="1:4" x14ac:dyDescent="0.2">
      <c r="B10" s="8"/>
      <c r="D10" s="6"/>
    </row>
    <row r="11" spans="1:4" ht="14.85" x14ac:dyDescent="0.25">
      <c r="A11" s="7" t="s">
        <v>22</v>
      </c>
      <c r="B11" s="8"/>
      <c r="D11" s="6"/>
    </row>
    <row r="12" spans="1:4" ht="42.35" x14ac:dyDescent="0.2">
      <c r="B12" s="8" t="s">
        <v>21</v>
      </c>
      <c r="D12" s="6"/>
    </row>
    <row r="13" spans="1:4" x14ac:dyDescent="0.2">
      <c r="B13" s="8"/>
      <c r="D13" s="6"/>
    </row>
    <row r="14" spans="1:4" ht="14.85" x14ac:dyDescent="0.25">
      <c r="A14" s="7" t="s">
        <v>24</v>
      </c>
      <c r="B14" s="8"/>
      <c r="D14" s="6"/>
    </row>
    <row r="15" spans="1:4" ht="28.2" x14ac:dyDescent="0.2">
      <c r="B15" s="8" t="s">
        <v>25</v>
      </c>
      <c r="D15" s="6"/>
    </row>
    <row r="16" spans="1:4" x14ac:dyDescent="0.2">
      <c r="B16" s="8"/>
      <c r="D16" s="6"/>
    </row>
    <row r="17" spans="1:4" ht="14.85" x14ac:dyDescent="0.25">
      <c r="A17" s="7" t="s">
        <v>6</v>
      </c>
      <c r="B17" s="8"/>
      <c r="D17" s="6"/>
    </row>
    <row r="18" spans="1:4" ht="42.35" x14ac:dyDescent="0.2">
      <c r="B18" s="8" t="s">
        <v>26</v>
      </c>
    </row>
    <row r="19" spans="1:4" x14ac:dyDescent="0.2">
      <c r="B19" s="8"/>
    </row>
    <row r="20" spans="1:4" ht="28.2" x14ac:dyDescent="0.2">
      <c r="B20" s="8" t="s">
        <v>7</v>
      </c>
    </row>
    <row r="22" spans="1:4" ht="14.85" x14ac:dyDescent="0.25">
      <c r="A22" s="7" t="s">
        <v>2</v>
      </c>
      <c r="B22" s="6"/>
    </row>
    <row r="23" spans="1:4" ht="28.2" x14ac:dyDescent="0.2">
      <c r="B23" s="8" t="s">
        <v>4</v>
      </c>
    </row>
    <row r="24" spans="1:4" x14ac:dyDescent="0.2">
      <c r="B24" s="6"/>
    </row>
    <row r="25" spans="1:4" ht="42.35" x14ac:dyDescent="0.2">
      <c r="B25" s="9" t="s">
        <v>3</v>
      </c>
    </row>
    <row r="26" spans="1:4" x14ac:dyDescent="0.2">
      <c r="B26" s="6"/>
    </row>
    <row r="27" spans="1:4" x14ac:dyDescent="0.2">
      <c r="B27" s="10" t="s">
        <v>5</v>
      </c>
    </row>
    <row r="28" spans="1:4" x14ac:dyDescent="0.2">
      <c r="B28" s="6"/>
    </row>
    <row r="29" spans="1:4" ht="14.85" x14ac:dyDescent="0.25">
      <c r="A29" s="7" t="s">
        <v>8</v>
      </c>
      <c r="B29" s="8"/>
    </row>
    <row r="30" spans="1:4" ht="28.2" x14ac:dyDescent="0.2">
      <c r="B30" s="8" t="s">
        <v>9</v>
      </c>
    </row>
  </sheetData>
  <hyperlinks>
    <hyperlink ref="C2" r:id="rId1" xr:uid="{00000000-0004-0000-0100-000000000000}"/>
    <hyperlink ref="B27" r:id="rId2" xr:uid="{00000000-0004-0000-0100-000001000000}"/>
    <hyperlink ref="B8" r:id="rId3" xr:uid="{00000000-0004-0000-0100-000002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9D45B-B513-477A-8DEF-0DC764FAFD77}">
  <dimension ref="A1:G26"/>
  <sheetViews>
    <sheetView zoomScale="70" zoomScaleNormal="70" workbookViewId="0">
      <selection activeCell="C39" sqref="C39"/>
    </sheetView>
  </sheetViews>
  <sheetFormatPr defaultRowHeight="14.1" x14ac:dyDescent="0.2"/>
  <cols>
    <col min="1" max="1" width="47.375" bestFit="1" customWidth="1"/>
    <col min="2" max="2" width="55.75" bestFit="1" customWidth="1"/>
    <col min="3" max="4" width="12.375" bestFit="1" customWidth="1"/>
    <col min="5" max="5" width="31.25" bestFit="1" customWidth="1"/>
    <col min="6" max="6" width="32.625" bestFit="1" customWidth="1"/>
    <col min="7" max="7" width="42.125" bestFit="1" customWidth="1"/>
    <col min="8" max="8" width="55.625" customWidth="1"/>
  </cols>
  <sheetData>
    <row r="1" spans="1:7" ht="14.85" x14ac:dyDescent="0.2">
      <c r="A1" s="19" t="s">
        <v>34</v>
      </c>
      <c r="B1" s="19" t="s">
        <v>35</v>
      </c>
      <c r="C1" s="19" t="s">
        <v>36</v>
      </c>
      <c r="D1" s="19" t="s">
        <v>37</v>
      </c>
      <c r="E1" s="19" t="s">
        <v>38</v>
      </c>
      <c r="F1" s="19" t="s">
        <v>124</v>
      </c>
      <c r="G1" s="19" t="s">
        <v>39</v>
      </c>
    </row>
    <row r="2" spans="1:7" ht="14.85" x14ac:dyDescent="0.2">
      <c r="A2" s="21" t="s">
        <v>40</v>
      </c>
      <c r="B2" s="20" t="s">
        <v>41</v>
      </c>
      <c r="C2" s="20" t="s">
        <v>42</v>
      </c>
      <c r="D2" s="20" t="s">
        <v>43</v>
      </c>
      <c r="E2" s="20">
        <v>2</v>
      </c>
      <c r="F2" s="20">
        <f xml:space="preserve"> ROUNDUP(E2*7,0)</f>
        <v>14</v>
      </c>
      <c r="G2" s="20" t="s">
        <v>44</v>
      </c>
    </row>
    <row r="3" spans="1:7" ht="28.2" x14ac:dyDescent="0.2">
      <c r="A3" s="20"/>
      <c r="B3" s="20" t="s">
        <v>45</v>
      </c>
      <c r="C3" s="20" t="s">
        <v>46</v>
      </c>
      <c r="D3" s="20" t="s">
        <v>47</v>
      </c>
      <c r="E3" s="20">
        <v>3</v>
      </c>
      <c r="F3" s="20">
        <f t="shared" ref="F3:F23" si="0" xml:space="preserve"> ROUNDUP(E3*7,0)</f>
        <v>21</v>
      </c>
      <c r="G3" s="20" t="s">
        <v>48</v>
      </c>
    </row>
    <row r="4" spans="1:7" x14ac:dyDescent="0.2">
      <c r="A4" s="20"/>
      <c r="B4" s="20" t="s">
        <v>49</v>
      </c>
      <c r="C4" s="20" t="s">
        <v>50</v>
      </c>
      <c r="D4" s="20" t="s">
        <v>51</v>
      </c>
      <c r="E4" s="20">
        <v>1.5</v>
      </c>
      <c r="F4" s="20">
        <f t="shared" si="0"/>
        <v>11</v>
      </c>
      <c r="G4" s="20" t="s">
        <v>52</v>
      </c>
    </row>
    <row r="5" spans="1:7" ht="14.85" x14ac:dyDescent="0.2">
      <c r="A5" s="21" t="s">
        <v>53</v>
      </c>
      <c r="B5" s="20" t="s">
        <v>54</v>
      </c>
      <c r="C5" s="20" t="s">
        <v>55</v>
      </c>
      <c r="D5" s="20" t="s">
        <v>56</v>
      </c>
      <c r="E5" s="20">
        <v>1.5</v>
      </c>
      <c r="F5" s="20">
        <f t="shared" si="0"/>
        <v>11</v>
      </c>
      <c r="G5" s="20" t="s">
        <v>57</v>
      </c>
    </row>
    <row r="6" spans="1:7" x14ac:dyDescent="0.2">
      <c r="A6" s="20"/>
      <c r="B6" s="20" t="s">
        <v>58</v>
      </c>
      <c r="C6" s="20" t="s">
        <v>56</v>
      </c>
      <c r="D6" s="20" t="s">
        <v>59</v>
      </c>
      <c r="E6" s="20">
        <v>4</v>
      </c>
      <c r="F6" s="20">
        <f t="shared" si="0"/>
        <v>28</v>
      </c>
      <c r="G6" s="20" t="s">
        <v>60</v>
      </c>
    </row>
    <row r="7" spans="1:7" x14ac:dyDescent="0.2">
      <c r="A7" s="20"/>
      <c r="B7" s="20" t="s">
        <v>61</v>
      </c>
      <c r="C7" s="20" t="s">
        <v>62</v>
      </c>
      <c r="D7" s="20" t="s">
        <v>63</v>
      </c>
      <c r="E7" s="20">
        <v>2</v>
      </c>
      <c r="F7" s="20">
        <f t="shared" si="0"/>
        <v>14</v>
      </c>
      <c r="G7" s="20" t="s">
        <v>64</v>
      </c>
    </row>
    <row r="8" spans="1:7" x14ac:dyDescent="0.2">
      <c r="A8" s="20"/>
      <c r="B8" s="20" t="s">
        <v>65</v>
      </c>
      <c r="C8" s="20" t="s">
        <v>63</v>
      </c>
      <c r="D8" s="20" t="s">
        <v>66</v>
      </c>
      <c r="E8" s="20">
        <v>3</v>
      </c>
      <c r="F8" s="20">
        <f t="shared" si="0"/>
        <v>21</v>
      </c>
      <c r="G8" s="20" t="s">
        <v>67</v>
      </c>
    </row>
    <row r="9" spans="1:7" ht="14.85" x14ac:dyDescent="0.2">
      <c r="A9" s="21" t="s">
        <v>68</v>
      </c>
      <c r="B9" s="20" t="s">
        <v>69</v>
      </c>
      <c r="C9" s="20" t="s">
        <v>70</v>
      </c>
      <c r="D9" s="20" t="s">
        <v>71</v>
      </c>
      <c r="E9" s="20">
        <v>1.5</v>
      </c>
      <c r="F9" s="20">
        <f t="shared" si="0"/>
        <v>11</v>
      </c>
      <c r="G9" s="20" t="s">
        <v>72</v>
      </c>
    </row>
    <row r="10" spans="1:7" x14ac:dyDescent="0.2">
      <c r="A10" s="20"/>
      <c r="B10" s="20" t="s">
        <v>73</v>
      </c>
      <c r="C10" s="20" t="s">
        <v>71</v>
      </c>
      <c r="D10" s="20" t="s">
        <v>74</v>
      </c>
      <c r="E10" s="20">
        <v>1.5</v>
      </c>
      <c r="F10" s="20">
        <f t="shared" si="0"/>
        <v>11</v>
      </c>
      <c r="G10" s="20" t="s">
        <v>75</v>
      </c>
    </row>
    <row r="11" spans="1:7" x14ac:dyDescent="0.2">
      <c r="A11" s="20"/>
      <c r="B11" s="20" t="s">
        <v>76</v>
      </c>
      <c r="C11" s="20" t="s">
        <v>77</v>
      </c>
      <c r="D11" s="20" t="s">
        <v>78</v>
      </c>
      <c r="E11" s="20">
        <v>3</v>
      </c>
      <c r="F11" s="20">
        <f t="shared" si="0"/>
        <v>21</v>
      </c>
      <c r="G11" s="20" t="s">
        <v>79</v>
      </c>
    </row>
    <row r="12" spans="1:7" ht="14.85" x14ac:dyDescent="0.2">
      <c r="A12" s="21" t="s">
        <v>80</v>
      </c>
      <c r="B12" s="20" t="s">
        <v>81</v>
      </c>
      <c r="C12" s="20" t="s">
        <v>78</v>
      </c>
      <c r="D12" s="20" t="s">
        <v>82</v>
      </c>
      <c r="E12" s="20">
        <v>2</v>
      </c>
      <c r="F12" s="20">
        <f t="shared" si="0"/>
        <v>14</v>
      </c>
      <c r="G12" s="20" t="s">
        <v>83</v>
      </c>
    </row>
    <row r="13" spans="1:7" x14ac:dyDescent="0.2">
      <c r="A13" s="20"/>
      <c r="B13" s="20" t="s">
        <v>84</v>
      </c>
      <c r="C13" s="20" t="s">
        <v>82</v>
      </c>
      <c r="D13" s="20" t="s">
        <v>85</v>
      </c>
      <c r="E13" s="20">
        <v>2</v>
      </c>
      <c r="F13" s="20">
        <f t="shared" si="0"/>
        <v>14</v>
      </c>
      <c r="G13" s="20" t="s">
        <v>86</v>
      </c>
    </row>
    <row r="14" spans="1:7" x14ac:dyDescent="0.2">
      <c r="A14" s="20"/>
      <c r="B14" s="20" t="s">
        <v>87</v>
      </c>
      <c r="C14" s="20" t="s">
        <v>85</v>
      </c>
      <c r="D14" s="20" t="s">
        <v>88</v>
      </c>
      <c r="E14" s="20">
        <v>3</v>
      </c>
      <c r="F14" s="20">
        <f t="shared" si="0"/>
        <v>21</v>
      </c>
      <c r="G14" s="20" t="s">
        <v>89</v>
      </c>
    </row>
    <row r="15" spans="1:7" x14ac:dyDescent="0.2">
      <c r="A15" s="20"/>
      <c r="B15" s="20" t="s">
        <v>90</v>
      </c>
      <c r="C15" s="20" t="s">
        <v>91</v>
      </c>
      <c r="D15" s="20" t="s">
        <v>92</v>
      </c>
      <c r="E15" s="20">
        <v>1.5</v>
      </c>
      <c r="F15" s="20">
        <f t="shared" si="0"/>
        <v>11</v>
      </c>
      <c r="G15" s="20" t="s">
        <v>93</v>
      </c>
    </row>
    <row r="16" spans="1:7" ht="28.2" x14ac:dyDescent="0.2">
      <c r="A16" s="21" t="s">
        <v>94</v>
      </c>
      <c r="B16" s="20" t="s">
        <v>95</v>
      </c>
      <c r="C16" s="20" t="s">
        <v>96</v>
      </c>
      <c r="D16" s="20" t="s">
        <v>97</v>
      </c>
      <c r="E16" s="20">
        <v>1.5</v>
      </c>
      <c r="F16" s="20">
        <f t="shared" si="0"/>
        <v>11</v>
      </c>
      <c r="G16" s="20" t="s">
        <v>98</v>
      </c>
    </row>
    <row r="17" spans="1:7" ht="28.2" x14ac:dyDescent="0.2">
      <c r="A17" s="20"/>
      <c r="B17" s="20" t="s">
        <v>99</v>
      </c>
      <c r="C17" s="20" t="s">
        <v>100</v>
      </c>
      <c r="D17" s="20" t="s">
        <v>101</v>
      </c>
      <c r="E17" s="20">
        <v>3</v>
      </c>
      <c r="F17" s="20">
        <f t="shared" si="0"/>
        <v>21</v>
      </c>
      <c r="G17" s="20" t="s">
        <v>102</v>
      </c>
    </row>
    <row r="18" spans="1:7" x14ac:dyDescent="0.2">
      <c r="A18" s="20"/>
      <c r="B18" s="20" t="s">
        <v>103</v>
      </c>
      <c r="C18" s="20" t="s">
        <v>97</v>
      </c>
      <c r="D18" s="20" t="s">
        <v>104</v>
      </c>
      <c r="E18" s="20">
        <v>3</v>
      </c>
      <c r="F18" s="20">
        <f t="shared" si="0"/>
        <v>21</v>
      </c>
      <c r="G18" s="20" t="s">
        <v>105</v>
      </c>
    </row>
    <row r="19" spans="1:7" ht="14.85" x14ac:dyDescent="0.2">
      <c r="A19" s="21" t="s">
        <v>106</v>
      </c>
      <c r="B19" s="20" t="s">
        <v>107</v>
      </c>
      <c r="C19" s="20" t="s">
        <v>101</v>
      </c>
      <c r="D19" s="20" t="s">
        <v>108</v>
      </c>
      <c r="E19" s="20">
        <v>1.5</v>
      </c>
      <c r="F19" s="20">
        <f t="shared" si="0"/>
        <v>11</v>
      </c>
      <c r="G19" s="20" t="s">
        <v>109</v>
      </c>
    </row>
    <row r="20" spans="1:7" x14ac:dyDescent="0.2">
      <c r="A20" s="20"/>
      <c r="B20" s="20" t="s">
        <v>110</v>
      </c>
      <c r="C20" s="20" t="s">
        <v>111</v>
      </c>
      <c r="D20" s="20" t="s">
        <v>112</v>
      </c>
      <c r="E20" s="20">
        <v>1.5</v>
      </c>
      <c r="F20" s="20">
        <f t="shared" si="0"/>
        <v>11</v>
      </c>
      <c r="G20" s="20" t="s">
        <v>113</v>
      </c>
    </row>
    <row r="21" spans="1:7" ht="14.85" x14ac:dyDescent="0.2">
      <c r="A21" s="21" t="s">
        <v>114</v>
      </c>
      <c r="B21" s="20" t="s">
        <v>115</v>
      </c>
      <c r="C21" s="20" t="s">
        <v>116</v>
      </c>
      <c r="D21" s="20" t="s">
        <v>112</v>
      </c>
      <c r="E21" s="20">
        <v>3.5</v>
      </c>
      <c r="F21" s="20">
        <f t="shared" si="0"/>
        <v>25</v>
      </c>
      <c r="G21" s="20" t="s">
        <v>117</v>
      </c>
    </row>
    <row r="22" spans="1:7" x14ac:dyDescent="0.2">
      <c r="A22" s="20"/>
      <c r="B22" s="20" t="s">
        <v>118</v>
      </c>
      <c r="C22" s="20" t="s">
        <v>101</v>
      </c>
      <c r="D22" s="20" t="s">
        <v>119</v>
      </c>
      <c r="E22" s="20">
        <v>3</v>
      </c>
      <c r="F22" s="20">
        <f t="shared" si="0"/>
        <v>21</v>
      </c>
      <c r="G22" s="20" t="s">
        <v>120</v>
      </c>
    </row>
    <row r="23" spans="1:7" x14ac:dyDescent="0.2">
      <c r="A23" s="20"/>
      <c r="B23" s="20" t="s">
        <v>121</v>
      </c>
      <c r="C23" s="20" t="s">
        <v>112</v>
      </c>
      <c r="D23" s="20" t="s">
        <v>122</v>
      </c>
      <c r="E23" s="20">
        <v>3</v>
      </c>
      <c r="F23" s="20">
        <f t="shared" si="0"/>
        <v>21</v>
      </c>
      <c r="G23" s="20" t="s">
        <v>123</v>
      </c>
    </row>
    <row r="24" spans="1:7" x14ac:dyDescent="0.2">
      <c r="C24" s="20"/>
    </row>
    <row r="25" spans="1:7" x14ac:dyDescent="0.2">
      <c r="C25" s="20"/>
    </row>
    <row r="26" spans="1:7" x14ac:dyDescent="0.2">
      <c r="C26" s="2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8D428-2E07-4B47-B7F1-2A23B7D60F40}">
  <dimension ref="A1:H23"/>
  <sheetViews>
    <sheetView topLeftCell="B1" zoomScale="70" zoomScaleNormal="70" workbookViewId="0">
      <selection activeCell="G2" sqref="G2:H23"/>
    </sheetView>
  </sheetViews>
  <sheetFormatPr defaultColWidth="38.25" defaultRowHeight="14.1" x14ac:dyDescent="0.2"/>
  <sheetData>
    <row r="1" spans="1:8" ht="14.85" x14ac:dyDescent="0.2">
      <c r="A1" s="19" t="s">
        <v>34</v>
      </c>
      <c r="B1" s="19" t="s">
        <v>35</v>
      </c>
      <c r="C1" s="19" t="s">
        <v>36</v>
      </c>
      <c r="D1" s="19" t="s">
        <v>37</v>
      </c>
      <c r="E1" s="19" t="s">
        <v>125</v>
      </c>
      <c r="F1" s="19" t="s">
        <v>39</v>
      </c>
    </row>
    <row r="2" spans="1:8" ht="29.7" x14ac:dyDescent="0.2">
      <c r="A2" s="21" t="s">
        <v>40</v>
      </c>
      <c r="B2" s="20" t="s">
        <v>41</v>
      </c>
      <c r="C2" s="22">
        <v>45902</v>
      </c>
      <c r="D2" s="22">
        <v>45915</v>
      </c>
      <c r="E2" s="20">
        <v>14</v>
      </c>
      <c r="F2" s="20" t="s">
        <v>44</v>
      </c>
      <c r="G2" s="18">
        <f xml:space="preserve"> C2+19</f>
        <v>45921</v>
      </c>
      <c r="H2" s="18">
        <f>D2+19</f>
        <v>45934</v>
      </c>
    </row>
    <row r="3" spans="1:8" ht="28.2" x14ac:dyDescent="0.2">
      <c r="A3" s="20"/>
      <c r="B3" s="20" t="s">
        <v>45</v>
      </c>
      <c r="C3" s="22">
        <v>45909</v>
      </c>
      <c r="D3" s="22">
        <v>45930</v>
      </c>
      <c r="E3" s="20">
        <v>21</v>
      </c>
      <c r="F3" s="20" t="s">
        <v>48</v>
      </c>
      <c r="G3" s="18">
        <f t="shared" ref="G3:G23" si="0" xml:space="preserve"> C3+19</f>
        <v>45928</v>
      </c>
      <c r="H3" s="18">
        <f t="shared" ref="H3:H23" si="1">D3+19</f>
        <v>45949</v>
      </c>
    </row>
    <row r="4" spans="1:8" ht="28.2" x14ac:dyDescent="0.2">
      <c r="A4" s="20"/>
      <c r="B4" s="20" t="s">
        <v>49</v>
      </c>
      <c r="C4" s="22">
        <v>45925</v>
      </c>
      <c r="D4" s="22">
        <v>45935</v>
      </c>
      <c r="E4" s="20">
        <v>10</v>
      </c>
      <c r="F4" s="20" t="s">
        <v>52</v>
      </c>
      <c r="G4" s="18">
        <f t="shared" si="0"/>
        <v>45944</v>
      </c>
      <c r="H4" s="18">
        <f t="shared" si="1"/>
        <v>45954</v>
      </c>
    </row>
    <row r="5" spans="1:8" ht="28.2" x14ac:dyDescent="0.2">
      <c r="A5" s="21" t="s">
        <v>53</v>
      </c>
      <c r="B5" s="20" t="s">
        <v>54</v>
      </c>
      <c r="C5" s="22">
        <v>45931</v>
      </c>
      <c r="D5" s="22">
        <v>45940</v>
      </c>
      <c r="E5" s="20">
        <v>10</v>
      </c>
      <c r="F5" s="20" t="s">
        <v>57</v>
      </c>
      <c r="G5" s="18">
        <f t="shared" si="0"/>
        <v>45950</v>
      </c>
      <c r="H5" s="18">
        <f t="shared" si="1"/>
        <v>45959</v>
      </c>
    </row>
    <row r="6" spans="1:8" ht="28.2" x14ac:dyDescent="0.2">
      <c r="A6" s="20"/>
      <c r="B6" s="20" t="s">
        <v>58</v>
      </c>
      <c r="C6" s="22">
        <v>45940</v>
      </c>
      <c r="D6" s="22">
        <v>45971</v>
      </c>
      <c r="E6" s="20">
        <v>32</v>
      </c>
      <c r="F6" s="20" t="s">
        <v>60</v>
      </c>
      <c r="G6" s="18">
        <f t="shared" si="0"/>
        <v>45959</v>
      </c>
      <c r="H6" s="18">
        <f t="shared" si="1"/>
        <v>45990</v>
      </c>
    </row>
    <row r="7" spans="1:8" ht="28.2" x14ac:dyDescent="0.2">
      <c r="A7" s="20"/>
      <c r="B7" s="20" t="s">
        <v>61</v>
      </c>
      <c r="C7" s="22">
        <v>45950</v>
      </c>
      <c r="D7" s="22">
        <v>45966</v>
      </c>
      <c r="E7" s="20">
        <v>17</v>
      </c>
      <c r="F7" s="20" t="s">
        <v>64</v>
      </c>
      <c r="G7" s="18">
        <f t="shared" si="0"/>
        <v>45969</v>
      </c>
      <c r="H7" s="18">
        <f t="shared" si="1"/>
        <v>45985</v>
      </c>
    </row>
    <row r="8" spans="1:8" x14ac:dyDescent="0.2">
      <c r="A8" s="20"/>
      <c r="B8" s="20" t="s">
        <v>65</v>
      </c>
      <c r="C8" s="22">
        <v>45966</v>
      </c>
      <c r="D8" s="22">
        <v>45986</v>
      </c>
      <c r="E8" s="20">
        <v>20</v>
      </c>
      <c r="F8" s="20" t="s">
        <v>67</v>
      </c>
      <c r="G8" s="18">
        <f t="shared" si="0"/>
        <v>45985</v>
      </c>
      <c r="H8" s="18">
        <f t="shared" si="1"/>
        <v>46005</v>
      </c>
    </row>
    <row r="9" spans="1:8" ht="28.2" x14ac:dyDescent="0.2">
      <c r="A9" s="21" t="s">
        <v>68</v>
      </c>
      <c r="B9" s="20" t="s">
        <v>69</v>
      </c>
      <c r="C9" s="22">
        <v>45992</v>
      </c>
      <c r="D9" s="22">
        <v>46001</v>
      </c>
      <c r="E9" s="20">
        <v>10</v>
      </c>
      <c r="F9" s="20" t="s">
        <v>72</v>
      </c>
      <c r="G9" s="18">
        <f t="shared" si="0"/>
        <v>46011</v>
      </c>
      <c r="H9" s="18">
        <f t="shared" si="1"/>
        <v>46020</v>
      </c>
    </row>
    <row r="10" spans="1:8" ht="28.2" x14ac:dyDescent="0.2">
      <c r="A10" s="20"/>
      <c r="B10" s="20" t="s">
        <v>73</v>
      </c>
      <c r="C10" s="22">
        <v>46001</v>
      </c>
      <c r="D10" s="22">
        <v>46011</v>
      </c>
      <c r="E10" s="20">
        <v>10</v>
      </c>
      <c r="F10" s="20" t="s">
        <v>75</v>
      </c>
      <c r="G10" s="18">
        <f t="shared" si="0"/>
        <v>46020</v>
      </c>
      <c r="H10" s="18">
        <f t="shared" si="1"/>
        <v>46030</v>
      </c>
    </row>
    <row r="11" spans="1:8" ht="28.2" x14ac:dyDescent="0.2">
      <c r="A11" s="20"/>
      <c r="B11" s="20" t="s">
        <v>76</v>
      </c>
      <c r="C11" s="22">
        <v>46006</v>
      </c>
      <c r="D11" s="22">
        <v>46027</v>
      </c>
      <c r="E11" s="20">
        <v>22</v>
      </c>
      <c r="F11" s="20" t="s">
        <v>79</v>
      </c>
      <c r="G11" s="18">
        <f t="shared" si="0"/>
        <v>46025</v>
      </c>
      <c r="H11" s="18">
        <f t="shared" si="1"/>
        <v>46046</v>
      </c>
    </row>
    <row r="12" spans="1:8" ht="14.85" x14ac:dyDescent="0.2">
      <c r="A12" s="21" t="s">
        <v>80</v>
      </c>
      <c r="B12" s="20" t="s">
        <v>81</v>
      </c>
      <c r="C12" s="22">
        <v>46027</v>
      </c>
      <c r="D12" s="22">
        <v>46042</v>
      </c>
      <c r="E12" s="20">
        <v>15</v>
      </c>
      <c r="F12" s="20" t="s">
        <v>83</v>
      </c>
      <c r="G12" s="18">
        <f t="shared" si="0"/>
        <v>46046</v>
      </c>
      <c r="H12" s="18">
        <f t="shared" si="1"/>
        <v>46061</v>
      </c>
    </row>
    <row r="13" spans="1:8" x14ac:dyDescent="0.2">
      <c r="A13" s="20"/>
      <c r="B13" s="20" t="s">
        <v>84</v>
      </c>
      <c r="C13" s="22">
        <v>46042</v>
      </c>
      <c r="D13" s="22">
        <v>46058</v>
      </c>
      <c r="E13" s="20">
        <v>17</v>
      </c>
      <c r="F13" s="20" t="s">
        <v>86</v>
      </c>
      <c r="G13" s="18">
        <f t="shared" si="0"/>
        <v>46061</v>
      </c>
      <c r="H13" s="18">
        <f t="shared" si="1"/>
        <v>46077</v>
      </c>
    </row>
    <row r="14" spans="1:8" x14ac:dyDescent="0.2">
      <c r="A14" s="20"/>
      <c r="B14" s="20" t="s">
        <v>87</v>
      </c>
      <c r="C14" s="22">
        <v>46058</v>
      </c>
      <c r="D14" s="22">
        <v>46078</v>
      </c>
      <c r="E14" s="20">
        <v>21</v>
      </c>
      <c r="F14" s="20" t="s">
        <v>89</v>
      </c>
      <c r="G14" s="18">
        <f t="shared" si="0"/>
        <v>46077</v>
      </c>
      <c r="H14" s="18">
        <f t="shared" si="1"/>
        <v>46097</v>
      </c>
    </row>
    <row r="15" spans="1:8" x14ac:dyDescent="0.2">
      <c r="A15" s="20"/>
      <c r="B15" s="20" t="s">
        <v>90</v>
      </c>
      <c r="C15" s="22">
        <v>46073</v>
      </c>
      <c r="D15" s="22">
        <v>46082</v>
      </c>
      <c r="E15" s="20">
        <v>10</v>
      </c>
      <c r="F15" s="20" t="s">
        <v>93</v>
      </c>
      <c r="G15" s="18">
        <f t="shared" si="0"/>
        <v>46092</v>
      </c>
      <c r="H15" s="18">
        <f>D15+19</f>
        <v>46101</v>
      </c>
    </row>
    <row r="16" spans="1:8" ht="28.2" x14ac:dyDescent="0.2">
      <c r="A16" s="21" t="s">
        <v>94</v>
      </c>
      <c r="B16" s="20" t="s">
        <v>95</v>
      </c>
      <c r="C16" s="22">
        <v>46082</v>
      </c>
      <c r="D16" s="22">
        <v>46082</v>
      </c>
      <c r="E16" s="20">
        <v>10</v>
      </c>
      <c r="F16" s="20" t="s">
        <v>98</v>
      </c>
      <c r="G16" s="18">
        <f t="shared" si="0"/>
        <v>46101</v>
      </c>
      <c r="H16" s="18">
        <f t="shared" si="1"/>
        <v>46101</v>
      </c>
    </row>
    <row r="17" spans="1:8" ht="28.2" x14ac:dyDescent="0.2">
      <c r="A17" s="20"/>
      <c r="B17" s="20" t="s">
        <v>99</v>
      </c>
      <c r="C17" s="22">
        <v>46086</v>
      </c>
      <c r="D17" s="22">
        <v>46106</v>
      </c>
      <c r="E17" s="20">
        <v>21</v>
      </c>
      <c r="F17" s="20" t="s">
        <v>102</v>
      </c>
      <c r="G17" s="18">
        <f t="shared" si="0"/>
        <v>46105</v>
      </c>
      <c r="H17" s="18">
        <f t="shared" si="1"/>
        <v>46125</v>
      </c>
    </row>
    <row r="18" spans="1:8" x14ac:dyDescent="0.2">
      <c r="A18" s="20"/>
      <c r="B18" s="20" t="s">
        <v>103</v>
      </c>
      <c r="C18" s="22">
        <v>46091</v>
      </c>
      <c r="D18" s="22">
        <v>46111</v>
      </c>
      <c r="E18" s="20">
        <v>21</v>
      </c>
      <c r="F18" s="20" t="s">
        <v>105</v>
      </c>
      <c r="G18" s="18">
        <f t="shared" si="0"/>
        <v>46110</v>
      </c>
      <c r="H18" s="18">
        <f t="shared" si="1"/>
        <v>46130</v>
      </c>
    </row>
    <row r="19" spans="1:8" ht="28.2" x14ac:dyDescent="0.2">
      <c r="A19" s="21" t="s">
        <v>106</v>
      </c>
      <c r="B19" s="20" t="s">
        <v>107</v>
      </c>
      <c r="C19" s="22">
        <v>46106</v>
      </c>
      <c r="D19" s="22">
        <v>46117</v>
      </c>
      <c r="E19" s="20">
        <v>12</v>
      </c>
      <c r="F19" s="20" t="s">
        <v>109</v>
      </c>
      <c r="G19" s="18">
        <f t="shared" si="0"/>
        <v>46125</v>
      </c>
      <c r="H19" s="18">
        <f t="shared" si="1"/>
        <v>46136</v>
      </c>
    </row>
    <row r="20" spans="1:8" x14ac:dyDescent="0.2">
      <c r="A20" s="20"/>
      <c r="B20" s="20" t="s">
        <v>110</v>
      </c>
      <c r="C20" s="22">
        <v>46113</v>
      </c>
      <c r="D20" s="22">
        <v>46122</v>
      </c>
      <c r="E20" s="20">
        <v>10</v>
      </c>
      <c r="F20" s="20" t="s">
        <v>113</v>
      </c>
      <c r="G20" s="18">
        <f t="shared" si="0"/>
        <v>46132</v>
      </c>
      <c r="H20" s="18">
        <f t="shared" si="1"/>
        <v>46141</v>
      </c>
    </row>
    <row r="21" spans="1:8" ht="14.85" x14ac:dyDescent="0.2">
      <c r="A21" s="21" t="s">
        <v>114</v>
      </c>
      <c r="B21" s="20" t="s">
        <v>115</v>
      </c>
      <c r="C21" s="22">
        <v>46096</v>
      </c>
      <c r="D21" s="22">
        <v>46122</v>
      </c>
      <c r="E21" s="20">
        <v>27</v>
      </c>
      <c r="F21" s="20" t="s">
        <v>117</v>
      </c>
      <c r="G21" s="18">
        <f t="shared" si="0"/>
        <v>46115</v>
      </c>
      <c r="H21" s="18">
        <f t="shared" si="1"/>
        <v>46141</v>
      </c>
    </row>
    <row r="22" spans="1:8" ht="28.2" x14ac:dyDescent="0.2">
      <c r="A22" s="20"/>
      <c r="B22" s="20" t="s">
        <v>118</v>
      </c>
      <c r="C22" s="22">
        <v>46106</v>
      </c>
      <c r="D22" s="22">
        <v>46127</v>
      </c>
      <c r="E22" s="20">
        <v>22</v>
      </c>
      <c r="F22" s="20" t="s">
        <v>120</v>
      </c>
      <c r="G22" s="18">
        <f t="shared" si="0"/>
        <v>46125</v>
      </c>
      <c r="H22" s="18">
        <f t="shared" si="1"/>
        <v>46146</v>
      </c>
    </row>
    <row r="23" spans="1:8" x14ac:dyDescent="0.2">
      <c r="A23" s="20"/>
      <c r="B23" s="20" t="s">
        <v>121</v>
      </c>
      <c r="C23" s="22">
        <v>46122</v>
      </c>
      <c r="D23" s="22">
        <v>46142</v>
      </c>
      <c r="E23" s="20">
        <v>21</v>
      </c>
      <c r="F23" s="20" t="s">
        <v>123</v>
      </c>
      <c r="G23" s="18">
        <f t="shared" si="0"/>
        <v>46141</v>
      </c>
      <c r="H23" s="18">
        <f t="shared" si="1"/>
        <v>46161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E98D5-3C14-43B6-86CE-21D1C31B9BA9}">
  <dimension ref="A1:O79"/>
  <sheetViews>
    <sheetView topLeftCell="D1" workbookViewId="0">
      <selection activeCell="B5" sqref="B5"/>
    </sheetView>
  </sheetViews>
  <sheetFormatPr defaultColWidth="27.5" defaultRowHeight="14.1" x14ac:dyDescent="0.2"/>
  <cols>
    <col min="1" max="1" width="43.125" customWidth="1"/>
    <col min="2" max="2" width="49.25" customWidth="1"/>
    <col min="3" max="3" width="6.625" bestFit="1" customWidth="1"/>
    <col min="4" max="4" width="8.875" bestFit="1" customWidth="1"/>
    <col min="5" max="5" width="9" bestFit="1" customWidth="1"/>
    <col min="6" max="6" width="11.125" bestFit="1" customWidth="1"/>
    <col min="7" max="7" width="17.5" bestFit="1" customWidth="1"/>
    <col min="8" max="9" width="3.5" bestFit="1" customWidth="1"/>
    <col min="10" max="10" width="10" bestFit="1" customWidth="1"/>
    <col min="11" max="11" width="10.5" bestFit="1" customWidth="1"/>
    <col min="12" max="12" width="7.75" bestFit="1" customWidth="1"/>
    <col min="13" max="13" width="8.75" bestFit="1" customWidth="1"/>
    <col min="14" max="14" width="7.125" bestFit="1" customWidth="1"/>
    <col min="15" max="15" width="10.875" bestFit="1" customWidth="1"/>
  </cols>
  <sheetData>
    <row r="1" spans="1:15" x14ac:dyDescent="0.2">
      <c r="A1" s="88" t="s">
        <v>14</v>
      </c>
      <c r="B1" s="89" t="s">
        <v>11</v>
      </c>
      <c r="C1" s="90" t="s">
        <v>134</v>
      </c>
      <c r="D1" s="90" t="s">
        <v>13</v>
      </c>
      <c r="E1" s="90" t="s">
        <v>16</v>
      </c>
      <c r="F1" s="90" t="s">
        <v>15</v>
      </c>
      <c r="G1" s="91" t="s">
        <v>133</v>
      </c>
      <c r="H1" s="91"/>
      <c r="I1" s="91"/>
      <c r="J1" s="92" t="s">
        <v>12</v>
      </c>
      <c r="K1" s="92" t="s">
        <v>20</v>
      </c>
      <c r="L1" s="92" t="s">
        <v>17</v>
      </c>
      <c r="M1" s="92" t="s">
        <v>18</v>
      </c>
      <c r="N1" s="92" t="s">
        <v>19</v>
      </c>
      <c r="O1" s="92" t="s">
        <v>135</v>
      </c>
    </row>
    <row r="2" spans="1:15" x14ac:dyDescent="0.2">
      <c r="A2" s="93" t="s">
        <v>40</v>
      </c>
      <c r="B2" s="94" t="s">
        <v>41</v>
      </c>
      <c r="C2" s="95" t="str">
        <f ca="1">IF(E2="","",
 IF(OR(G2=1,G2=100%),"Done",
  6 - MAX(1,MIN(5,
    1+(E2-TODAY()&lt;=30)+(E2-TODAY()&lt;=14)+(E2-TODAY()&lt;=7)+(E2-TODAY()&lt;=3)
    -IF(IF(G2&gt;1,G2/100,G2)&gt;=0.8,2,IF(IF(G2&gt;1,G2/100,G2)&gt;=0.5,1,0))
  ))
 ))</f>
        <v>Done</v>
      </c>
      <c r="D2" s="96">
        <v>45921</v>
      </c>
      <c r="E2" s="96">
        <v>45934</v>
      </c>
      <c r="F2" s="96"/>
      <c r="G2" s="97">
        <v>1</v>
      </c>
      <c r="H2" s="98">
        <f xml:space="preserve"> G2*100</f>
        <v>100</v>
      </c>
      <c r="I2" s="98">
        <f xml:space="preserve"> 100 - H2</f>
        <v>0</v>
      </c>
      <c r="J2" s="99">
        <f t="shared" ref="J2:J26" ca="1" si="0">$J$3</f>
        <v>45921</v>
      </c>
      <c r="K2" s="100">
        <f t="shared" ref="K2:K26" ca="1" si="1">IF(ISBLANK(D2),0,D2-J2)</f>
        <v>0</v>
      </c>
      <c r="L2" s="100">
        <f t="shared" ref="L2:L26" si="2">$G2*$O2</f>
        <v>10</v>
      </c>
      <c r="M2" s="100">
        <f>O2-L2</f>
        <v>0</v>
      </c>
      <c r="N2" s="100">
        <f t="shared" ref="N2:N26" si="3">IF(ISBLANK(F2),0,(F2-D2)-O2)</f>
        <v>0</v>
      </c>
      <c r="O2" s="100">
        <f t="shared" ref="O2:O26" si="4">IF(ISBLANK(E2), 0,
   SIGN(E2-D2) * NETWORKDAYS( D2 + SIGN(E2-D2), E2, $H$2:$H$50 )
)</f>
        <v>10</v>
      </c>
    </row>
    <row r="3" spans="1:15" x14ac:dyDescent="0.2">
      <c r="A3" s="94"/>
      <c r="B3" s="94" t="s">
        <v>136</v>
      </c>
      <c r="C3" s="95">
        <f t="shared" ref="C3:C26" ca="1" si="5">IF(E3="","",
 IF(OR(G3=1,G3=100%),"Done",
  6 - MAX(1,MIN(5,
    1+(E3-TODAY()&lt;=30)+(E3-TODAY()&lt;=14)+(E3-TODAY()&lt;=7)+(E3-TODAY()&lt;=3)
    -IF(IF(G3&gt;1,G3/100,G3)&gt;=0.8,2,IF(IF(G3&gt;1,G3/100,G3)&gt;=0.5,1,0))
  ))
 )
)</f>
        <v>2</v>
      </c>
      <c r="D3" s="96">
        <v>45928</v>
      </c>
      <c r="E3" s="96">
        <v>45949</v>
      </c>
      <c r="F3" s="101"/>
      <c r="G3" s="97">
        <v>0.5</v>
      </c>
      <c r="H3" s="98">
        <f t="shared" ref="H3:H26" si="6" xml:space="preserve"> G3*100</f>
        <v>50</v>
      </c>
      <c r="I3" s="98">
        <f t="shared" ref="I3:I26" si="7" xml:space="preserve"> 100 - H3</f>
        <v>50</v>
      </c>
      <c r="J3" s="99">
        <f t="shared" ca="1" si="0"/>
        <v>45921</v>
      </c>
      <c r="K3" s="100">
        <f t="shared" ca="1" si="1"/>
        <v>7</v>
      </c>
      <c r="L3" s="100">
        <f t="shared" si="2"/>
        <v>7.5</v>
      </c>
      <c r="M3" s="100">
        <f t="shared" ref="M3:M24" si="8">O3-L3</f>
        <v>7.5</v>
      </c>
      <c r="N3" s="100">
        <f t="shared" si="3"/>
        <v>0</v>
      </c>
      <c r="O3" s="100">
        <f t="shared" si="4"/>
        <v>15</v>
      </c>
    </row>
    <row r="4" spans="1:15" x14ac:dyDescent="0.2">
      <c r="A4" s="94"/>
      <c r="B4" s="94" t="s">
        <v>131</v>
      </c>
      <c r="C4" s="95">
        <f t="shared" ca="1" si="5"/>
        <v>1</v>
      </c>
      <c r="D4" s="96">
        <v>45928</v>
      </c>
      <c r="E4" s="96">
        <v>45949</v>
      </c>
      <c r="F4" s="101"/>
      <c r="G4" s="97">
        <v>0.1</v>
      </c>
      <c r="H4" s="98">
        <f t="shared" si="6"/>
        <v>10</v>
      </c>
      <c r="I4" s="98">
        <f t="shared" si="7"/>
        <v>90</v>
      </c>
      <c r="J4" s="99">
        <f t="shared" ca="1" si="0"/>
        <v>45921</v>
      </c>
      <c r="K4" s="100">
        <f t="shared" ca="1" si="1"/>
        <v>7</v>
      </c>
      <c r="L4" s="100">
        <f t="shared" si="2"/>
        <v>1.5</v>
      </c>
      <c r="M4" s="100">
        <f t="shared" si="8"/>
        <v>13.5</v>
      </c>
      <c r="N4" s="100">
        <f t="shared" si="3"/>
        <v>0</v>
      </c>
      <c r="O4" s="100">
        <f t="shared" si="4"/>
        <v>15</v>
      </c>
    </row>
    <row r="5" spans="1:15" x14ac:dyDescent="0.2">
      <c r="A5" s="94"/>
      <c r="B5" s="94" t="s">
        <v>49</v>
      </c>
      <c r="C5" s="95" t="str">
        <f t="shared" ca="1" si="5"/>
        <v>Done</v>
      </c>
      <c r="D5" s="96">
        <v>45944</v>
      </c>
      <c r="E5" s="96">
        <v>45954</v>
      </c>
      <c r="F5" s="101"/>
      <c r="G5" s="97">
        <v>1</v>
      </c>
      <c r="H5" s="98">
        <f t="shared" si="6"/>
        <v>100</v>
      </c>
      <c r="I5" s="98">
        <f t="shared" si="7"/>
        <v>0</v>
      </c>
      <c r="J5" s="99">
        <f t="shared" ca="1" si="0"/>
        <v>45921</v>
      </c>
      <c r="K5" s="100">
        <f t="shared" ca="1" si="1"/>
        <v>23</v>
      </c>
      <c r="L5" s="100">
        <f t="shared" si="2"/>
        <v>8</v>
      </c>
      <c r="M5" s="100">
        <f t="shared" si="8"/>
        <v>0</v>
      </c>
      <c r="N5" s="100">
        <f t="shared" si="3"/>
        <v>0</v>
      </c>
      <c r="O5" s="100">
        <f t="shared" si="4"/>
        <v>8</v>
      </c>
    </row>
    <row r="6" spans="1:15" x14ac:dyDescent="0.2">
      <c r="A6" s="93" t="s">
        <v>53</v>
      </c>
      <c r="B6" s="94" t="s">
        <v>54</v>
      </c>
      <c r="C6" s="95" t="str">
        <f t="shared" ca="1" si="5"/>
        <v>Done</v>
      </c>
      <c r="D6" s="96">
        <v>45940</v>
      </c>
      <c r="E6" s="96">
        <v>45960</v>
      </c>
      <c r="F6" s="101"/>
      <c r="G6" s="97">
        <v>1</v>
      </c>
      <c r="H6" s="98">
        <f t="shared" si="6"/>
        <v>100</v>
      </c>
      <c r="I6" s="98">
        <f t="shared" si="7"/>
        <v>0</v>
      </c>
      <c r="J6" s="99">
        <f t="shared" ca="1" si="0"/>
        <v>45921</v>
      </c>
      <c r="K6" s="100">
        <f t="shared" ca="1" si="1"/>
        <v>19</v>
      </c>
      <c r="L6" s="100">
        <f t="shared" si="2"/>
        <v>14</v>
      </c>
      <c r="M6" s="100">
        <f t="shared" si="8"/>
        <v>0</v>
      </c>
      <c r="N6" s="100">
        <f t="shared" si="3"/>
        <v>0</v>
      </c>
      <c r="O6" s="100">
        <f t="shared" si="4"/>
        <v>14</v>
      </c>
    </row>
    <row r="7" spans="1:15" x14ac:dyDescent="0.2">
      <c r="A7" s="94"/>
      <c r="B7" s="94" t="s">
        <v>128</v>
      </c>
      <c r="C7" s="95">
        <f t="shared" ca="1" si="5"/>
        <v>3</v>
      </c>
      <c r="D7" s="96">
        <v>45959</v>
      </c>
      <c r="E7" s="96">
        <v>45970</v>
      </c>
      <c r="F7" s="101"/>
      <c r="G7" s="97">
        <v>0</v>
      </c>
      <c r="H7" s="98">
        <f t="shared" si="6"/>
        <v>0</v>
      </c>
      <c r="I7" s="98">
        <f t="shared" si="7"/>
        <v>100</v>
      </c>
      <c r="J7" s="99">
        <f t="shared" ca="1" si="0"/>
        <v>45921</v>
      </c>
      <c r="K7" s="100">
        <f t="shared" ca="1" si="1"/>
        <v>38</v>
      </c>
      <c r="L7" s="100">
        <f t="shared" si="2"/>
        <v>0</v>
      </c>
      <c r="M7" s="100">
        <f t="shared" si="8"/>
        <v>7</v>
      </c>
      <c r="N7" s="100">
        <f t="shared" si="3"/>
        <v>0</v>
      </c>
      <c r="O7" s="100">
        <f t="shared" si="4"/>
        <v>7</v>
      </c>
    </row>
    <row r="8" spans="1:15" x14ac:dyDescent="0.2">
      <c r="A8" s="94"/>
      <c r="B8" s="94" t="s">
        <v>129</v>
      </c>
      <c r="C8" s="95">
        <f t="shared" ca="1" si="5"/>
        <v>4</v>
      </c>
      <c r="D8" s="96">
        <v>45970</v>
      </c>
      <c r="E8" s="96">
        <v>45977</v>
      </c>
      <c r="F8" s="101"/>
      <c r="G8" s="97">
        <v>0</v>
      </c>
      <c r="H8" s="98">
        <f t="shared" si="6"/>
        <v>0</v>
      </c>
      <c r="I8" s="98">
        <f t="shared" si="7"/>
        <v>100</v>
      </c>
      <c r="J8" s="99">
        <f t="shared" ca="1" si="0"/>
        <v>45921</v>
      </c>
      <c r="K8" s="100">
        <f t="shared" ca="1" si="1"/>
        <v>49</v>
      </c>
      <c r="L8" s="100">
        <f t="shared" si="2"/>
        <v>0</v>
      </c>
      <c r="M8" s="100">
        <f t="shared" si="8"/>
        <v>5</v>
      </c>
      <c r="N8" s="100">
        <f t="shared" si="3"/>
        <v>0</v>
      </c>
      <c r="O8" s="100">
        <f t="shared" si="4"/>
        <v>5</v>
      </c>
    </row>
    <row r="9" spans="1:15" x14ac:dyDescent="0.2">
      <c r="A9" s="94"/>
      <c r="B9" s="94" t="s">
        <v>130</v>
      </c>
      <c r="C9" s="95">
        <f t="shared" ca="1" si="5"/>
        <v>4</v>
      </c>
      <c r="D9" s="96">
        <v>45977</v>
      </c>
      <c r="E9" s="96">
        <v>45984</v>
      </c>
      <c r="F9" s="101"/>
      <c r="G9" s="97">
        <v>0</v>
      </c>
      <c r="H9" s="98">
        <f t="shared" si="6"/>
        <v>0</v>
      </c>
      <c r="I9" s="98">
        <f t="shared" si="7"/>
        <v>100</v>
      </c>
      <c r="J9" s="99">
        <f t="shared" ca="1" si="0"/>
        <v>45921</v>
      </c>
      <c r="K9" s="100">
        <f t="shared" ca="1" si="1"/>
        <v>56</v>
      </c>
      <c r="L9" s="100">
        <f t="shared" si="2"/>
        <v>0</v>
      </c>
      <c r="M9" s="100">
        <f t="shared" si="8"/>
        <v>5</v>
      </c>
      <c r="N9" s="100">
        <f t="shared" si="3"/>
        <v>0</v>
      </c>
      <c r="O9" s="100">
        <f t="shared" si="4"/>
        <v>5</v>
      </c>
    </row>
    <row r="10" spans="1:15" x14ac:dyDescent="0.2">
      <c r="A10" s="93" t="s">
        <v>68</v>
      </c>
      <c r="B10" s="94" t="s">
        <v>69</v>
      </c>
      <c r="C10" s="95">
        <f t="shared" ca="1" si="5"/>
        <v>4</v>
      </c>
      <c r="D10" s="96">
        <v>45981</v>
      </c>
      <c r="E10" s="96">
        <v>45988</v>
      </c>
      <c r="F10" s="101"/>
      <c r="G10" s="97">
        <v>0</v>
      </c>
      <c r="H10" s="98">
        <f t="shared" si="6"/>
        <v>0</v>
      </c>
      <c r="I10" s="98">
        <f t="shared" si="7"/>
        <v>100</v>
      </c>
      <c r="J10" s="99">
        <f t="shared" ca="1" si="0"/>
        <v>45921</v>
      </c>
      <c r="K10" s="100">
        <f t="shared" ca="1" si="1"/>
        <v>60</v>
      </c>
      <c r="L10" s="100">
        <f t="shared" si="2"/>
        <v>0</v>
      </c>
      <c r="M10" s="100">
        <f t="shared" si="8"/>
        <v>5</v>
      </c>
      <c r="N10" s="100">
        <f t="shared" si="3"/>
        <v>0</v>
      </c>
      <c r="O10" s="100">
        <f t="shared" si="4"/>
        <v>5</v>
      </c>
    </row>
    <row r="11" spans="1:15" x14ac:dyDescent="0.2">
      <c r="A11" s="94"/>
      <c r="B11" s="94" t="s">
        <v>73</v>
      </c>
      <c r="C11" s="95">
        <f t="shared" ca="1" si="5"/>
        <v>5</v>
      </c>
      <c r="D11" s="96">
        <v>45988</v>
      </c>
      <c r="E11" s="96">
        <v>45999</v>
      </c>
      <c r="F11" s="101"/>
      <c r="G11" s="97">
        <v>0</v>
      </c>
      <c r="H11" s="98">
        <f t="shared" si="6"/>
        <v>0</v>
      </c>
      <c r="I11" s="98">
        <f t="shared" si="7"/>
        <v>100</v>
      </c>
      <c r="J11" s="99">
        <f t="shared" ca="1" si="0"/>
        <v>45921</v>
      </c>
      <c r="K11" s="100">
        <f t="shared" ca="1" si="1"/>
        <v>67</v>
      </c>
      <c r="L11" s="100">
        <f t="shared" si="2"/>
        <v>0</v>
      </c>
      <c r="M11" s="100">
        <f t="shared" si="8"/>
        <v>7</v>
      </c>
      <c r="N11" s="100">
        <f t="shared" si="3"/>
        <v>0</v>
      </c>
      <c r="O11" s="100">
        <f t="shared" si="4"/>
        <v>7</v>
      </c>
    </row>
    <row r="12" spans="1:15" x14ac:dyDescent="0.2">
      <c r="A12" s="94"/>
      <c r="B12" s="94" t="s">
        <v>76</v>
      </c>
      <c r="C12" s="95">
        <f t="shared" ca="1" si="5"/>
        <v>5</v>
      </c>
      <c r="D12" s="96">
        <v>45994</v>
      </c>
      <c r="E12" s="96">
        <v>46046</v>
      </c>
      <c r="F12" s="101"/>
      <c r="G12" s="97">
        <v>0</v>
      </c>
      <c r="H12" s="98">
        <f t="shared" si="6"/>
        <v>0</v>
      </c>
      <c r="I12" s="98">
        <f t="shared" si="7"/>
        <v>100</v>
      </c>
      <c r="J12" s="99">
        <f t="shared" ca="1" si="0"/>
        <v>45921</v>
      </c>
      <c r="K12" s="100">
        <f t="shared" ca="1" si="1"/>
        <v>73</v>
      </c>
      <c r="L12" s="100">
        <f t="shared" si="2"/>
        <v>0</v>
      </c>
      <c r="M12" s="100">
        <f t="shared" si="8"/>
        <v>37</v>
      </c>
      <c r="N12" s="100">
        <f t="shared" si="3"/>
        <v>0</v>
      </c>
      <c r="O12" s="100">
        <f t="shared" si="4"/>
        <v>37</v>
      </c>
    </row>
    <row r="13" spans="1:15" x14ac:dyDescent="0.2">
      <c r="A13" s="93" t="s">
        <v>80</v>
      </c>
      <c r="B13" s="94" t="s">
        <v>81</v>
      </c>
      <c r="C13" s="95">
        <f t="shared" ca="1" si="5"/>
        <v>5</v>
      </c>
      <c r="D13" s="96">
        <v>46046</v>
      </c>
      <c r="E13" s="96">
        <v>46061</v>
      </c>
      <c r="F13" s="101"/>
      <c r="G13" s="97">
        <v>0</v>
      </c>
      <c r="H13" s="98">
        <f t="shared" si="6"/>
        <v>0</v>
      </c>
      <c r="I13" s="98">
        <f t="shared" si="7"/>
        <v>100</v>
      </c>
      <c r="J13" s="99">
        <f t="shared" ca="1" si="0"/>
        <v>45921</v>
      </c>
      <c r="K13" s="100">
        <f t="shared" ca="1" si="1"/>
        <v>125</v>
      </c>
      <c r="L13" s="100">
        <f t="shared" si="2"/>
        <v>0</v>
      </c>
      <c r="M13" s="100">
        <f t="shared" si="8"/>
        <v>10</v>
      </c>
      <c r="N13" s="100">
        <f t="shared" si="3"/>
        <v>0</v>
      </c>
      <c r="O13" s="100">
        <f t="shared" si="4"/>
        <v>10</v>
      </c>
    </row>
    <row r="14" spans="1:15" x14ac:dyDescent="0.2">
      <c r="A14" s="94"/>
      <c r="B14" s="94" t="s">
        <v>84</v>
      </c>
      <c r="C14" s="95">
        <f t="shared" ca="1" si="5"/>
        <v>5</v>
      </c>
      <c r="D14" s="96">
        <v>46061</v>
      </c>
      <c r="E14" s="96">
        <v>46077</v>
      </c>
      <c r="F14" s="101"/>
      <c r="G14" s="97">
        <v>0</v>
      </c>
      <c r="H14" s="98">
        <f t="shared" si="6"/>
        <v>0</v>
      </c>
      <c r="I14" s="98">
        <f t="shared" si="7"/>
        <v>100</v>
      </c>
      <c r="J14" s="99">
        <f t="shared" ca="1" si="0"/>
        <v>45921</v>
      </c>
      <c r="K14" s="100">
        <f t="shared" ca="1" si="1"/>
        <v>140</v>
      </c>
      <c r="L14" s="100">
        <f t="shared" si="2"/>
        <v>0</v>
      </c>
      <c r="M14" s="100">
        <f t="shared" si="8"/>
        <v>12</v>
      </c>
      <c r="N14" s="100">
        <f t="shared" si="3"/>
        <v>0</v>
      </c>
      <c r="O14" s="100">
        <f t="shared" si="4"/>
        <v>12</v>
      </c>
    </row>
    <row r="15" spans="1:15" x14ac:dyDescent="0.2">
      <c r="A15" s="94"/>
      <c r="B15" s="94" t="s">
        <v>87</v>
      </c>
      <c r="C15" s="95">
        <f t="shared" ca="1" si="5"/>
        <v>5</v>
      </c>
      <c r="D15" s="96">
        <v>46077</v>
      </c>
      <c r="E15" s="96">
        <v>46097</v>
      </c>
      <c r="F15" s="101"/>
      <c r="G15" s="97">
        <v>0</v>
      </c>
      <c r="H15" s="98">
        <f t="shared" si="6"/>
        <v>0</v>
      </c>
      <c r="I15" s="98">
        <f t="shared" si="7"/>
        <v>100</v>
      </c>
      <c r="J15" s="99">
        <f t="shared" ca="1" si="0"/>
        <v>45921</v>
      </c>
      <c r="K15" s="100">
        <f t="shared" ca="1" si="1"/>
        <v>156</v>
      </c>
      <c r="L15" s="100">
        <f t="shared" si="2"/>
        <v>0</v>
      </c>
      <c r="M15" s="100">
        <f t="shared" si="8"/>
        <v>14</v>
      </c>
      <c r="N15" s="100">
        <f t="shared" si="3"/>
        <v>0</v>
      </c>
      <c r="O15" s="100">
        <f t="shared" si="4"/>
        <v>14</v>
      </c>
    </row>
    <row r="16" spans="1:15" x14ac:dyDescent="0.2">
      <c r="A16" s="94"/>
      <c r="B16" s="94" t="s">
        <v>90</v>
      </c>
      <c r="C16" s="95">
        <f t="shared" ca="1" si="5"/>
        <v>5</v>
      </c>
      <c r="D16" s="96">
        <v>46092</v>
      </c>
      <c r="E16" s="96">
        <v>46101</v>
      </c>
      <c r="F16" s="101"/>
      <c r="G16" s="97">
        <v>0</v>
      </c>
      <c r="H16" s="98">
        <f t="shared" si="6"/>
        <v>0</v>
      </c>
      <c r="I16" s="98">
        <f t="shared" si="7"/>
        <v>100</v>
      </c>
      <c r="J16" s="99">
        <f t="shared" ca="1" si="0"/>
        <v>45921</v>
      </c>
      <c r="K16" s="100">
        <f t="shared" ca="1" si="1"/>
        <v>171</v>
      </c>
      <c r="L16" s="100">
        <f t="shared" si="2"/>
        <v>0</v>
      </c>
      <c r="M16" s="100">
        <f t="shared" si="8"/>
        <v>7</v>
      </c>
      <c r="N16" s="100">
        <f t="shared" si="3"/>
        <v>0</v>
      </c>
      <c r="O16" s="100">
        <f t="shared" si="4"/>
        <v>7</v>
      </c>
    </row>
    <row r="17" spans="1:15" ht="25.25" x14ac:dyDescent="0.2">
      <c r="A17" s="93" t="s">
        <v>94</v>
      </c>
      <c r="B17" s="94" t="s">
        <v>95</v>
      </c>
      <c r="C17" s="95">
        <f t="shared" ca="1" si="5"/>
        <v>5</v>
      </c>
      <c r="D17" s="96">
        <v>46101</v>
      </c>
      <c r="E17" s="96">
        <v>46105</v>
      </c>
      <c r="F17" s="101"/>
      <c r="G17" s="97">
        <v>0</v>
      </c>
      <c r="H17" s="98">
        <f t="shared" si="6"/>
        <v>0</v>
      </c>
      <c r="I17" s="98">
        <f t="shared" si="7"/>
        <v>100</v>
      </c>
      <c r="J17" s="99">
        <f t="shared" ca="1" si="0"/>
        <v>45921</v>
      </c>
      <c r="K17" s="100">
        <f t="shared" ca="1" si="1"/>
        <v>180</v>
      </c>
      <c r="L17" s="100">
        <f t="shared" si="2"/>
        <v>0</v>
      </c>
      <c r="M17" s="100">
        <f t="shared" si="8"/>
        <v>2</v>
      </c>
      <c r="N17" s="100">
        <f t="shared" si="3"/>
        <v>0</v>
      </c>
      <c r="O17" s="100">
        <f t="shared" si="4"/>
        <v>2</v>
      </c>
    </row>
    <row r="18" spans="1:15" ht="25.25" x14ac:dyDescent="0.2">
      <c r="A18" s="94"/>
      <c r="B18" s="94" t="s">
        <v>99</v>
      </c>
      <c r="C18" s="95">
        <f t="shared" ca="1" si="5"/>
        <v>5</v>
      </c>
      <c r="D18" s="96">
        <v>46105</v>
      </c>
      <c r="E18" s="96">
        <v>46125</v>
      </c>
      <c r="F18" s="101"/>
      <c r="G18" s="97">
        <v>0</v>
      </c>
      <c r="H18" s="98">
        <f t="shared" si="6"/>
        <v>0</v>
      </c>
      <c r="I18" s="98">
        <f t="shared" si="7"/>
        <v>100</v>
      </c>
      <c r="J18" s="99">
        <f t="shared" ca="1" si="0"/>
        <v>45921</v>
      </c>
      <c r="K18" s="100">
        <f t="shared" ca="1" si="1"/>
        <v>184</v>
      </c>
      <c r="L18" s="100">
        <f t="shared" si="2"/>
        <v>0</v>
      </c>
      <c r="M18" s="100">
        <f t="shared" si="8"/>
        <v>14</v>
      </c>
      <c r="N18" s="100">
        <f t="shared" si="3"/>
        <v>0</v>
      </c>
      <c r="O18" s="100">
        <f t="shared" si="4"/>
        <v>14</v>
      </c>
    </row>
    <row r="19" spans="1:15" x14ac:dyDescent="0.2">
      <c r="A19" s="94"/>
      <c r="B19" s="94" t="s">
        <v>103</v>
      </c>
      <c r="C19" s="95">
        <f t="shared" ca="1" si="5"/>
        <v>5</v>
      </c>
      <c r="D19" s="96">
        <v>46110</v>
      </c>
      <c r="E19" s="96">
        <v>46130</v>
      </c>
      <c r="F19" s="101"/>
      <c r="G19" s="97">
        <v>0</v>
      </c>
      <c r="H19" s="98">
        <f t="shared" si="6"/>
        <v>0</v>
      </c>
      <c r="I19" s="98">
        <f t="shared" si="7"/>
        <v>100</v>
      </c>
      <c r="J19" s="99">
        <f t="shared" ca="1" si="0"/>
        <v>45921</v>
      </c>
      <c r="K19" s="100">
        <f t="shared" ca="1" si="1"/>
        <v>189</v>
      </c>
      <c r="L19" s="100">
        <f t="shared" si="2"/>
        <v>0</v>
      </c>
      <c r="M19" s="100">
        <f t="shared" si="8"/>
        <v>15</v>
      </c>
      <c r="N19" s="100">
        <f t="shared" si="3"/>
        <v>0</v>
      </c>
      <c r="O19" s="100">
        <f t="shared" si="4"/>
        <v>15</v>
      </c>
    </row>
    <row r="20" spans="1:15" x14ac:dyDescent="0.2">
      <c r="A20" s="93" t="s">
        <v>106</v>
      </c>
      <c r="B20" s="94" t="s">
        <v>107</v>
      </c>
      <c r="C20" s="95">
        <f t="shared" ca="1" si="5"/>
        <v>5</v>
      </c>
      <c r="D20" s="96">
        <v>46125</v>
      </c>
      <c r="E20" s="96">
        <v>46136</v>
      </c>
      <c r="F20" s="101"/>
      <c r="G20" s="97">
        <v>0</v>
      </c>
      <c r="H20" s="98">
        <f t="shared" si="6"/>
        <v>0</v>
      </c>
      <c r="I20" s="98">
        <f t="shared" si="7"/>
        <v>100</v>
      </c>
      <c r="J20" s="99">
        <f t="shared" ca="1" si="0"/>
        <v>45921</v>
      </c>
      <c r="K20" s="100">
        <f t="shared" ca="1" si="1"/>
        <v>204</v>
      </c>
      <c r="L20" s="100">
        <f t="shared" si="2"/>
        <v>0</v>
      </c>
      <c r="M20" s="100">
        <f t="shared" si="8"/>
        <v>9</v>
      </c>
      <c r="N20" s="100">
        <f t="shared" si="3"/>
        <v>0</v>
      </c>
      <c r="O20" s="100">
        <f t="shared" si="4"/>
        <v>9</v>
      </c>
    </row>
    <row r="21" spans="1:15" x14ac:dyDescent="0.2">
      <c r="A21" s="94"/>
      <c r="B21" s="94" t="s">
        <v>110</v>
      </c>
      <c r="C21" s="95">
        <f t="shared" ca="1" si="5"/>
        <v>5</v>
      </c>
      <c r="D21" s="96">
        <v>46132</v>
      </c>
      <c r="E21" s="96">
        <v>46141</v>
      </c>
      <c r="F21" s="101"/>
      <c r="G21" s="97">
        <v>0</v>
      </c>
      <c r="H21" s="98">
        <f t="shared" si="6"/>
        <v>0</v>
      </c>
      <c r="I21" s="98">
        <f t="shared" si="7"/>
        <v>100</v>
      </c>
      <c r="J21" s="99">
        <f t="shared" ca="1" si="0"/>
        <v>45921</v>
      </c>
      <c r="K21" s="100">
        <f t="shared" ca="1" si="1"/>
        <v>211</v>
      </c>
      <c r="L21" s="100">
        <f t="shared" si="2"/>
        <v>0</v>
      </c>
      <c r="M21" s="100">
        <f t="shared" si="8"/>
        <v>7</v>
      </c>
      <c r="N21" s="100">
        <f t="shared" si="3"/>
        <v>0</v>
      </c>
      <c r="O21" s="100">
        <f t="shared" si="4"/>
        <v>7</v>
      </c>
    </row>
    <row r="22" spans="1:15" x14ac:dyDescent="0.2">
      <c r="A22" s="93" t="s">
        <v>114</v>
      </c>
      <c r="B22" s="94" t="s">
        <v>115</v>
      </c>
      <c r="C22" s="95">
        <f t="shared" ca="1" si="5"/>
        <v>5</v>
      </c>
      <c r="D22" s="96">
        <v>46115</v>
      </c>
      <c r="E22" s="96">
        <v>46141</v>
      </c>
      <c r="F22" s="101"/>
      <c r="G22" s="97">
        <v>0</v>
      </c>
      <c r="H22" s="98">
        <f t="shared" si="6"/>
        <v>0</v>
      </c>
      <c r="I22" s="98">
        <f t="shared" si="7"/>
        <v>100</v>
      </c>
      <c r="J22" s="99">
        <f t="shared" ca="1" si="0"/>
        <v>45921</v>
      </c>
      <c r="K22" s="100">
        <f t="shared" ca="1" si="1"/>
        <v>194</v>
      </c>
      <c r="L22" s="100">
        <f t="shared" si="2"/>
        <v>0</v>
      </c>
      <c r="M22" s="100">
        <f t="shared" si="8"/>
        <v>18</v>
      </c>
      <c r="N22" s="100">
        <f t="shared" si="3"/>
        <v>0</v>
      </c>
      <c r="O22" s="100">
        <f t="shared" si="4"/>
        <v>18</v>
      </c>
    </row>
    <row r="23" spans="1:15" x14ac:dyDescent="0.2">
      <c r="A23" s="94"/>
      <c r="B23" s="94" t="s">
        <v>118</v>
      </c>
      <c r="C23" s="95">
        <f t="shared" ca="1" si="5"/>
        <v>5</v>
      </c>
      <c r="D23" s="96">
        <v>46125</v>
      </c>
      <c r="E23" s="96">
        <v>46146</v>
      </c>
      <c r="F23" s="101"/>
      <c r="G23" s="97">
        <v>0</v>
      </c>
      <c r="H23" s="98">
        <f t="shared" si="6"/>
        <v>0</v>
      </c>
      <c r="I23" s="98">
        <f t="shared" si="7"/>
        <v>100</v>
      </c>
      <c r="J23" s="99">
        <f t="shared" ca="1" si="0"/>
        <v>45921</v>
      </c>
      <c r="K23" s="100">
        <f t="shared" ca="1" si="1"/>
        <v>204</v>
      </c>
      <c r="L23" s="100">
        <f t="shared" si="2"/>
        <v>0</v>
      </c>
      <c r="M23" s="100">
        <f t="shared" si="8"/>
        <v>15</v>
      </c>
      <c r="N23" s="100">
        <f t="shared" si="3"/>
        <v>0</v>
      </c>
      <c r="O23" s="100">
        <f t="shared" si="4"/>
        <v>15</v>
      </c>
    </row>
    <row r="24" spans="1:15" x14ac:dyDescent="0.2">
      <c r="A24" s="94"/>
      <c r="B24" s="94" t="s">
        <v>121</v>
      </c>
      <c r="C24" s="95">
        <f t="shared" ca="1" si="5"/>
        <v>5</v>
      </c>
      <c r="D24" s="96">
        <v>46141</v>
      </c>
      <c r="E24" s="96">
        <v>46161</v>
      </c>
      <c r="F24" s="101"/>
      <c r="G24" s="97">
        <v>0</v>
      </c>
      <c r="H24" s="98">
        <f t="shared" si="6"/>
        <v>0</v>
      </c>
      <c r="I24" s="98">
        <f t="shared" si="7"/>
        <v>100</v>
      </c>
      <c r="J24" s="99">
        <f t="shared" ca="1" si="0"/>
        <v>45921</v>
      </c>
      <c r="K24" s="100">
        <f t="shared" ca="1" si="1"/>
        <v>220</v>
      </c>
      <c r="L24" s="100">
        <f t="shared" si="2"/>
        <v>0</v>
      </c>
      <c r="M24" s="100">
        <f t="shared" si="8"/>
        <v>14</v>
      </c>
      <c r="N24" s="100">
        <f t="shared" si="3"/>
        <v>0</v>
      </c>
      <c r="O24" s="100">
        <f t="shared" si="4"/>
        <v>14</v>
      </c>
    </row>
    <row r="25" spans="1:15" x14ac:dyDescent="0.2">
      <c r="A25" s="93" t="s">
        <v>127</v>
      </c>
      <c r="B25" s="94" t="s">
        <v>126</v>
      </c>
      <c r="C25" s="95">
        <f t="shared" ca="1" si="5"/>
        <v>1</v>
      </c>
      <c r="D25" s="96">
        <v>45959</v>
      </c>
      <c r="E25" s="96">
        <v>45960</v>
      </c>
      <c r="F25" s="96">
        <v>45960</v>
      </c>
      <c r="G25" s="97">
        <v>0</v>
      </c>
      <c r="H25" s="98">
        <f t="shared" si="6"/>
        <v>0</v>
      </c>
      <c r="I25" s="98">
        <f t="shared" si="7"/>
        <v>100</v>
      </c>
      <c r="J25" s="99">
        <f t="shared" ca="1" si="0"/>
        <v>45921</v>
      </c>
      <c r="K25" s="100">
        <f t="shared" ca="1" si="1"/>
        <v>38</v>
      </c>
      <c r="L25" s="100">
        <f t="shared" si="2"/>
        <v>0</v>
      </c>
      <c r="M25" s="100">
        <f>O25-L25</f>
        <v>1</v>
      </c>
      <c r="N25" s="100">
        <f t="shared" si="3"/>
        <v>0</v>
      </c>
      <c r="O25" s="100">
        <f t="shared" si="4"/>
        <v>1</v>
      </c>
    </row>
    <row r="26" spans="1:15" x14ac:dyDescent="0.2">
      <c r="A26" s="93"/>
      <c r="B26" s="94" t="s">
        <v>132</v>
      </c>
      <c r="C26" s="95">
        <f t="shared" ca="1" si="5"/>
        <v>5</v>
      </c>
      <c r="D26" s="96">
        <v>45837</v>
      </c>
      <c r="E26" s="96">
        <v>46203</v>
      </c>
      <c r="F26" s="96">
        <v>45960</v>
      </c>
      <c r="G26" s="97">
        <v>0</v>
      </c>
      <c r="H26" s="98">
        <f t="shared" si="6"/>
        <v>0</v>
      </c>
      <c r="I26" s="98">
        <f t="shared" si="7"/>
        <v>100</v>
      </c>
      <c r="J26" s="99">
        <f t="shared" ca="1" si="0"/>
        <v>45921</v>
      </c>
      <c r="K26" s="100">
        <f t="shared" ca="1" si="1"/>
        <v>-84</v>
      </c>
      <c r="L26" s="100">
        <f t="shared" si="2"/>
        <v>0</v>
      </c>
      <c r="M26" s="100">
        <f>O26-L26</f>
        <v>262</v>
      </c>
      <c r="N26" s="100">
        <f t="shared" si="3"/>
        <v>-139</v>
      </c>
      <c r="O26" s="100">
        <f t="shared" si="4"/>
        <v>262</v>
      </c>
    </row>
    <row r="27" spans="1:15" x14ac:dyDescent="0.2">
      <c r="A27" s="18"/>
    </row>
    <row r="28" spans="1:15" x14ac:dyDescent="0.2">
      <c r="A28" s="18"/>
    </row>
    <row r="29" spans="1:15" x14ac:dyDescent="0.2">
      <c r="A29" s="18"/>
    </row>
    <row r="30" spans="1:15" x14ac:dyDescent="0.2">
      <c r="A30" s="18"/>
    </row>
    <row r="31" spans="1:15" x14ac:dyDescent="0.2">
      <c r="A31" s="18"/>
    </row>
    <row r="32" spans="1:15" x14ac:dyDescent="0.2">
      <c r="A32" s="18"/>
    </row>
    <row r="33" spans="1:1" x14ac:dyDescent="0.2">
      <c r="A33" s="18"/>
    </row>
    <row r="34" spans="1:1" x14ac:dyDescent="0.2">
      <c r="A34" s="18"/>
    </row>
    <row r="35" spans="1:1" x14ac:dyDescent="0.2">
      <c r="A35" s="18"/>
    </row>
    <row r="36" spans="1:1" x14ac:dyDescent="0.2">
      <c r="A36" s="18"/>
    </row>
    <row r="37" spans="1:1" x14ac:dyDescent="0.2">
      <c r="A37" s="18"/>
    </row>
    <row r="38" spans="1:1" x14ac:dyDescent="0.2">
      <c r="A38" s="18"/>
    </row>
    <row r="39" spans="1:1" x14ac:dyDescent="0.2">
      <c r="A39" s="18"/>
    </row>
    <row r="40" spans="1:1" x14ac:dyDescent="0.2">
      <c r="A40" s="18"/>
    </row>
    <row r="41" spans="1:1" x14ac:dyDescent="0.2">
      <c r="A41" s="18"/>
    </row>
    <row r="42" spans="1:1" x14ac:dyDescent="0.2">
      <c r="A42" s="18"/>
    </row>
    <row r="43" spans="1:1" x14ac:dyDescent="0.2">
      <c r="A43" s="18"/>
    </row>
    <row r="44" spans="1:1" x14ac:dyDescent="0.2">
      <c r="A44" s="18"/>
    </row>
    <row r="45" spans="1:1" x14ac:dyDescent="0.2">
      <c r="A45" s="18"/>
    </row>
    <row r="46" spans="1:1" x14ac:dyDescent="0.2">
      <c r="A46" s="18"/>
    </row>
    <row r="47" spans="1:1" x14ac:dyDescent="0.2">
      <c r="A47" s="18"/>
    </row>
    <row r="48" spans="1:1" x14ac:dyDescent="0.2">
      <c r="A48" s="18"/>
    </row>
    <row r="49" spans="1:1" x14ac:dyDescent="0.2">
      <c r="A49" s="18"/>
    </row>
    <row r="50" spans="1:1" x14ac:dyDescent="0.2">
      <c r="A50" s="18"/>
    </row>
    <row r="51" spans="1:1" x14ac:dyDescent="0.2">
      <c r="A51" s="18"/>
    </row>
    <row r="52" spans="1:1" x14ac:dyDescent="0.2">
      <c r="A52" s="18"/>
    </row>
    <row r="53" spans="1:1" x14ac:dyDescent="0.2">
      <c r="A53" s="18"/>
    </row>
    <row r="54" spans="1:1" x14ac:dyDescent="0.2">
      <c r="A54" s="18"/>
    </row>
    <row r="55" spans="1:1" x14ac:dyDescent="0.2">
      <c r="A55" s="18"/>
    </row>
    <row r="56" spans="1:1" x14ac:dyDescent="0.2">
      <c r="A56" s="18"/>
    </row>
    <row r="57" spans="1:1" x14ac:dyDescent="0.2">
      <c r="A57" s="18"/>
    </row>
    <row r="58" spans="1:1" x14ac:dyDescent="0.2">
      <c r="A58" s="18"/>
    </row>
    <row r="59" spans="1:1" x14ac:dyDescent="0.2">
      <c r="A59" s="18"/>
    </row>
    <row r="60" spans="1:1" x14ac:dyDescent="0.2">
      <c r="A60" s="18"/>
    </row>
    <row r="61" spans="1:1" x14ac:dyDescent="0.2">
      <c r="A61" s="18"/>
    </row>
    <row r="62" spans="1:1" x14ac:dyDescent="0.2">
      <c r="A62" s="18"/>
    </row>
    <row r="63" spans="1:1" x14ac:dyDescent="0.2">
      <c r="A63" s="18"/>
    </row>
    <row r="64" spans="1:1" x14ac:dyDescent="0.2">
      <c r="A64" s="18"/>
    </row>
    <row r="65" spans="1:1" x14ac:dyDescent="0.2">
      <c r="A65" s="18"/>
    </row>
    <row r="66" spans="1:1" x14ac:dyDescent="0.2">
      <c r="A66" s="18"/>
    </row>
    <row r="67" spans="1:1" x14ac:dyDescent="0.2">
      <c r="A67" s="18"/>
    </row>
    <row r="68" spans="1:1" x14ac:dyDescent="0.2">
      <c r="A68" s="18"/>
    </row>
    <row r="69" spans="1:1" x14ac:dyDescent="0.2">
      <c r="A69" s="18"/>
    </row>
    <row r="70" spans="1:1" x14ac:dyDescent="0.2">
      <c r="A70" s="18"/>
    </row>
    <row r="71" spans="1:1" x14ac:dyDescent="0.2">
      <c r="A71" s="18"/>
    </row>
    <row r="72" spans="1:1" x14ac:dyDescent="0.2">
      <c r="A72" s="18"/>
    </row>
    <row r="73" spans="1:1" x14ac:dyDescent="0.2">
      <c r="A73" s="18"/>
    </row>
    <row r="74" spans="1:1" x14ac:dyDescent="0.2">
      <c r="A74" s="18"/>
    </row>
    <row r="75" spans="1:1" x14ac:dyDescent="0.2">
      <c r="A75" s="18"/>
    </row>
    <row r="76" spans="1:1" x14ac:dyDescent="0.2">
      <c r="A76" s="18"/>
    </row>
    <row r="77" spans="1:1" x14ac:dyDescent="0.2">
      <c r="A77" s="18"/>
    </row>
    <row r="78" spans="1:1" x14ac:dyDescent="0.2">
      <c r="A78" s="18"/>
    </row>
    <row r="79" spans="1:1" x14ac:dyDescent="0.2">
      <c r="A79" s="18"/>
    </row>
  </sheetData>
  <conditionalFormatting sqref="C1:C26">
    <cfRule type="colorScale" priority="2">
      <colorScale>
        <cfvo type="num" val="1"/>
        <cfvo type="num" val="5"/>
        <color rgb="FFFF3300"/>
        <color rgb="FF2CC62C"/>
      </colorScale>
    </cfRule>
  </conditionalFormatting>
  <conditionalFormatting sqref="C2:C26">
    <cfRule type="containsText" dxfId="0" priority="1" operator="containsText" text="Done">
      <formula>NOT(ISERROR(SEARCH("Done",C2)))</formula>
    </cfRule>
  </conditionalFormatting>
  <conditionalFormatting sqref="G2:I26">
    <cfRule type="dataBar" priority="3">
      <dataBar>
        <cfvo type="num" val="0"/>
        <cfvo type="num" val="1"/>
        <color theme="8" tint="0.39997558519241921"/>
      </dataBar>
      <extLst>
        <ext xmlns:x14="http://schemas.microsoft.com/office/spreadsheetml/2009/9/main" uri="{B025F937-C7B1-47D3-B67F-A62EFF666E3E}">
          <x14:id>{E6E005F1-7803-450D-8505-C8E79A9A3247}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6E005F1-7803-450D-8505-C8E79A9A3247}">
            <x14:dataBar minLength="0" maxLength="100" gradient="0">
              <x14:cfvo type="num">
                <xm:f>0</xm:f>
              </x14:cfvo>
              <x14:cfvo type="num">
                <xm:f>1</xm:f>
              </x14:cfvo>
              <x14:negativeFillColor rgb="FFFF0000"/>
              <x14:axisColor rgb="FF000000"/>
            </x14:dataBar>
          </x14:cfRule>
          <xm:sqref>G2:I26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0DCB7-AFD7-4E8D-8DAB-7CBE6918D435}">
  <dimension ref="A1:E5"/>
  <sheetViews>
    <sheetView workbookViewId="0">
      <selection activeCell="B3" sqref="B3"/>
    </sheetView>
  </sheetViews>
  <sheetFormatPr defaultColWidth="35.25" defaultRowHeight="14.1" x14ac:dyDescent="0.2"/>
  <sheetData>
    <row r="1" spans="1:5" ht="29.7" x14ac:dyDescent="0.2">
      <c r="A1" s="19" t="s">
        <v>137</v>
      </c>
      <c r="B1" s="19" t="s">
        <v>138</v>
      </c>
      <c r="C1" s="19" t="s">
        <v>139</v>
      </c>
      <c r="D1" s="19" t="s">
        <v>140</v>
      </c>
      <c r="E1" s="19" t="s">
        <v>141</v>
      </c>
    </row>
    <row r="2" spans="1:5" ht="98.75" x14ac:dyDescent="0.2">
      <c r="A2" s="21" t="s">
        <v>142</v>
      </c>
      <c r="B2" s="102" t="s">
        <v>143</v>
      </c>
      <c r="C2" s="102" t="s">
        <v>144</v>
      </c>
      <c r="D2" s="102" t="s">
        <v>145</v>
      </c>
      <c r="E2" s="102" t="s">
        <v>146</v>
      </c>
    </row>
    <row r="3" spans="1:5" ht="70.55" x14ac:dyDescent="0.2">
      <c r="A3" s="21" t="s">
        <v>147</v>
      </c>
      <c r="B3" s="20" t="s">
        <v>148</v>
      </c>
      <c r="C3" s="20" t="s">
        <v>149</v>
      </c>
      <c r="D3" s="20" t="s">
        <v>150</v>
      </c>
      <c r="E3" s="20" t="s">
        <v>151</v>
      </c>
    </row>
    <row r="4" spans="1:5" ht="56.45" x14ac:dyDescent="0.2">
      <c r="A4" s="21" t="s">
        <v>152</v>
      </c>
      <c r="B4" s="102" t="s">
        <v>153</v>
      </c>
      <c r="C4" s="102" t="s">
        <v>154</v>
      </c>
      <c r="D4" s="102" t="s">
        <v>155</v>
      </c>
      <c r="E4" s="102" t="s">
        <v>156</v>
      </c>
    </row>
    <row r="5" spans="1:5" ht="98.75" x14ac:dyDescent="0.2">
      <c r="A5" s="21" t="s">
        <v>157</v>
      </c>
      <c r="B5" s="102" t="s">
        <v>158</v>
      </c>
      <c r="C5" s="102" t="s">
        <v>159</v>
      </c>
      <c r="D5" s="102" t="s">
        <v>160</v>
      </c>
      <c r="E5" s="102" t="s">
        <v>161</v>
      </c>
    </row>
  </sheetData>
  <hyperlinks>
    <hyperlink ref="B2" r:id="rId1" display="https://huggingface.co/datasets/hendrycks/ethics" xr:uid="{6A2B9305-AE25-4C58-A802-36B68BCAA4AB}"/>
    <hyperlink ref="C2" r:id="rId2" display="https://aclanthology.org/2024.findings-acl.703.pdf" xr:uid="{4B343429-AA0F-4437-BB22-8E49A5B34862}"/>
    <hyperlink ref="D2" r:id="rId3" display="https://arxiv.org/abs/2406.04428" xr:uid="{4354429C-B0E7-406B-9B67-014C7F9FA9C4}"/>
    <hyperlink ref="E2" r:id="rId4" display="https://github.com/SALT-NLP/mic" xr:uid="{775FECAA-C6CE-4E5F-8F53-B718E5B34972}"/>
    <hyperlink ref="B4" r:id="rId5" display="https://github.com/hendrycks/ethics/blob/main/LICENSE" xr:uid="{1635D807-F3D8-4137-9952-2A2F4E7A8288}"/>
    <hyperlink ref="C4" r:id="rId6" display="https://github.com/tjunlp-lab/CMoralEval/blob/main/LICENSE" xr:uid="{41D024A8-29DF-43FE-85EE-4CEDAA568019}"/>
    <hyperlink ref="D4" r:id="rId7" display="https://github.com/agiresearch/MoralBench" xr:uid="{4690C9D8-1C78-4E0F-B8D2-4BBB23B55DCD}"/>
    <hyperlink ref="E4" r:id="rId8" display="https://github.com/SALT-NLP/mic/blob/main/LICENSE" xr:uid="{6875305D-CFC6-420B-A645-F5D3BDA8EC3C}"/>
    <hyperlink ref="B5" r:id="rId9" display="https://openreview.net/forum?id=dNy_RKzJacY" xr:uid="{D38D8766-CC0A-47A1-B787-7FBB9312CE23}"/>
    <hyperlink ref="C5" r:id="rId10" display="https://aclanthology.org/2024.findings-acl.703.pdf" xr:uid="{A1E7E5AC-FCA6-4720-AC70-E3ECE55C75C5}"/>
    <hyperlink ref="D5" r:id="rId11" display="https://arxiv.org/abs/2406.04428" xr:uid="{3EE379E6-7178-47FA-824A-1AFC06FF07B9}"/>
    <hyperlink ref="E5" r:id="rId12" display="https://aclanthology.org/2022.acl-long.261/" xr:uid="{A16EF761-4923-4081-959A-F3ACECDE56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ProjectTaskList</vt:lpstr>
      <vt:lpstr>Gantt Chart (monthly view)</vt:lpstr>
      <vt:lpstr>Gantt Chart (daily view)</vt:lpstr>
      <vt:lpstr>Gantt Chart (weekly view)</vt:lpstr>
      <vt:lpstr>Gantt Chart (monthly) fo report</vt:lpstr>
      <vt:lpstr>Sheet6</vt:lpstr>
      <vt:lpstr>Sheet5</vt:lpstr>
      <vt:lpstr>Help</vt:lpstr>
      <vt:lpstr>Sheet2</vt:lpstr>
      <vt:lpstr>Sheet3</vt:lpstr>
      <vt:lpstr>Sheet4</vt:lpstr>
      <vt:lpstr>Sheet1</vt:lpstr>
      <vt:lpstr>ProjectTaskList!Print_Area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Task List with Gantt Chart</dc:title>
  <dc:creator>Vertex42.com</dc:creator>
  <dc:description>(c) 2017 Vertex42 LLC. All Rights Reserved.</dc:description>
  <cp:lastModifiedBy>ling jun lee</cp:lastModifiedBy>
  <cp:lastPrinted>2017-01-10T22:42:33Z</cp:lastPrinted>
  <dcterms:created xsi:type="dcterms:W3CDTF">2017-01-09T18:01:51Z</dcterms:created>
  <dcterms:modified xsi:type="dcterms:W3CDTF">2025-10-30T14:10:40Z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1.0.1</vt:lpwstr>
  </property>
</Properties>
</file>